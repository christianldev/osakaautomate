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3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entas-Adtvo\Downloads\"/>
    </mc:Choice>
  </mc:AlternateContent>
  <xr:revisionPtr revIDLastSave="0" documentId="13_ncr:1_{D6019AB5-4298-495B-BA2C-A513A1977FE5}" xr6:coauthVersionLast="47" xr6:coauthVersionMax="47" xr10:uidLastSave="{00000000-0000-0000-0000-000000000000}"/>
  <x:bookViews>
    <x:workbookView xWindow="-108" yWindow="-108" windowWidth="23256" windowHeight="13896" firstSheet="0" activeTab="33" xr2:uid="{00000000-000D-0000-FFFF-FFFF00000000}"/>
  </x:bookViews>
  <x:sheets>
    <x:sheet name="COM.DIC.2023" sheetId="52" r:id="rId1"/>
    <x:sheet name="COM.ENE.2024" sheetId="53" r:id="rId2"/>
    <x:sheet name="COM.FEB.2024" sheetId="54" r:id="rId3"/>
    <x:sheet name="COM.MAR.2024" sheetId="55" r:id="rId4"/>
    <x:sheet name="COM.ABR.2024" sheetId="41" r:id="rId5"/>
    <x:sheet name="COM.MAY.2024" sheetId="56" r:id="rId6"/>
    <x:sheet name="COM.JUN.2024" sheetId="57" r:id="rId7"/>
    <x:sheet name="COM.JUL.2024" sheetId="58" r:id="rId8"/>
    <x:sheet name="COM.AGO.2024" sheetId="59" r:id="rId9"/>
    <x:sheet name="COM.SEP.2024" sheetId="60" r:id="rId10"/>
    <x:sheet name="COM.OCT.2024" sheetId="61" r:id="rId11"/>
    <x:sheet name="COM.NOV.2024" sheetId="62" r:id="rId12"/>
    <x:sheet name="COM.DIC.2024" sheetId="64" r:id="rId13"/>
    <x:sheet name="COM.ENE.2025" sheetId="65" r:id="rId14"/>
    <x:sheet name="COM.FEB.2025" sheetId="66" r:id="rId15"/>
    <x:sheet name="COM.MAR.2025" sheetId="67" r:id="rId16"/>
    <x:sheet name="COM.ABR.2025" sheetId="68" r:id="rId17"/>
    <x:sheet name="COM.MAY.2025" sheetId="69" r:id="rId18"/>
    <x:sheet name="COM.JUN.2025" sheetId="70" r:id="rId19"/>
    <x:sheet name="COM.JUL.2025" sheetId="71" r:id="rId20"/>
    <x:sheet name="COM.AGO.2025" sheetId="72" r:id="rId21"/>
    <x:sheet name="COM.SEP.2025" sheetId="73" r:id="rId22"/>
    <x:sheet name="COM.OCT.2025" sheetId="74" r:id="rId23"/>
    <x:sheet name="COM.NOV,2025" sheetId="75" r:id="rId24"/>
    <x:sheet name="COM.DIC.2025" sheetId="76" r:id="rId25"/>
    <x:sheet name="COM.ENE.2026" sheetId="77" r:id="rId26"/>
    <x:sheet name="COM.FEB.2026" sheetId="78" r:id="rId27"/>
    <x:sheet name="COM.MAR.2026" sheetId="79" r:id="rId28"/>
    <x:sheet name="COM.ABR.2026" sheetId="80" r:id="rId29"/>
    <x:sheet name="COM.MAY.2026" sheetId="81" r:id="rId30"/>
    <x:sheet name="COM.JUN.2026" sheetId="82" r:id="rId31"/>
    <x:sheet name="COM.JUL.2026" sheetId="83" r:id="rId32"/>
    <x:sheet name="COM.AGO.2026" sheetId="84" r:id="rId33"/>
    <x:sheet name="COM.SEPT.2026" sheetId="87" r:id="rId34"/>
    <x:sheet name="COM.SEPT.2026 CONSTANTE DOMINGU" sheetId="88" r:id="rId39"/>
    <x:sheet name="COM.SEPT.2026 IVETTE ANAHY CASC" sheetId="89" r:id="rId40"/>
    <x:sheet name="COM.SEPT.2026 MARCO FABRE BONIL" sheetId="90" r:id="rId41"/>
    <x:sheet name="COM.OCT.2026" sheetId="91" r:id="rId42"/>
    <x:sheet name="COM.OCT.2026 MARCO FABRE BONILL" sheetId="92" r:id="rId43"/>
  </x:sheets>
  <x:definedNames>
    <x:definedName name="_xlnm.Print_Titles" localSheetId="5">COM.MAY.2024!33:37</x:definedName>
    <x:definedName name="_xlnm.Print_Titles" localSheetId="9">COM.SEP.2024!38:42</x:definedName>
    <x:definedName name="_xlnm._FilterDatabase" localSheetId="34" hidden="1">'COM.SEPT.2026 CONSTANTE DOMINGU'!$A$7:$M$58</x:definedName>
    <x:definedName name="_xlnm._FilterDatabase" localSheetId="35" hidden="1">'COM.SEPT.2026 IVETTE ANAHY CASC'!$A$7:$M$9</x:definedName>
    <x:definedName name="_xlnm._FilterDatabase" localSheetId="36" hidden="1">'COM.SEPT.2026 MARCO FABRE BONIL'!$A$7:$M$16</x:definedName>
    <x:definedName name="_xlnm._FilterDatabase" localSheetId="37" hidden="1">COM.OCT.2026!$A$7:$M$10</x:definedName>
    <x:definedName name="_xlnm._FilterDatabase" localSheetId="38" hidden="1">'COM.OCT.2026 MARCO FABRE BONILL'!$A$7:$M$9</x:definedName>
  </x:definedNames>
  <x:calcPr calcId="191029" calcMode="auto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J8" i="52"/>
  <x:c r="K8" i="52"/>
  <x:c r="M8" i="52"/>
  <x:c r="J9" i="52"/>
  <x:c r="K9" i="52"/>
  <x:c r="M9" i="52"/>
  <x:c r="J10" i="52"/>
  <x:c r="K10" i="52"/>
  <x:c r="M10" i="52"/>
  <x:c r="G12" i="52"/>
  <x:c r="J12" i="52"/>
  <x:c r="M12" i="52"/>
  <x:c r="G16" i="52"/>
  <x:c r="J16" i="52"/>
  <x:c r="K16" i="52"/>
  <x:c r="M16" i="52"/>
  <x:c r="J17" i="52"/>
  <x:c r="K17" i="52"/>
  <x:c r="M17" i="52"/>
  <x:c r="J18" i="52"/>
  <x:c r="K18" i="52"/>
  <x:c r="M18" i="52"/>
  <x:c r="G19" i="52"/>
  <x:c r="J19" i="52"/>
  <x:c r="K19" i="52"/>
  <x:c r="M19" i="52"/>
  <x:c r="G20" i="52"/>
  <x:c r="J20" i="52"/>
  <x:c r="K20" i="52"/>
  <x:c r="M20" i="52"/>
  <x:c r="G22" i="52"/>
  <x:c r="J22" i="52"/>
  <x:c r="M22" i="52"/>
  <x:c r="J32" i="52"/>
  <x:c r="K32" i="52"/>
  <x:c r="M32" i="52"/>
  <x:c r="J33" i="52"/>
  <x:c r="K33" i="52"/>
  <x:c r="M33" i="52"/>
  <x:c r="J34" i="52"/>
  <x:c r="K34" i="52"/>
  <x:c r="M34" i="52"/>
  <x:c r="G35" i="52"/>
  <x:c r="J35" i="52"/>
  <x:c r="K35" i="52"/>
  <x:c r="M35" i="52"/>
  <x:c r="J36" i="52"/>
  <x:c r="K36" i="52"/>
  <x:c r="M36" i="52"/>
  <x:c r="J37" i="52"/>
  <x:c r="K37" i="52"/>
  <x:c r="M37" i="52"/>
  <x:c r="J38" i="52"/>
  <x:c r="K38" i="52"/>
  <x:c r="M38" i="52"/>
  <x:c r="G39" i="52"/>
  <x:c r="J39" i="52"/>
  <x:c r="K39" i="52"/>
  <x:c r="M39" i="52"/>
  <x:c r="J40" i="52"/>
  <x:c r="K40" i="52"/>
  <x:c r="M40" i="52"/>
  <x:c r="G43" i="52"/>
  <x:c r="J43" i="52"/>
  <x:c r="M43" i="52"/>
  <x:c r="G46" i="52"/>
  <x:c r="J46" i="52"/>
  <x:c r="K46" i="52"/>
  <x:c r="M46" i="52"/>
  <x:c r="J47" i="52"/>
  <x:c r="K47" i="52"/>
  <x:c r="M47" i="52"/>
  <x:c r="J48" i="52"/>
  <x:c r="K48" i="52"/>
  <x:c r="M48" i="52"/>
  <x:c r="J49" i="52"/>
  <x:c r="K49" i="52"/>
  <x:c r="M49" i="52"/>
  <x:c r="G50" i="52"/>
  <x:c r="J50" i="52"/>
  <x:c r="K50" i="52"/>
  <x:c r="M50" i="52"/>
  <x:c r="G52" i="52"/>
  <x:c r="J52" i="52"/>
  <x:c r="M52" i="52"/>
  <x:c r="J58" i="52"/>
  <x:c r="J59" i="52"/>
  <x:c r="G8" i="53"/>
  <x:c r="J8" i="53"/>
  <x:c r="K8" i="53"/>
  <x:c r="M8" i="53"/>
  <x:c r="J9" i="53"/>
  <x:c r="K9" i="53"/>
  <x:c r="M9" i="53"/>
  <x:c r="J10" i="53"/>
  <x:c r="K10" i="53"/>
  <x:c r="M10" i="53"/>
  <x:c r="J11" i="53"/>
  <x:c r="K11" i="53"/>
  <x:c r="M11" i="53"/>
  <x:c r="G13" i="53"/>
  <x:c r="J13" i="53"/>
  <x:c r="M13" i="53"/>
  <x:c r="J17" i="53"/>
  <x:c r="K17" i="53"/>
  <x:c r="M17" i="53"/>
  <x:c r="J18" i="53"/>
  <x:c r="K18" i="53"/>
  <x:c r="M18" i="53"/>
  <x:c r="G20" i="53"/>
  <x:c r="J20" i="53"/>
  <x:c r="M20" i="53"/>
  <x:c r="J30" i="53"/>
  <x:c r="K30" i="53"/>
  <x:c r="M30" i="53"/>
  <x:c r="J31" i="53"/>
  <x:c r="K31" i="53"/>
  <x:c r="M31" i="53"/>
  <x:c r="J32" i="53"/>
  <x:c r="K32" i="53"/>
  <x:c r="M32" i="53"/>
  <x:c r="J33" i="53"/>
  <x:c r="K33" i="53"/>
  <x:c r="M33" i="53"/>
  <x:c r="J34" i="53"/>
  <x:c r="K34" i="53"/>
  <x:c r="M34" i="53"/>
  <x:c r="J35" i="53"/>
  <x:c r="K35" i="53"/>
  <x:c r="M35" i="53"/>
  <x:c r="J36" i="53"/>
  <x:c r="K36" i="53"/>
  <x:c r="M36" i="53"/>
  <x:c r="J37" i="53"/>
  <x:c r="K37" i="53"/>
  <x:c r="M37" i="53"/>
  <x:c r="J38" i="53"/>
  <x:c r="K38" i="53"/>
  <x:c r="M38" i="53"/>
  <x:c r="J39" i="53"/>
  <x:c r="K39" i="53"/>
  <x:c r="M39" i="53"/>
  <x:c r="J40" i="53"/>
  <x:c r="K40" i="53"/>
  <x:c r="M40" i="53"/>
  <x:c r="J41" i="53"/>
  <x:c r="K41" i="53"/>
  <x:c r="M41" i="53"/>
  <x:c r="J42" i="53"/>
  <x:c r="K42" i="53"/>
  <x:c r="M42" i="53"/>
  <x:c r="J43" i="53"/>
  <x:c r="K43" i="53"/>
  <x:c r="M43" i="53"/>
  <x:c r="K44" i="53"/>
  <x:c r="M44" i="53"/>
  <x:c r="J45" i="53"/>
  <x:c r="K45" i="53"/>
  <x:c r="M45" i="53"/>
  <x:c r="J46" i="53"/>
  <x:c r="K46" i="53"/>
  <x:c r="M46" i="53"/>
  <x:c r="J47" i="53"/>
  <x:c r="K47" i="53"/>
  <x:c r="M47" i="53"/>
  <x:c r="J48" i="53"/>
  <x:c r="K48" i="53"/>
  <x:c r="M48" i="53"/>
  <x:c r="J49" i="53"/>
  <x:c r="K49" i="53"/>
  <x:c r="M49" i="53"/>
  <x:c r="K50" i="53"/>
  <x:c r="M50" i="53"/>
  <x:c r="G53" i="53"/>
  <x:c r="J53" i="53"/>
  <x:c r="M53" i="53"/>
  <x:c r="K56" i="53"/>
  <x:c r="M56" i="53"/>
  <x:c r="J57" i="53"/>
  <x:c r="K57" i="53"/>
  <x:c r="M57" i="53"/>
  <x:c r="J58" i="53"/>
  <x:c r="K58" i="53"/>
  <x:c r="M58" i="53"/>
  <x:c r="J59" i="53"/>
  <x:c r="K59" i="53"/>
  <x:c r="M59" i="53"/>
  <x:c r="J60" i="53"/>
  <x:c r="K60" i="53"/>
  <x:c r="M60" i="53"/>
  <x:c r="J61" i="53"/>
  <x:c r="K61" i="53"/>
  <x:c r="M61" i="53"/>
  <x:c r="J62" i="53"/>
  <x:c r="K62" i="53"/>
  <x:c r="M62" i="53"/>
  <x:c r="J63" i="53"/>
  <x:c r="K63" i="53"/>
  <x:c r="M63" i="53"/>
  <x:c r="J64" i="53"/>
  <x:c r="K64" i="53"/>
  <x:c r="M64" i="53"/>
  <x:c r="J65" i="53"/>
  <x:c r="K65" i="53"/>
  <x:c r="M65" i="53"/>
  <x:c r="J66" i="53"/>
  <x:c r="K66" i="53"/>
  <x:c r="M66" i="53"/>
  <x:c r="J67" i="53"/>
  <x:c r="K67" i="53"/>
  <x:c r="M67" i="53"/>
  <x:c r="J68" i="53"/>
  <x:c r="K68" i="53"/>
  <x:c r="M68" i="53"/>
  <x:c r="G70" i="53"/>
  <x:c r="J70" i="53"/>
  <x:c r="M70" i="53"/>
  <x:c r="J75" i="53"/>
  <x:c r="J76" i="53"/>
  <x:c r="G11" i="54"/>
  <x:c r="J11" i="54"/>
  <x:c r="M11" i="54"/>
  <x:c r="J15" i="54"/>
  <x:c r="K15" i="54"/>
  <x:c r="M15" i="54"/>
  <x:c r="J16" i="54"/>
  <x:c r="K16" i="54"/>
  <x:c r="M16" i="54"/>
  <x:c r="G18" i="54"/>
  <x:c r="J18" i="54"/>
  <x:c r="M18" i="54"/>
  <x:c r="J28" i="54"/>
  <x:c r="K28" i="54"/>
  <x:c r="M28" i="54"/>
  <x:c r="J29" i="54"/>
  <x:c r="K29" i="54"/>
  <x:c r="M29" i="54"/>
  <x:c r="J30" i="54"/>
  <x:c r="K30" i="54"/>
  <x:c r="M30" i="54"/>
  <x:c r="J31" i="54"/>
  <x:c r="K31" i="54"/>
  <x:c r="M31" i="54"/>
  <x:c r="J32" i="54"/>
  <x:c r="K32" i="54"/>
  <x:c r="M32" i="54"/>
  <x:c r="J33" i="54"/>
  <x:c r="K33" i="54"/>
  <x:c r="M33" i="54"/>
  <x:c r="J34" i="54"/>
  <x:c r="K34" i="54"/>
  <x:c r="M34" i="54"/>
  <x:c r="J35" i="54"/>
  <x:c r="K35" i="54"/>
  <x:c r="M35" i="54"/>
  <x:c r="J36" i="54"/>
  <x:c r="K36" i="54"/>
  <x:c r="M36" i="54"/>
  <x:c r="J37" i="54"/>
  <x:c r="K37" i="54"/>
  <x:c r="M37" i="54"/>
  <x:c r="J38" i="54"/>
  <x:c r="K38" i="54"/>
  <x:c r="M38" i="54"/>
  <x:c r="G39" i="54"/>
  <x:c r="J39" i="54"/>
  <x:c r="K39" i="54"/>
  <x:c r="M39" i="54"/>
  <x:c r="J40" i="54"/>
  <x:c r="K40" i="54"/>
  <x:c r="M40" i="54"/>
  <x:c r="J41" i="54"/>
  <x:c r="K41" i="54"/>
  <x:c r="M41" i="54"/>
  <x:c r="J42" i="54"/>
  <x:c r="K42" i="54"/>
  <x:c r="M42" i="54"/>
  <x:c r="J43" i="54"/>
  <x:c r="K43" i="54"/>
  <x:c r="M43" i="54"/>
  <x:c r="J44" i="54"/>
  <x:c r="K44" i="54"/>
  <x:c r="M44" i="54"/>
  <x:c r="J45" i="54"/>
  <x:c r="K45" i="54"/>
  <x:c r="M45" i="54"/>
  <x:c r="J46" i="54"/>
  <x:c r="K46" i="54"/>
  <x:c r="M46" i="54"/>
  <x:c r="J47" i="54"/>
  <x:c r="K47" i="54"/>
  <x:c r="M47" i="54"/>
  <x:c r="J48" i="54"/>
  <x:c r="K48" i="54"/>
  <x:c r="M48" i="54"/>
  <x:c r="G49" i="54"/>
  <x:c r="J49" i="54"/>
  <x:c r="K49" i="54"/>
  <x:c r="M49" i="54"/>
  <x:c r="G52" i="54"/>
  <x:c r="J52" i="54"/>
  <x:c r="M52" i="54"/>
  <x:c r="J55" i="54"/>
  <x:c r="K55" i="54"/>
  <x:c r="M55" i="54"/>
  <x:c r="J56" i="54"/>
  <x:c r="K56" i="54"/>
  <x:c r="M56" i="54"/>
  <x:c r="J57" i="54"/>
  <x:c r="K57" i="54"/>
  <x:c r="M57" i="54"/>
  <x:c r="J58" i="54"/>
  <x:c r="K58" i="54"/>
  <x:c r="M58" i="54"/>
  <x:c r="J59" i="54"/>
  <x:c r="K59" i="54"/>
  <x:c r="M59" i="54"/>
  <x:c r="J60" i="54"/>
  <x:c r="K60" i="54"/>
  <x:c r="M60" i="54"/>
  <x:c r="J61" i="54"/>
  <x:c r="K61" i="54"/>
  <x:c r="M61" i="54"/>
  <x:c r="J62" i="54"/>
  <x:c r="K62" i="54"/>
  <x:c r="M62" i="54"/>
  <x:c r="J63" i="54"/>
  <x:c r="K63" i="54"/>
  <x:c r="M63" i="54"/>
  <x:c r="G65" i="54"/>
  <x:c r="J65" i="54"/>
  <x:c r="M65" i="54"/>
  <x:c r="J70" i="54"/>
  <x:c r="J71" i="54"/>
  <x:c r="J8" i="55"/>
  <x:c r="K8" i="55"/>
  <x:c r="M8" i="55"/>
  <x:c r="J9" i="55"/>
  <x:c r="K9" i="55"/>
  <x:c r="M9" i="55"/>
  <x:c r="J10" i="55"/>
  <x:c r="K10" i="55"/>
  <x:c r="M10" i="55"/>
  <x:c r="J11" i="55"/>
  <x:c r="K11" i="55"/>
  <x:c r="M11" i="55"/>
  <x:c r="J12" i="55"/>
  <x:c r="K12" i="55"/>
  <x:c r="M12" i="55"/>
  <x:c r="J13" i="55"/>
  <x:c r="K13" i="55"/>
  <x:c r="M13" i="55"/>
  <x:c r="J14" i="55"/>
  <x:c r="K14" i="55"/>
  <x:c r="M14" i="55"/>
  <x:c r="G17" i="55"/>
  <x:c r="J17" i="55"/>
  <x:c r="M17" i="55"/>
  <x:c r="G21" i="55"/>
  <x:c r="J21" i="55"/>
  <x:c r="K21" i="55"/>
  <x:c r="M21" i="55"/>
  <x:c r="G22" i="55"/>
  <x:c r="J22" i="55"/>
  <x:c r="K22" i="55"/>
  <x:c r="M22" i="55"/>
  <x:c r="G23" i="55"/>
  <x:c r="J23" i="55"/>
  <x:c r="K23" i="55"/>
  <x:c r="M23" i="55"/>
  <x:c r="G25" i="55"/>
  <x:c r="J25" i="55"/>
  <x:c r="M25" i="55"/>
  <x:c r="J35" i="55"/>
  <x:c r="K35" i="55"/>
  <x:c r="M35" i="55"/>
  <x:c r="J36" i="55"/>
  <x:c r="K36" i="55"/>
  <x:c r="M36" i="55"/>
  <x:c r="J37" i="55"/>
  <x:c r="K37" i="55"/>
  <x:c r="M37" i="55"/>
  <x:c r="J38" i="55"/>
  <x:c r="K38" i="55"/>
  <x:c r="M38" i="55"/>
  <x:c r="J39" i="55"/>
  <x:c r="K39" i="55"/>
  <x:c r="M39" i="55"/>
  <x:c r="J40" i="55"/>
  <x:c r="K40" i="55"/>
  <x:c r="M40" i="55"/>
  <x:c r="J41" i="55"/>
  <x:c r="K41" i="55"/>
  <x:c r="M41" i="55"/>
  <x:c r="J42" i="55"/>
  <x:c r="K42" i="55"/>
  <x:c r="M42" i="55"/>
  <x:c r="J43" i="55"/>
  <x:c r="K43" i="55"/>
  <x:c r="M43" i="55"/>
  <x:c r="J44" i="55"/>
  <x:c r="K44" i="55"/>
  <x:c r="M44" i="55"/>
  <x:c r="J45" i="55"/>
  <x:c r="K45" i="55"/>
  <x:c r="M45" i="55"/>
  <x:c r="J46" i="55"/>
  <x:c r="K46" i="55"/>
  <x:c r="M46" i="55"/>
  <x:c r="J47" i="55"/>
  <x:c r="K47" i="55"/>
  <x:c r="M47" i="55"/>
  <x:c r="J48" i="55"/>
  <x:c r="K48" i="55"/>
  <x:c r="M48" i="55"/>
  <x:c r="J49" i="55"/>
  <x:c r="K49" i="55"/>
  <x:c r="M49" i="55"/>
  <x:c r="J50" i="55"/>
  <x:c r="K50" i="55"/>
  <x:c r="M50" i="55"/>
  <x:c r="J51" i="55"/>
  <x:c r="K51" i="55"/>
  <x:c r="M51" i="55"/>
  <x:c r="J52" i="55"/>
  <x:c r="K52" i="55"/>
  <x:c r="M52" i="55"/>
  <x:c r="J53" i="55"/>
  <x:c r="K53" i="55"/>
  <x:c r="M53" i="55"/>
  <x:c r="J54" i="55"/>
  <x:c r="K54" i="55"/>
  <x:c r="M54" i="55"/>
  <x:c r="G57" i="55"/>
  <x:c r="J57" i="55"/>
  <x:c r="M57" i="55"/>
  <x:c r="J60" i="55"/>
  <x:c r="K60" i="55"/>
  <x:c r="M60" i="55"/>
  <x:c r="J61" i="55"/>
  <x:c r="K61" i="55"/>
  <x:c r="M61" i="55"/>
  <x:c r="J62" i="55"/>
  <x:c r="K62" i="55"/>
  <x:c r="M62" i="55"/>
  <x:c r="G64" i="55"/>
  <x:c r="J64" i="55"/>
  <x:c r="M64" i="55"/>
  <x:c r="J67" i="55"/>
  <x:c r="M67" i="55"/>
  <x:c r="J68" i="55"/>
  <x:c r="M68" i="55"/>
  <x:c r="J69" i="55"/>
  <x:c r="M69" i="55"/>
  <x:c r="O69" i="55"/>
  <x:c r="M70" i="55"/>
  <x:c r="O70" i="55"/>
  <x:c r="M72" i="55"/>
  <x:c r="J73" i="55"/>
  <x:c r="G10" i="41"/>
  <x:c r="J10" i="41"/>
  <x:c r="M10" i="41"/>
  <x:c r="J14" i="41"/>
  <x:c r="K14" i="41"/>
  <x:c r="M14" i="41"/>
  <x:c r="J15" i="41"/>
  <x:c r="K15" i="41"/>
  <x:c r="M15" i="41"/>
  <x:c r="J16" i="41"/>
  <x:c r="K16" i="41"/>
  <x:c r="M16" i="41"/>
  <x:c r="J17" i="41"/>
  <x:c r="K17" i="41"/>
  <x:c r="M17" i="41"/>
  <x:c r="G19" i="41"/>
  <x:c r="J19" i="41"/>
  <x:c r="M19" i="41"/>
  <x:c r="J29" i="41"/>
  <x:c r="K29" i="41"/>
  <x:c r="M29" i="41"/>
  <x:c r="J30" i="41"/>
  <x:c r="K30" i="41"/>
  <x:c r="M30" i="41"/>
  <x:c r="J31" i="41"/>
  <x:c r="K31" i="41"/>
  <x:c r="M31" i="41"/>
  <x:c r="J32" i="41"/>
  <x:c r="K32" i="41"/>
  <x:c r="M32" i="41"/>
  <x:c r="J33" i="41"/>
  <x:c r="K33" i="41"/>
  <x:c r="M33" i="41"/>
  <x:c r="J34" i="41"/>
  <x:c r="K34" i="41"/>
  <x:c r="M34" i="41"/>
  <x:c r="J35" i="41"/>
  <x:c r="K35" i="41"/>
  <x:c r="M35" i="41"/>
  <x:c r="J36" i="41"/>
  <x:c r="K36" i="41"/>
  <x:c r="M36" i="41"/>
  <x:c r="J37" i="41"/>
  <x:c r="K37" i="41"/>
  <x:c r="M37" i="41"/>
  <x:c r="J38" i="41"/>
  <x:c r="K38" i="41"/>
  <x:c r="M38" i="41"/>
  <x:c r="J39" i="41"/>
  <x:c r="K39" i="41"/>
  <x:c r="M39" i="41"/>
  <x:c r="J40" i="41"/>
  <x:c r="K40" i="41"/>
  <x:c r="M40" i="41"/>
  <x:c r="J41" i="41"/>
  <x:c r="K41" i="41"/>
  <x:c r="M41" i="41"/>
  <x:c r="J42" i="41"/>
  <x:c r="K42" i="41"/>
  <x:c r="M42" i="41"/>
  <x:c r="J43" i="41"/>
  <x:c r="K43" i="41"/>
  <x:c r="M43" i="41"/>
  <x:c r="J44" i="41"/>
  <x:c r="K44" i="41"/>
  <x:c r="M44" i="41"/>
  <x:c r="J45" i="41"/>
  <x:c r="K45" i="41"/>
  <x:c r="M45" i="41"/>
  <x:c r="J46" i="41"/>
  <x:c r="K46" i="41"/>
  <x:c r="M46" i="41"/>
  <x:c r="J47" i="41"/>
  <x:c r="K47" i="41"/>
  <x:c r="M47" i="41"/>
  <x:c r="J48" i="41"/>
  <x:c r="K48" i="41"/>
  <x:c r="M48" i="41"/>
  <x:c r="J49" i="41"/>
  <x:c r="K49" i="41"/>
  <x:c r="M49" i="41"/>
  <x:c r="J50" i="41"/>
  <x:c r="K50" i="41"/>
  <x:c r="M50" i="41"/>
  <x:c r="G53" i="41"/>
  <x:c r="J53" i="41"/>
  <x:c r="M53" i="41"/>
  <x:c r="J56" i="41"/>
  <x:c r="K56" i="41"/>
  <x:c r="M56" i="41"/>
  <x:c r="J57" i="41"/>
  <x:c r="K57" i="41"/>
  <x:c r="M57" i="41"/>
  <x:c r="G58" i="41"/>
  <x:c r="J58" i="41"/>
  <x:c r="K58" i="41"/>
  <x:c r="M58" i="41"/>
  <x:c r="J59" i="41"/>
  <x:c r="K59" i="41"/>
  <x:c r="M59" i="41"/>
  <x:c r="J60" i="41"/>
  <x:c r="K60" i="41"/>
  <x:c r="M60" i="41"/>
  <x:c r="G62" i="41"/>
  <x:c r="J62" i="41"/>
  <x:c r="M62" i="41"/>
  <x:c r="O62" i="41"/>
  <x:c r="J69" i="41"/>
  <x:c r="M69" i="41"/>
  <x:c r="J70" i="41"/>
  <x:c r="M70" i="41"/>
  <x:c r="J71" i="41"/>
  <x:c r="M71" i="41"/>
  <x:c r="O71" i="41"/>
  <x:c r="M72" i="41"/>
  <x:c r="O72" i="41"/>
  <x:c r="M74" i="41"/>
  <x:c r="J8" i="56"/>
  <x:c r="K8" i="56"/>
  <x:c r="M8" i="56"/>
  <x:c r="J9" i="56"/>
  <x:c r="K9" i="56"/>
  <x:c r="M9" i="56"/>
  <x:c r="J10" i="56"/>
  <x:c r="K10" i="56"/>
  <x:c r="M10" i="56"/>
  <x:c r="J11" i="56"/>
  <x:c r="K11" i="56"/>
  <x:c r="M11" i="56"/>
  <x:c r="J12" i="56"/>
  <x:c r="K12" i="56"/>
  <x:c r="M12" i="56"/>
  <x:c r="J13" i="56"/>
  <x:c r="K13" i="56"/>
  <x:c r="M13" i="56"/>
  <x:c r="J14" i="56"/>
  <x:c r="K14" i="56"/>
  <x:c r="M14" i="56"/>
  <x:c r="J15" i="56"/>
  <x:c r="K15" i="56"/>
  <x:c r="M15" i="56"/>
  <x:c r="J16" i="56"/>
  <x:c r="K16" i="56"/>
  <x:c r="M16" i="56"/>
  <x:c r="J17" i="56"/>
  <x:c r="K17" i="56"/>
  <x:c r="M17" i="56"/>
  <x:c r="G18" i="56"/>
  <x:c r="J18" i="56"/>
  <x:c r="K18" i="56"/>
  <x:c r="M18" i="56"/>
  <x:c r="J19" i="56"/>
  <x:c r="K19" i="56"/>
  <x:c r="M19" i="56"/>
  <x:c r="G20" i="56"/>
  <x:c r="J20" i="56"/>
  <x:c r="M20" i="56"/>
  <x:c r="J24" i="56"/>
  <x:c r="K24" i="56"/>
  <x:c r="M24" i="56"/>
  <x:c r="J25" i="56"/>
  <x:c r="K25" i="56"/>
  <x:c r="M25" i="56"/>
  <x:c r="J26" i="56"/>
  <x:c r="K26" i="56"/>
  <x:c r="M26" i="56"/>
  <x:c r="J27" i="56"/>
  <x:c r="K27" i="56"/>
  <x:c r="M27" i="56"/>
  <x:c r="G28" i="56"/>
  <x:c r="J28" i="56"/>
  <x:c r="M28" i="56"/>
  <x:c r="J38" i="56"/>
  <x:c r="K38" i="56"/>
  <x:c r="M38" i="56"/>
  <x:c r="J39" i="56"/>
  <x:c r="K39" i="56"/>
  <x:c r="M39" i="56"/>
  <x:c r="J40" i="56"/>
  <x:c r="K40" i="56"/>
  <x:c r="M40" i="56"/>
  <x:c r="J41" i="56"/>
  <x:c r="K41" i="56"/>
  <x:c r="M41" i="56"/>
  <x:c r="J42" i="56"/>
  <x:c r="K42" i="56"/>
  <x:c r="M42" i="56"/>
  <x:c r="J43" i="56"/>
  <x:c r="K43" i="56"/>
  <x:c r="M43" i="56"/>
  <x:c r="J44" i="56"/>
  <x:c r="K44" i="56"/>
  <x:c r="M44" i="56"/>
  <x:c r="J45" i="56"/>
  <x:c r="K45" i="56"/>
  <x:c r="M45" i="56"/>
  <x:c r="J46" i="56"/>
  <x:c r="K46" i="56"/>
  <x:c r="M46" i="56"/>
  <x:c r="J47" i="56"/>
  <x:c r="K47" i="56"/>
  <x:c r="M47" i="56"/>
  <x:c r="J48" i="56"/>
  <x:c r="K48" i="56"/>
  <x:c r="M48" i="56"/>
  <x:c r="J49" i="56"/>
  <x:c r="K49" i="56"/>
  <x:c r="M49" i="56"/>
  <x:c r="J50" i="56"/>
  <x:c r="K50" i="56"/>
  <x:c r="M50" i="56"/>
  <x:c r="J51" i="56"/>
  <x:c r="K51" i="56"/>
  <x:c r="M51" i="56"/>
  <x:c r="J52" i="56"/>
  <x:c r="K52" i="56"/>
  <x:c r="M52" i="56"/>
  <x:c r="J53" i="56"/>
  <x:c r="K53" i="56"/>
  <x:c r="M53" i="56"/>
  <x:c r="J54" i="56"/>
  <x:c r="K54" i="56"/>
  <x:c r="M54" i="56"/>
  <x:c r="G55" i="56"/>
  <x:c r="J55" i="56"/>
  <x:c r="K55" i="56"/>
  <x:c r="M55" i="56"/>
  <x:c r="G56" i="56"/>
  <x:c r="J56" i="56"/>
  <x:c r="K56" i="56"/>
  <x:c r="M56" i="56"/>
  <x:c r="J57" i="56"/>
  <x:c r="K57" i="56"/>
  <x:c r="M57" i="56"/>
  <x:c r="G58" i="56"/>
  <x:c r="J58" i="56"/>
  <x:c r="K58" i="56"/>
  <x:c r="M58" i="56"/>
  <x:c r="J59" i="56"/>
  <x:c r="K59" i="56"/>
  <x:c r="M59" i="56"/>
  <x:c r="J60" i="56"/>
  <x:c r="K60" i="56"/>
  <x:c r="M60" i="56"/>
  <x:c r="J61" i="56"/>
  <x:c r="K61" i="56"/>
  <x:c r="M61" i="56"/>
  <x:c r="J62" i="56"/>
  <x:c r="K62" i="56"/>
  <x:c r="M62" i="56"/>
  <x:c r="J63" i="56"/>
  <x:c r="K63" i="56"/>
  <x:c r="M63" i="56"/>
  <x:c r="J64" i="56"/>
  <x:c r="K64" i="56"/>
  <x:c r="M64" i="56"/>
  <x:c r="J65" i="56"/>
  <x:c r="K65" i="56"/>
  <x:c r="M65" i="56"/>
  <x:c r="J66" i="56"/>
  <x:c r="K66" i="56"/>
  <x:c r="M66" i="56"/>
  <x:c r="J67" i="56"/>
  <x:c r="K67" i="56"/>
  <x:c r="M67" i="56"/>
  <x:c r="J68" i="56"/>
  <x:c r="K68" i="56"/>
  <x:c r="M68" i="56"/>
  <x:c r="J69" i="56"/>
  <x:c r="K69" i="56"/>
  <x:c r="M69" i="56"/>
  <x:c r="G70" i="56"/>
  <x:c r="J70" i="56"/>
  <x:c r="K70" i="56"/>
  <x:c r="M70" i="56"/>
  <x:c r="G71" i="56"/>
  <x:c r="J71" i="56"/>
  <x:c r="K71" i="56"/>
  <x:c r="M71" i="56"/>
  <x:c r="G72" i="56"/>
  <x:c r="J72" i="56"/>
  <x:c r="K72" i="56"/>
  <x:c r="M72" i="56"/>
  <x:c r="J73" i="56"/>
  <x:c r="K73" i="56"/>
  <x:c r="M73" i="56"/>
  <x:c r="J74" i="56"/>
  <x:c r="K74" i="56"/>
  <x:c r="M74" i="56"/>
  <x:c r="J75" i="56"/>
  <x:c r="K75" i="56"/>
  <x:c r="M75" i="56"/>
  <x:c r="G76" i="56"/>
  <x:c r="J76" i="56"/>
  <x:c r="M76" i="56"/>
  <x:c r="J79" i="56"/>
  <x:c r="K79" i="56"/>
  <x:c r="M79" i="56"/>
  <x:c r="G80" i="56"/>
  <x:c r="J80" i="56"/>
  <x:c r="K80" i="56"/>
  <x:c r="M80" i="56"/>
  <x:c r="G81" i="56"/>
  <x:c r="J81" i="56"/>
  <x:c r="K81" i="56"/>
  <x:c r="M81" i="56"/>
  <x:c r="J82" i="56"/>
  <x:c r="K82" i="56"/>
  <x:c r="M82" i="56"/>
  <x:c r="J83" i="56"/>
  <x:c r="K83" i="56"/>
  <x:c r="M83" i="56"/>
  <x:c r="J84" i="56"/>
  <x:c r="K84" i="56"/>
  <x:c r="M84" i="56"/>
  <x:c r="J85" i="56"/>
  <x:c r="K85" i="56"/>
  <x:c r="M85" i="56"/>
  <x:c r="J86" i="56"/>
  <x:c r="K86" i="56"/>
  <x:c r="M86" i="56"/>
  <x:c r="J87" i="56"/>
  <x:c r="K87" i="56"/>
  <x:c r="M87" i="56"/>
  <x:c r="J88" i="56"/>
  <x:c r="K88" i="56"/>
  <x:c r="M88" i="56"/>
  <x:c r="G89" i="56"/>
  <x:c r="J89" i="56"/>
  <x:c r="M89" i="56"/>
  <x:c r="G94" i="56"/>
  <x:c r="G96" i="56"/>
  <x:c r="J96" i="56"/>
  <x:c r="M96" i="56"/>
  <x:c r="G97" i="56"/>
  <x:c r="J97" i="56"/>
  <x:c r="M97" i="56"/>
  <x:c r="J98" i="56"/>
  <x:c r="M98" i="56"/>
  <x:c r="M99" i="56"/>
  <x:c r="M101" i="56"/>
  <x:c r="J8" i="57"/>
  <x:c r="K8" i="57"/>
  <x:c r="M8" i="57"/>
  <x:c r="J9" i="57"/>
  <x:c r="K9" i="57"/>
  <x:c r="M9" i="57"/>
  <x:c r="J10" i="57"/>
  <x:c r="K10" i="57"/>
  <x:c r="M10" i="57"/>
  <x:c r="G12" i="57"/>
  <x:c r="J12" i="57"/>
  <x:c r="M12" i="57"/>
  <x:c r="G16" i="57"/>
  <x:c r="J16" i="57"/>
  <x:c r="K16" i="57"/>
  <x:c r="M16" i="57"/>
  <x:c r="G17" i="57"/>
  <x:c r="J17" i="57"/>
  <x:c r="K17" i="57"/>
  <x:c r="M17" i="57"/>
  <x:c r="J18" i="57"/>
  <x:c r="K18" i="57"/>
  <x:c r="M18" i="57"/>
  <x:c r="J19" i="57"/>
  <x:c r="K19" i="57"/>
  <x:c r="M19" i="57"/>
  <x:c r="G21" i="57"/>
  <x:c r="J21" i="57"/>
  <x:c r="M21" i="57"/>
  <x:c r="J31" i="57"/>
  <x:c r="K31" i="57"/>
  <x:c r="M31" i="57"/>
  <x:c r="J32" i="57"/>
  <x:c r="K32" i="57"/>
  <x:c r="M32" i="57"/>
  <x:c r="J33" i="57"/>
  <x:c r="K33" i="57"/>
  <x:c r="M33" i="57"/>
  <x:c r="G34" i="57"/>
  <x:c r="J34" i="57"/>
  <x:c r="K34" i="57"/>
  <x:c r="M34" i="57"/>
  <x:c r="J35" i="57"/>
  <x:c r="K35" i="57"/>
  <x:c r="M35" i="57"/>
  <x:c r="J36" i="57"/>
  <x:c r="K36" i="57"/>
  <x:c r="M36" i="57"/>
  <x:c r="J37" i="57"/>
  <x:c r="K37" i="57"/>
  <x:c r="M37" i="57"/>
  <x:c r="J38" i="57"/>
  <x:c r="K38" i="57"/>
  <x:c r="M38" i="57"/>
  <x:c r="J39" i="57"/>
  <x:c r="K39" i="57"/>
  <x:c r="M39" i="57"/>
  <x:c r="J40" i="57"/>
  <x:c r="K40" i="57"/>
  <x:c r="M40" i="57"/>
  <x:c r="J41" i="57"/>
  <x:c r="K41" i="57"/>
  <x:c r="M41" i="57"/>
  <x:c r="J42" i="57"/>
  <x:c r="K42" i="57"/>
  <x:c r="M42" i="57"/>
  <x:c r="J43" i="57"/>
  <x:c r="K43" i="57"/>
  <x:c r="M43" i="57"/>
  <x:c r="J44" i="57"/>
  <x:c r="K44" i="57"/>
  <x:c r="M44" i="57"/>
  <x:c r="J45" i="57"/>
  <x:c r="K45" i="57"/>
  <x:c r="M45" i="57"/>
  <x:c r="J46" i="57"/>
  <x:c r="K46" i="57"/>
  <x:c r="M46" i="57"/>
  <x:c r="J47" i="57"/>
  <x:c r="K47" i="57"/>
  <x:c r="M47" i="57"/>
  <x:c r="J48" i="57"/>
  <x:c r="K48" i="57"/>
  <x:c r="M48" i="57"/>
  <x:c r="J49" i="57"/>
  <x:c r="K49" i="57"/>
  <x:c r="M49" i="57"/>
  <x:c r="J50" i="57"/>
  <x:c r="K50" i="57"/>
  <x:c r="M50" i="57"/>
  <x:c r="J51" i="57"/>
  <x:c r="K51" i="57"/>
  <x:c r="M51" i="57"/>
  <x:c r="J52" i="57"/>
  <x:c r="K52" i="57"/>
  <x:c r="M52" i="57"/>
  <x:c r="J53" i="57"/>
  <x:c r="K53" i="57"/>
  <x:c r="M53" i="57"/>
  <x:c r="J54" i="57"/>
  <x:c r="K54" i="57"/>
  <x:c r="M54" i="57"/>
  <x:c r="J55" i="57"/>
  <x:c r="K55" i="57"/>
  <x:c r="M55" i="57"/>
  <x:c r="G56" i="57"/>
  <x:c r="J56" i="57"/>
  <x:c r="K56" i="57"/>
  <x:c r="M56" i="57"/>
  <x:c r="G57" i="57"/>
  <x:c r="J57" i="57"/>
  <x:c r="K57" i="57"/>
  <x:c r="M57" i="57"/>
  <x:c r="G58" i="57"/>
  <x:c r="J58" i="57"/>
  <x:c r="K58" i="57"/>
  <x:c r="M58" i="57"/>
  <x:c r="G60" i="57"/>
  <x:c r="J60" i="57"/>
  <x:c r="M60" i="57"/>
  <x:c r="J63" i="57"/>
  <x:c r="K63" i="57"/>
  <x:c r="M63" i="57"/>
  <x:c r="J64" i="57"/>
  <x:c r="K64" i="57"/>
  <x:c r="M64" i="57"/>
  <x:c r="J65" i="57"/>
  <x:c r="K65" i="57"/>
  <x:c r="M65" i="57"/>
  <x:c r="J66" i="57"/>
  <x:c r="K66" i="57"/>
  <x:c r="M66" i="57"/>
  <x:c r="J67" i="57"/>
  <x:c r="K67" i="57"/>
  <x:c r="M67" i="57"/>
  <x:c r="J68" i="57"/>
  <x:c r="K68" i="57"/>
  <x:c r="M68" i="57"/>
  <x:c r="G70" i="57"/>
  <x:c r="J70" i="57"/>
  <x:c r="M70" i="57"/>
  <x:c r="G75" i="57"/>
  <x:c r="G77" i="57"/>
  <x:c r="J77" i="57"/>
  <x:c r="M77" i="57"/>
  <x:c r="G78" i="57"/>
  <x:c r="J78" i="57"/>
  <x:c r="M78" i="57"/>
  <x:c r="J79" i="57"/>
  <x:c r="M79" i="57"/>
  <x:c r="M80" i="57"/>
  <x:c r="M82" i="57"/>
  <x:c r="M83" i="57"/>
  <x:c r="J8" i="58"/>
  <x:c r="K8" i="58"/>
  <x:c r="M8" i="58"/>
  <x:c r="J9" i="58"/>
  <x:c r="K9" i="58"/>
  <x:c r="M9" i="58"/>
  <x:c r="G11" i="58"/>
  <x:c r="J11" i="58"/>
  <x:c r="M11" i="58"/>
  <x:c r="J15" i="58"/>
  <x:c r="K15" i="58"/>
  <x:c r="M15" i="58"/>
  <x:c r="J16" i="58"/>
  <x:c r="K16" i="58"/>
  <x:c r="M16" i="58"/>
  <x:c r="J17" i="58"/>
  <x:c r="K17" i="58"/>
  <x:c r="M17" i="58"/>
  <x:c r="J18" i="58"/>
  <x:c r="K18" i="58"/>
  <x:c r="M18" i="58"/>
  <x:c r="J19" i="58"/>
  <x:c r="K19" i="58"/>
  <x:c r="M19" i="58"/>
  <x:c r="G21" i="58"/>
  <x:c r="J21" i="58"/>
  <x:c r="M21" i="58"/>
  <x:c r="J31" i="58"/>
  <x:c r="K31" i="58"/>
  <x:c r="M31" i="58"/>
  <x:c r="J32" i="58"/>
  <x:c r="K32" i="58"/>
  <x:c r="M32" i="58"/>
  <x:c r="J33" i="58"/>
  <x:c r="K33" i="58"/>
  <x:c r="M33" i="58"/>
  <x:c r="J34" i="58"/>
  <x:c r="K34" i="58"/>
  <x:c r="M34" i="58"/>
  <x:c r="J35" i="58"/>
  <x:c r="K35" i="58"/>
  <x:c r="M35" i="58"/>
  <x:c r="J36" i="58"/>
  <x:c r="K36" i="58"/>
  <x:c r="M36" i="58"/>
  <x:c r="J37" i="58"/>
  <x:c r="K37" i="58"/>
  <x:c r="M37" i="58"/>
  <x:c r="J38" i="58"/>
  <x:c r="K38" i="58"/>
  <x:c r="M38" i="58"/>
  <x:c r="J39" i="58"/>
  <x:c r="K39" i="58"/>
  <x:c r="M39" i="58"/>
  <x:c r="J40" i="58"/>
  <x:c r="K40" i="58"/>
  <x:c r="M40" i="58"/>
  <x:c r="J41" i="58"/>
  <x:c r="K41" i="58"/>
  <x:c r="M41" i="58"/>
  <x:c r="J42" i="58"/>
  <x:c r="K42" i="58"/>
  <x:c r="M42" i="58"/>
  <x:c r="J43" i="58"/>
  <x:c r="K43" i="58"/>
  <x:c r="M43" i="58"/>
  <x:c r="J44" i="58"/>
  <x:c r="K44" i="58"/>
  <x:c r="M44" i="58"/>
  <x:c r="J45" i="58"/>
  <x:c r="K45" i="58"/>
  <x:c r="M45" i="58"/>
  <x:c r="J46" i="58"/>
  <x:c r="K46" i="58"/>
  <x:c r="M46" i="58"/>
  <x:c r="J47" i="58"/>
  <x:c r="K47" i="58"/>
  <x:c r="M47" i="58"/>
  <x:c r="J48" i="58"/>
  <x:c r="K48" i="58"/>
  <x:c r="M48" i="58"/>
  <x:c r="K49" i="58"/>
  <x:c r="M49" i="58"/>
  <x:c r="J50" i="58"/>
  <x:c r="K50" i="58"/>
  <x:c r="M50" i="58"/>
  <x:c r="J51" i="58"/>
  <x:c r="K51" i="58"/>
  <x:c r="M51" i="58"/>
  <x:c r="J52" i="58"/>
  <x:c r="K52" i="58"/>
  <x:c r="M52" i="58"/>
  <x:c r="J53" i="58"/>
  <x:c r="K53" i="58"/>
  <x:c r="M53" i="58"/>
  <x:c r="J54" i="58"/>
  <x:c r="K54" i="58"/>
  <x:c r="M54" i="58"/>
  <x:c r="J55" i="58"/>
  <x:c r="K55" i="58"/>
  <x:c r="M55" i="58"/>
  <x:c r="J56" i="58"/>
  <x:c r="K56" i="58"/>
  <x:c r="M56" i="58"/>
  <x:c r="J57" i="58"/>
  <x:c r="K57" i="58"/>
  <x:c r="M57" i="58"/>
  <x:c r="J58" i="58"/>
  <x:c r="K58" i="58"/>
  <x:c r="M58" i="58"/>
  <x:c r="J59" i="58"/>
  <x:c r="K59" i="58"/>
  <x:c r="M59" i="58"/>
  <x:c r="J60" i="58"/>
  <x:c r="K60" i="58"/>
  <x:c r="M60" i="58"/>
  <x:c r="J61" i="58"/>
  <x:c r="K61" i="58"/>
  <x:c r="M61" i="58"/>
  <x:c r="J62" i="58"/>
  <x:c r="K62" i="58"/>
  <x:c r="M62" i="58"/>
  <x:c r="J63" i="58"/>
  <x:c r="K63" i="58"/>
  <x:c r="M63" i="58"/>
  <x:c r="G65" i="58"/>
  <x:c r="J65" i="58"/>
  <x:c r="M65" i="58"/>
  <x:c r="J68" i="58"/>
  <x:c r="K68" i="58"/>
  <x:c r="M68" i="58"/>
  <x:c r="J69" i="58"/>
  <x:c r="K69" i="58"/>
  <x:c r="M69" i="58"/>
  <x:c r="J70" i="58"/>
  <x:c r="K70" i="58"/>
  <x:c r="M70" i="58"/>
  <x:c r="J71" i="58"/>
  <x:c r="K71" i="58"/>
  <x:c r="M71" i="58"/>
  <x:c r="J72" i="58"/>
  <x:c r="K72" i="58"/>
  <x:c r="M72" i="58"/>
  <x:c r="J73" i="58"/>
  <x:c r="K73" i="58"/>
  <x:c r="M73" i="58"/>
  <x:c r="J74" i="58"/>
  <x:c r="K74" i="58"/>
  <x:c r="M74" i="58"/>
  <x:c r="J75" i="58"/>
  <x:c r="K75" i="58"/>
  <x:c r="M75" i="58"/>
  <x:c r="J76" i="58"/>
  <x:c r="K76" i="58"/>
  <x:c r="M76" i="58"/>
  <x:c r="G77" i="58"/>
  <x:c r="J77" i="58"/>
  <x:c r="K77" i="58"/>
  <x:c r="M77" i="58"/>
  <x:c r="J78" i="58"/>
  <x:c r="K78" i="58"/>
  <x:c r="M78" i="58"/>
  <x:c r="J79" i="58"/>
  <x:c r="K79" i="58"/>
  <x:c r="M79" i="58"/>
  <x:c r="J80" i="58"/>
  <x:c r="K80" i="58"/>
  <x:c r="M80" i="58"/>
  <x:c r="J81" i="58"/>
  <x:c r="K81" i="58"/>
  <x:c r="M81" i="58"/>
  <x:c r="J82" i="58"/>
  <x:c r="K82" i="58"/>
  <x:c r="M82" i="58"/>
  <x:c r="G84" i="58"/>
  <x:c r="J84" i="58"/>
  <x:c r="M84" i="58"/>
  <x:c r="G89" i="58"/>
  <x:c r="G91" i="58"/>
  <x:c r="J91" i="58"/>
  <x:c r="M91" i="58"/>
  <x:c r="G92" i="58"/>
  <x:c r="J92" i="58"/>
  <x:c r="M92" i="58"/>
  <x:c r="J93" i="58"/>
  <x:c r="M93" i="58"/>
  <x:c r="M94" i="58"/>
  <x:c r="M96" i="58"/>
  <x:c r="M97" i="58"/>
  <x:c r="J8" i="59"/>
  <x:c r="K8" i="59"/>
  <x:c r="M8" i="59"/>
  <x:c r="J9" i="59"/>
  <x:c r="K9" i="59"/>
  <x:c r="M9" i="59"/>
  <x:c r="J10" i="59"/>
  <x:c r="K10" i="59"/>
  <x:c r="M10" i="59"/>
  <x:c r="J11" i="59"/>
  <x:c r="K11" i="59"/>
  <x:c r="M11" i="59"/>
  <x:c r="J12" i="59"/>
  <x:c r="K12" i="59"/>
  <x:c r="M12" i="59"/>
  <x:c r="J13" i="59"/>
  <x:c r="K13" i="59"/>
  <x:c r="M13" i="59"/>
  <x:c r="G14" i="59"/>
  <x:c r="J14" i="59"/>
  <x:c r="K14" i="59"/>
  <x:c r="M14" i="59"/>
  <x:c r="G16" i="59"/>
  <x:c r="J16" i="59"/>
  <x:c r="M16" i="59"/>
  <x:c r="J20" i="59"/>
  <x:c r="K20" i="59"/>
  <x:c r="M20" i="59"/>
  <x:c r="J21" i="59"/>
  <x:c r="K21" i="59"/>
  <x:c r="M21" i="59"/>
  <x:c r="G22" i="59"/>
  <x:c r="J22" i="59"/>
  <x:c r="K22" i="59"/>
  <x:c r="M22" i="59"/>
  <x:c r="G24" i="59"/>
  <x:c r="J24" i="59"/>
  <x:c r="M24" i="59"/>
  <x:c r="J34" i="59"/>
  <x:c r="K34" i="59"/>
  <x:c r="M34" i="59"/>
  <x:c r="J35" i="59"/>
  <x:c r="K35" i="59"/>
  <x:c r="M35" i="59"/>
  <x:c r="J36" i="59"/>
  <x:c r="K36" i="59"/>
  <x:c r="M36" i="59"/>
  <x:c r="J37" i="59"/>
  <x:c r="K37" i="59"/>
  <x:c r="M37" i="59"/>
  <x:c r="J38" i="59"/>
  <x:c r="K38" i="59"/>
  <x:c r="M38" i="59"/>
  <x:c r="J39" i="59"/>
  <x:c r="K39" i="59"/>
  <x:c r="M39" i="59"/>
  <x:c r="J40" i="59"/>
  <x:c r="K40" i="59"/>
  <x:c r="M40" i="59"/>
  <x:c r="J41" i="59"/>
  <x:c r="K41" i="59"/>
  <x:c r="M41" i="59"/>
  <x:c r="J42" i="59"/>
  <x:c r="K42" i="59"/>
  <x:c r="M42" i="59"/>
  <x:c r="K43" i="59"/>
  <x:c r="M43" i="59"/>
  <x:c r="J44" i="59"/>
  <x:c r="K44" i="59"/>
  <x:c r="M44" i="59"/>
  <x:c r="J45" i="59"/>
  <x:c r="K45" i="59"/>
  <x:c r="M45" i="59"/>
  <x:c r="J46" i="59"/>
  <x:c r="K46" i="59"/>
  <x:c r="M46" i="59"/>
  <x:c r="J47" i="59"/>
  <x:c r="K47" i="59"/>
  <x:c r="M47" i="59"/>
  <x:c r="J48" i="59"/>
  <x:c r="K48" i="59"/>
  <x:c r="M48" i="59"/>
  <x:c r="J49" i="59"/>
  <x:c r="K49" i="59"/>
  <x:c r="M49" i="59"/>
  <x:c r="G50" i="59"/>
  <x:c r="J50" i="59"/>
  <x:c r="K50" i="59"/>
  <x:c r="M50" i="59"/>
  <x:c r="J51" i="59"/>
  <x:c r="K51" i="59"/>
  <x:c r="M51" i="59"/>
  <x:c r="J52" i="59"/>
  <x:c r="K52" i="59"/>
  <x:c r="M52" i="59"/>
  <x:c r="G54" i="59"/>
  <x:c r="J54" i="59"/>
  <x:c r="M54" i="59"/>
  <x:c r="G57" i="59"/>
  <x:c r="J57" i="59"/>
  <x:c r="K57" i="59"/>
  <x:c r="M57" i="59"/>
  <x:c r="G58" i="59"/>
  <x:c r="J58" i="59"/>
  <x:c r="K58" i="59"/>
  <x:c r="M58" i="59"/>
  <x:c r="J59" i="59"/>
  <x:c r="K59" i="59"/>
  <x:c r="M59" i="59"/>
  <x:c r="J60" i="59"/>
  <x:c r="K60" i="59"/>
  <x:c r="M60" i="59"/>
  <x:c r="J61" i="59"/>
  <x:c r="K61" i="59"/>
  <x:c r="M61" i="59"/>
  <x:c r="G63" i="59"/>
  <x:c r="J63" i="59"/>
  <x:c r="M63" i="59"/>
  <x:c r="J70" i="59"/>
  <x:c r="M70" i="59"/>
  <x:c r="J71" i="59"/>
  <x:c r="M71" i="59"/>
  <x:c r="J72" i="59"/>
  <x:c r="M72" i="59"/>
  <x:c r="M73" i="59"/>
  <x:c r="M75" i="59"/>
  <x:c r="M76" i="59"/>
  <x:c r="J8" i="60"/>
  <x:c r="K8" i="60"/>
  <x:c r="M8" i="60"/>
  <x:c r="J9" i="60"/>
  <x:c r="K9" i="60"/>
  <x:c r="M9" i="60"/>
  <x:c r="G10" i="60"/>
  <x:c r="J10" i="60"/>
  <x:c r="K10" i="60"/>
  <x:c r="M10" i="60"/>
  <x:c r="J11" i="60"/>
  <x:c r="K11" i="60"/>
  <x:c r="M11" i="60"/>
  <x:c r="J12" i="60"/>
  <x:c r="K12" i="60"/>
  <x:c r="M12" i="60"/>
  <x:c r="J13" i="60"/>
  <x:c r="K13" i="60"/>
  <x:c r="M13" i="60"/>
  <x:c r="J14" i="60"/>
  <x:c r="K14" i="60"/>
  <x:c r="M14" i="60"/>
  <x:c r="J15" i="60"/>
  <x:c r="K15" i="60"/>
  <x:c r="M15" i="60"/>
  <x:c r="J16" i="60"/>
  <x:c r="K16" i="60"/>
  <x:c r="M16" i="60"/>
  <x:c r="J17" i="60"/>
  <x:c r="K17" i="60"/>
  <x:c r="M17" i="60"/>
  <x:c r="J18" i="60"/>
  <x:c r="K18" i="60"/>
  <x:c r="M18" i="60"/>
  <x:c r="J19" i="60"/>
  <x:c r="K19" i="60"/>
  <x:c r="M19" i="60"/>
  <x:c r="G21" i="60"/>
  <x:c r="J21" i="60"/>
  <x:c r="M21" i="60"/>
  <x:c r="J25" i="60"/>
  <x:c r="K25" i="60"/>
  <x:c r="M25" i="60"/>
  <x:c r="J26" i="60"/>
  <x:c r="K26" i="60"/>
  <x:c r="M26" i="60"/>
  <x:c r="G27" i="60"/>
  <x:c r="J27" i="60"/>
  <x:c r="K27" i="60"/>
  <x:c r="M27" i="60"/>
  <x:c r="G28" i="60"/>
  <x:c r="J28" i="60"/>
  <x:c r="K28" i="60"/>
  <x:c r="M28" i="60"/>
  <x:c r="G29" i="60"/>
  <x:c r="J29" i="60"/>
  <x:c r="K29" i="60"/>
  <x:c r="M29" i="60"/>
  <x:c r="J30" i="60"/>
  <x:c r="K30" i="60"/>
  <x:c r="M30" i="60"/>
  <x:c r="G31" i="60"/>
  <x:c r="J31" i="60"/>
  <x:c r="K31" i="60"/>
  <x:c r="M31" i="60"/>
  <x:c r="G33" i="60"/>
  <x:c r="J33" i="60"/>
  <x:c r="M33" i="60"/>
  <x:c r="J43" i="60"/>
  <x:c r="K43" i="60"/>
  <x:c r="M43" i="60"/>
  <x:c r="J44" i="60"/>
  <x:c r="K44" i="60"/>
  <x:c r="M44" i="60"/>
  <x:c r="J45" i="60"/>
  <x:c r="K45" i="60"/>
  <x:c r="M45" i="60"/>
  <x:c r="J46" i="60"/>
  <x:c r="K46" i="60"/>
  <x:c r="M46" i="60"/>
  <x:c r="J47" i="60"/>
  <x:c r="K47" i="60"/>
  <x:c r="M47" i="60"/>
  <x:c r="J48" i="60"/>
  <x:c r="K48" i="60"/>
  <x:c r="M48" i="60"/>
  <x:c r="J49" i="60"/>
  <x:c r="K49" i="60"/>
  <x:c r="M49" i="60"/>
  <x:c r="J50" i="60"/>
  <x:c r="K50" i="60"/>
  <x:c r="M50" i="60"/>
  <x:c r="J51" i="60"/>
  <x:c r="K51" i="60"/>
  <x:c r="M51" i="60"/>
  <x:c r="J52" i="60"/>
  <x:c r="K52" i="60"/>
  <x:c r="M52" i="60"/>
  <x:c r="J53" i="60"/>
  <x:c r="K53" i="60"/>
  <x:c r="M53" i="60"/>
  <x:c r="J54" i="60"/>
  <x:c r="K54" i="60"/>
  <x:c r="M54" i="60"/>
  <x:c r="J55" i="60"/>
  <x:c r="K55" i="60"/>
  <x:c r="M55" i="60"/>
  <x:c r="J56" i="60"/>
  <x:c r="K56" i="60"/>
  <x:c r="M56" i="60"/>
  <x:c r="J57" i="60"/>
  <x:c r="K57" i="60"/>
  <x:c r="M57" i="60"/>
  <x:c r="J58" i="60"/>
  <x:c r="K58" i="60"/>
  <x:c r="M58" i="60"/>
  <x:c r="J59" i="60"/>
  <x:c r="K59" i="60"/>
  <x:c r="M59" i="60"/>
  <x:c r="J60" i="60"/>
  <x:c r="K60" i="60"/>
  <x:c r="M60" i="60"/>
  <x:c r="J61" i="60"/>
  <x:c r="K61" i="60"/>
  <x:c r="M61" i="60"/>
  <x:c r="J62" i="60"/>
  <x:c r="K62" i="60"/>
  <x:c r="M62" i="60"/>
  <x:c r="J63" i="60"/>
  <x:c r="K63" i="60"/>
  <x:c r="M63" i="60"/>
  <x:c r="J64" i="60"/>
  <x:c r="K64" i="60"/>
  <x:c r="M64" i="60"/>
  <x:c r="J65" i="60"/>
  <x:c r="K65" i="60"/>
  <x:c r="M65" i="60"/>
  <x:c r="J66" i="60"/>
  <x:c r="K66" i="60"/>
  <x:c r="M66" i="60"/>
  <x:c r="J67" i="60"/>
  <x:c r="K67" i="60"/>
  <x:c r="M67" i="60"/>
  <x:c r="J68" i="60"/>
  <x:c r="K68" i="60"/>
  <x:c r="M68" i="60"/>
  <x:c r="J69" i="60"/>
  <x:c r="K69" i="60"/>
  <x:c r="M69" i="60"/>
  <x:c r="J70" i="60"/>
  <x:c r="K70" i="60"/>
  <x:c r="M70" i="60"/>
  <x:c r="J71" i="60"/>
  <x:c r="K71" i="60"/>
  <x:c r="M71" i="60"/>
  <x:c r="J72" i="60"/>
  <x:c r="K72" i="60"/>
  <x:c r="M72" i="60"/>
  <x:c r="J73" i="60"/>
  <x:c r="K73" i="60"/>
  <x:c r="M73" i="60"/>
  <x:c r="J74" i="60"/>
  <x:c r="K74" i="60"/>
  <x:c r="M74" i="60"/>
  <x:c r="J75" i="60"/>
  <x:c r="K75" i="60"/>
  <x:c r="M75" i="60"/>
  <x:c r="J76" i="60"/>
  <x:c r="K76" i="60"/>
  <x:c r="M76" i="60"/>
  <x:c r="J77" i="60"/>
  <x:c r="K77" i="60"/>
  <x:c r="M77" i="60"/>
  <x:c r="J78" i="60"/>
  <x:c r="K78" i="60"/>
  <x:c r="M78" i="60"/>
  <x:c r="J79" i="60"/>
  <x:c r="K79" i="60"/>
  <x:c r="M79" i="60"/>
  <x:c r="G81" i="60"/>
  <x:c r="J81" i="60"/>
  <x:c r="M81" i="60"/>
  <x:c r="G84" i="60"/>
  <x:c r="J84" i="60"/>
  <x:c r="K84" i="60"/>
  <x:c r="M84" i="60"/>
  <x:c r="J85" i="60"/>
  <x:c r="K85" i="60"/>
  <x:c r="M85" i="60"/>
  <x:c r="J86" i="60"/>
  <x:c r="K86" i="60"/>
  <x:c r="M86" i="60"/>
  <x:c r="J87" i="60"/>
  <x:c r="K87" i="60"/>
  <x:c r="M87" i="60"/>
  <x:c r="J88" i="60"/>
  <x:c r="K88" i="60"/>
  <x:c r="M88" i="60"/>
  <x:c r="J89" i="60"/>
  <x:c r="K89" i="60"/>
  <x:c r="M89" i="60"/>
  <x:c r="J90" i="60"/>
  <x:c r="K90" i="60"/>
  <x:c r="M90" i="60"/>
  <x:c r="J91" i="60"/>
  <x:c r="K91" i="60"/>
  <x:c r="M91" i="60"/>
  <x:c r="J92" i="60"/>
  <x:c r="K92" i="60"/>
  <x:c r="M92" i="60"/>
  <x:c r="J93" i="60"/>
  <x:c r="K93" i="60"/>
  <x:c r="M93" i="60"/>
  <x:c r="J94" i="60"/>
  <x:c r="K94" i="60"/>
  <x:c r="M94" i="60"/>
  <x:c r="G96" i="60"/>
  <x:c r="J96" i="60"/>
  <x:c r="M96" i="60"/>
  <x:c r="J103" i="60"/>
  <x:c r="M103" i="60"/>
  <x:c r="J104" i="60"/>
  <x:c r="M104" i="60"/>
  <x:c r="J105" i="60"/>
  <x:c r="M105" i="60"/>
  <x:c r="M106" i="60"/>
  <x:c r="M108" i="60"/>
  <x:c r="M109" i="60"/>
  <x:c r="G4" i="61"/>
  <x:c r="G8" i="61"/>
  <x:c r="J8" i="61"/>
  <x:c r="K8" i="61"/>
  <x:c r="M8" i="61"/>
  <x:c r="J9" i="61"/>
  <x:c r="K9" i="61"/>
  <x:c r="M9" i="61"/>
  <x:c r="J10" i="61"/>
  <x:c r="K10" i="61"/>
  <x:c r="M10" i="61"/>
  <x:c r="J11" i="61"/>
  <x:c r="K11" i="61"/>
  <x:c r="M11" i="61"/>
  <x:c r="J12" i="61"/>
  <x:c r="K12" i="61"/>
  <x:c r="M12" i="61"/>
  <x:c r="J13" i="61"/>
  <x:c r="K13" i="61"/>
  <x:c r="M13" i="61"/>
  <x:c r="J14" i="61"/>
  <x:c r="K14" i="61"/>
  <x:c r="M14" i="61"/>
  <x:c r="J15" i="61"/>
  <x:c r="K15" i="61"/>
  <x:c r="M15" i="61"/>
  <x:c r="J16" i="61"/>
  <x:c r="K16" i="61"/>
  <x:c r="M16" i="61"/>
  <x:c r="J17" i="61"/>
  <x:c r="K17" i="61"/>
  <x:c r="M17" i="61"/>
  <x:c r="G19" i="61"/>
  <x:c r="J19" i="61"/>
  <x:c r="M19" i="61"/>
  <x:c r="J23" i="61"/>
  <x:c r="K23" i="61"/>
  <x:c r="M23" i="61"/>
  <x:c r="J24" i="61"/>
  <x:c r="K24" i="61"/>
  <x:c r="M24" i="61"/>
  <x:c r="J25" i="61"/>
  <x:c r="K25" i="61"/>
  <x:c r="M25" i="61"/>
  <x:c r="J26" i="61"/>
  <x:c r="K26" i="61"/>
  <x:c r="M26" i="61"/>
  <x:c r="G27" i="61"/>
  <x:c r="J27" i="61"/>
  <x:c r="K27" i="61"/>
  <x:c r="M27" i="61"/>
  <x:c r="G29" i="61"/>
  <x:c r="J29" i="61"/>
  <x:c r="M29" i="61"/>
  <x:c r="J39" i="61"/>
  <x:c r="K39" i="61"/>
  <x:c r="M39" i="61"/>
  <x:c r="J40" i="61"/>
  <x:c r="K40" i="61"/>
  <x:c r="M40" i="61"/>
  <x:c r="J41" i="61"/>
  <x:c r="K41" i="61"/>
  <x:c r="M41" i="61"/>
  <x:c r="J42" i="61"/>
  <x:c r="K42" i="61"/>
  <x:c r="M42" i="61"/>
  <x:c r="J43" i="61"/>
  <x:c r="K43" i="61"/>
  <x:c r="M43" i="61"/>
  <x:c r="J44" i="61"/>
  <x:c r="K44" i="61"/>
  <x:c r="M44" i="61"/>
  <x:c r="J45" i="61"/>
  <x:c r="K45" i="61"/>
  <x:c r="M45" i="61"/>
  <x:c r="J46" i="61"/>
  <x:c r="K46" i="61"/>
  <x:c r="M46" i="61"/>
  <x:c r="J47" i="61"/>
  <x:c r="K47" i="61"/>
  <x:c r="M47" i="61"/>
  <x:c r="J48" i="61"/>
  <x:c r="K48" i="61"/>
  <x:c r="M48" i="61"/>
  <x:c r="J49" i="61"/>
  <x:c r="K49" i="61"/>
  <x:c r="M49" i="61"/>
  <x:c r="J50" i="61"/>
  <x:c r="K50" i="61"/>
  <x:c r="M50" i="61"/>
  <x:c r="J51" i="61"/>
  <x:c r="K51" i="61"/>
  <x:c r="M51" i="61"/>
  <x:c r="J52" i="61"/>
  <x:c r="K52" i="61"/>
  <x:c r="M52" i="61"/>
  <x:c r="J53" i="61"/>
  <x:c r="K53" i="61"/>
  <x:c r="M53" i="61"/>
  <x:c r="J54" i="61"/>
  <x:c r="K54" i="61"/>
  <x:c r="M54" i="61"/>
  <x:c r="J55" i="61"/>
  <x:c r="K55" i="61"/>
  <x:c r="M55" i="61"/>
  <x:c r="J56" i="61"/>
  <x:c r="K56" i="61"/>
  <x:c r="M56" i="61"/>
  <x:c r="J57" i="61"/>
  <x:c r="K57" i="61"/>
  <x:c r="M57" i="61"/>
  <x:c r="J58" i="61"/>
  <x:c r="K58" i="61"/>
  <x:c r="M58" i="61"/>
  <x:c r="J59" i="61"/>
  <x:c r="K59" i="61"/>
  <x:c r="M59" i="61"/>
  <x:c r="J60" i="61"/>
  <x:c r="K60" i="61"/>
  <x:c r="M60" i="61"/>
  <x:c r="J61" i="61"/>
  <x:c r="K61" i="61"/>
  <x:c r="M61" i="61"/>
  <x:c r="J62" i="61"/>
  <x:c r="K62" i="61"/>
  <x:c r="M62" i="61"/>
  <x:c r="J63" i="61"/>
  <x:c r="K63" i="61"/>
  <x:c r="M63" i="61"/>
  <x:c r="J64" i="61"/>
  <x:c r="K64" i="61"/>
  <x:c r="M64" i="61"/>
  <x:c r="J65" i="61"/>
  <x:c r="K65" i="61"/>
  <x:c r="M65" i="61"/>
  <x:c r="J66" i="61"/>
  <x:c r="K66" i="61"/>
  <x:c r="M66" i="61"/>
  <x:c r="G71" i="61"/>
  <x:c r="J71" i="61"/>
  <x:c r="M71" i="61"/>
  <x:c r="J74" i="61"/>
  <x:c r="K74" i="61"/>
  <x:c r="M74" i="61"/>
  <x:c r="J75" i="61"/>
  <x:c r="K75" i="61"/>
  <x:c r="M75" i="61"/>
  <x:c r="J76" i="61"/>
  <x:c r="K76" i="61"/>
  <x:c r="M76" i="61"/>
  <x:c r="J77" i="61"/>
  <x:c r="K77" i="61"/>
  <x:c r="M77" i="61"/>
  <x:c r="J78" i="61"/>
  <x:c r="K78" i="61"/>
  <x:c r="M78" i="61"/>
  <x:c r="J79" i="61"/>
  <x:c r="K79" i="61"/>
  <x:c r="M79" i="61"/>
  <x:c r="J80" i="61"/>
  <x:c r="K80" i="61"/>
  <x:c r="M80" i="61"/>
  <x:c r="J81" i="61"/>
  <x:c r="K81" i="61"/>
  <x:c r="M81" i="61"/>
  <x:c r="J82" i="61"/>
  <x:c r="K82" i="61"/>
  <x:c r="M82" i="61"/>
  <x:c r="G84" i="61"/>
  <x:c r="J84" i="61"/>
  <x:c r="M84" i="61"/>
  <x:c r="J91" i="61"/>
  <x:c r="M91" i="61"/>
  <x:c r="J92" i="61"/>
  <x:c r="M92" i="61"/>
  <x:c r="J93" i="61"/>
  <x:c r="M93" i="61"/>
  <x:c r="M94" i="61"/>
  <x:c r="M96" i="61"/>
  <x:c r="M97" i="61"/>
  <x:c r="J100" i="61"/>
  <x:c r="J101" i="61"/>
  <x:c r="J8" i="62"/>
  <x:c r="K8" i="62"/>
  <x:c r="M8" i="62"/>
  <x:c r="J9" i="62"/>
  <x:c r="K9" i="62"/>
  <x:c r="M9" i="62"/>
  <x:c r="G10" i="62"/>
  <x:c r="J10" i="62"/>
  <x:c r="K10" i="62"/>
  <x:c r="M10" i="62"/>
  <x:c r="J11" i="62"/>
  <x:c r="K11" i="62"/>
  <x:c r="M11" i="62"/>
  <x:c r="J12" i="62"/>
  <x:c r="K12" i="62"/>
  <x:c r="M12" i="62"/>
  <x:c r="J13" i="62"/>
  <x:c r="K13" i="62"/>
  <x:c r="M13" i="62"/>
  <x:c r="J14" i="62"/>
  <x:c r="K14" i="62"/>
  <x:c r="M14" i="62"/>
  <x:c r="G16" i="62"/>
  <x:c r="J16" i="62"/>
  <x:c r="M16" i="62"/>
  <x:c r="G20" i="62"/>
  <x:c r="J20" i="62"/>
  <x:c r="K20" i="62"/>
  <x:c r="M20" i="62"/>
  <x:c r="G22" i="62"/>
  <x:c r="J22" i="62"/>
  <x:c r="M22" i="62"/>
  <x:c r="J34" i="62"/>
  <x:c r="K34" i="62"/>
  <x:c r="M34" i="62"/>
  <x:c r="J35" i="62"/>
  <x:c r="K35" i="62"/>
  <x:c r="M35" i="62"/>
  <x:c r="J36" i="62"/>
  <x:c r="K36" i="62"/>
  <x:c r="M36" i="62"/>
  <x:c r="J37" i="62"/>
  <x:c r="K37" i="62"/>
  <x:c r="M37" i="62"/>
  <x:c r="J38" i="62"/>
  <x:c r="K38" i="62"/>
  <x:c r="M38" i="62"/>
  <x:c r="J39" i="62"/>
  <x:c r="K39" i="62"/>
  <x:c r="M39" i="62"/>
  <x:c r="J40" i="62"/>
  <x:c r="K40" i="62"/>
  <x:c r="M40" i="62"/>
  <x:c r="J41" i="62"/>
  <x:c r="K41" i="62"/>
  <x:c r="M41" i="62"/>
  <x:c r="J42" i="62"/>
  <x:c r="K42" i="62"/>
  <x:c r="M42" i="62"/>
  <x:c r="J43" i="62"/>
  <x:c r="K43" i="62"/>
  <x:c r="M43" i="62"/>
  <x:c r="J44" i="62"/>
  <x:c r="K44" i="62"/>
  <x:c r="M44" i="62"/>
  <x:c r="J45" i="62"/>
  <x:c r="K45" i="62"/>
  <x:c r="M45" i="62"/>
  <x:c r="J46" i="62"/>
  <x:c r="K46" i="62"/>
  <x:c r="M46" i="62"/>
  <x:c r="J47" i="62"/>
  <x:c r="K47" i="62"/>
  <x:c r="M47" i="62"/>
  <x:c r="J48" i="62"/>
  <x:c r="K48" i="62"/>
  <x:c r="M48" i="62"/>
  <x:c r="J49" i="62"/>
  <x:c r="K49" i="62"/>
  <x:c r="M49" i="62"/>
  <x:c r="J50" i="62"/>
  <x:c r="K50" i="62"/>
  <x:c r="M50" i="62"/>
  <x:c r="J51" i="62"/>
  <x:c r="K51" i="62"/>
  <x:c r="M51" i="62"/>
  <x:c r="J52" i="62"/>
  <x:c r="K52" i="62"/>
  <x:c r="M52" i="62"/>
  <x:c r="J53" i="62"/>
  <x:c r="K53" i="62"/>
  <x:c r="M53" i="62"/>
  <x:c r="J54" i="62"/>
  <x:c r="K54" i="62"/>
  <x:c r="M54" i="62"/>
  <x:c r="J55" i="62"/>
  <x:c r="K55" i="62"/>
  <x:c r="M55" i="62"/>
  <x:c r="J56" i="62"/>
  <x:c r="K56" i="62"/>
  <x:c r="M56" i="62"/>
  <x:c r="J57" i="62"/>
  <x:c r="K57" i="62"/>
  <x:c r="M57" i="62"/>
  <x:c r="J58" i="62"/>
  <x:c r="K58" i="62"/>
  <x:c r="M58" i="62"/>
  <x:c r="J59" i="62"/>
  <x:c r="K59" i="62"/>
  <x:c r="M59" i="62"/>
  <x:c r="J60" i="62"/>
  <x:c r="K60" i="62"/>
  <x:c r="M60" i="62"/>
  <x:c r="G62" i="62"/>
  <x:c r="J62" i="62"/>
  <x:c r="M62" i="62"/>
  <x:c r="G65" i="62"/>
  <x:c r="J65" i="62"/>
  <x:c r="K65" i="62"/>
  <x:c r="M65" i="62"/>
  <x:c r="G66" i="62"/>
  <x:c r="J66" i="62"/>
  <x:c r="K66" i="62"/>
  <x:c r="M66" i="62"/>
  <x:c r="G68" i="62"/>
  <x:c r="J68" i="62"/>
  <x:c r="M68" i="62"/>
  <x:c r="J75" i="62"/>
  <x:c r="M75" i="62"/>
  <x:c r="J76" i="62"/>
  <x:c r="M76" i="62"/>
  <x:c r="J77" i="62"/>
  <x:c r="M77" i="62"/>
  <x:c r="M78" i="62"/>
  <x:c r="M80" i="62"/>
  <x:c r="M81" i="62"/>
  <x:c r="J8" i="64"/>
  <x:c r="K8" i="64"/>
  <x:c r="M8" i="64"/>
  <x:c r="J9" i="64"/>
  <x:c r="K9" i="64"/>
  <x:c r="M9" i="64"/>
  <x:c r="J10" i="64"/>
  <x:c r="K10" i="64"/>
  <x:c r="M10" i="64"/>
  <x:c r="J11" i="64"/>
  <x:c r="K11" i="64"/>
  <x:c r="M11" i="64"/>
  <x:c r="J12" i="64"/>
  <x:c r="K12" i="64"/>
  <x:c r="M12" i="64"/>
  <x:c r="J13" i="64"/>
  <x:c r="K13" i="64"/>
  <x:c r="M13" i="64"/>
  <x:c r="J14" i="64"/>
  <x:c r="K14" i="64"/>
  <x:c r="M14" i="64"/>
  <x:c r="J15" i="64"/>
  <x:c r="K15" i="64"/>
  <x:c r="M15" i="64"/>
  <x:c r="J16" i="64"/>
  <x:c r="K16" i="64"/>
  <x:c r="M16" i="64"/>
  <x:c r="J17" i="64"/>
  <x:c r="K17" i="64"/>
  <x:c r="M17" i="64"/>
  <x:c r="J18" i="64"/>
  <x:c r="K18" i="64"/>
  <x:c r="M18" i="64"/>
  <x:c r="J19" i="64"/>
  <x:c r="K19" i="64"/>
  <x:c r="M19" i="64"/>
  <x:c r="J20" i="64"/>
  <x:c r="K20" i="64"/>
  <x:c r="M20" i="64"/>
  <x:c r="J21" i="64"/>
  <x:c r="K21" i="64"/>
  <x:c r="M21" i="64"/>
  <x:c r="J22" i="64"/>
  <x:c r="K22" i="64"/>
  <x:c r="M22" i="64"/>
  <x:c r="J23" i="64"/>
  <x:c r="K23" i="64"/>
  <x:c r="M23" i="64"/>
  <x:c r="J24" i="64"/>
  <x:c r="K24" i="64"/>
  <x:c r="M24" i="64"/>
  <x:c r="J25" i="64"/>
  <x:c r="K25" i="64"/>
  <x:c r="M25" i="64"/>
  <x:c r="J26" i="64"/>
  <x:c r="K26" i="64"/>
  <x:c r="M26" i="64"/>
  <x:c r="J27" i="64"/>
  <x:c r="K27" i="64"/>
  <x:c r="M27" i="64"/>
  <x:c r="J28" i="64"/>
  <x:c r="K28" i="64"/>
  <x:c r="M28" i="64"/>
  <x:c r="J29" i="64"/>
  <x:c r="K29" i="64"/>
  <x:c r="M29" i="64"/>
  <x:c r="J30" i="64"/>
  <x:c r="K30" i="64"/>
  <x:c r="M30" i="64"/>
  <x:c r="J31" i="64"/>
  <x:c r="K31" i="64"/>
  <x:c r="M31" i="64"/>
  <x:c r="J32" i="64"/>
  <x:c r="K32" i="64"/>
  <x:c r="M32" i="64"/>
  <x:c r="J33" i="64"/>
  <x:c r="K33" i="64"/>
  <x:c r="M33" i="64"/>
  <x:c r="J34" i="64"/>
  <x:c r="K34" i="64"/>
  <x:c r="M34" i="64"/>
  <x:c r="J35" i="64"/>
  <x:c r="K35" i="64"/>
  <x:c r="M35" i="64"/>
  <x:c r="J36" i="64"/>
  <x:c r="K36" i="64"/>
  <x:c r="M36" i="64"/>
  <x:c r="J37" i="64"/>
  <x:c r="K37" i="64"/>
  <x:c r="M37" i="64"/>
  <x:c r="J38" i="64"/>
  <x:c r="K38" i="64"/>
  <x:c r="M38" i="64"/>
  <x:c r="J39" i="64"/>
  <x:c r="K39" i="64"/>
  <x:c r="M39" i="64"/>
  <x:c r="J40" i="64"/>
  <x:c r="K40" i="64"/>
  <x:c r="M40" i="64"/>
  <x:c r="J41" i="64"/>
  <x:c r="K41" i="64"/>
  <x:c r="M41" i="64"/>
  <x:c r="J42" i="64"/>
  <x:c r="K42" i="64"/>
  <x:c r="M42" i="64"/>
  <x:c r="J43" i="64"/>
  <x:c r="K43" i="64"/>
  <x:c r="M43" i="64"/>
  <x:c r="J44" i="64"/>
  <x:c r="K44" i="64"/>
  <x:c r="M44" i="64"/>
  <x:c r="J45" i="64"/>
  <x:c r="K45" i="64"/>
  <x:c r="M45" i="64"/>
  <x:c r="G47" i="64"/>
  <x:c r="J47" i="64"/>
  <x:c r="M47" i="64"/>
  <x:c r="G50" i="64"/>
  <x:c r="J50" i="64"/>
  <x:c r="K50" i="64"/>
  <x:c r="M50" i="64"/>
  <x:c r="G51" i="64"/>
  <x:c r="J51" i="64"/>
  <x:c r="K51" i="64"/>
  <x:c r="M51" i="64"/>
  <x:c r="G52" i="64"/>
  <x:c r="J52" i="64"/>
  <x:c r="K52" i="64"/>
  <x:c r="M52" i="64"/>
  <x:c r="G53" i="64"/>
  <x:c r="J53" i="64"/>
  <x:c r="K53" i="64"/>
  <x:c r="M53" i="64"/>
  <x:c r="J54" i="64"/>
  <x:c r="K54" i="64"/>
  <x:c r="M54" i="64"/>
  <x:c r="J55" i="64"/>
  <x:c r="K55" i="64"/>
  <x:c r="M55" i="64"/>
  <x:c r="G56" i="64"/>
  <x:c r="J56" i="64"/>
  <x:c r="K56" i="64"/>
  <x:c r="M56" i="64"/>
  <x:c r="G58" i="64"/>
  <x:c r="J58" i="64"/>
  <x:c r="M58" i="64"/>
  <x:c r="J67" i="64"/>
  <x:c r="M67" i="64"/>
  <x:c r="J68" i="64"/>
  <x:c r="M68" i="64"/>
  <x:c r="J69" i="64"/>
  <x:c r="J74" i="64"/>
  <x:c r="J75" i="64"/>
  <x:c r="G8" i="65"/>
  <x:c r="J8" i="65"/>
  <x:c r="K8" i="65"/>
  <x:c r="M8" i="65"/>
  <x:c r="J9" i="65"/>
  <x:c r="K9" i="65"/>
  <x:c r="M9" i="65"/>
  <x:c r="J10" i="65"/>
  <x:c r="K10" i="65"/>
  <x:c r="M10" i="65"/>
  <x:c r="J11" i="65"/>
  <x:c r="K11" i="65"/>
  <x:c r="M11" i="65"/>
  <x:c r="J12" i="65"/>
  <x:c r="K12" i="65"/>
  <x:c r="M12" i="65"/>
  <x:c r="J13" i="65"/>
  <x:c r="K13" i="65"/>
  <x:c r="M13" i="65"/>
  <x:c r="J14" i="65"/>
  <x:c r="K14" i="65"/>
  <x:c r="M14" i="65"/>
  <x:c r="J15" i="65"/>
  <x:c r="K15" i="65"/>
  <x:c r="M15" i="65"/>
  <x:c r="J16" i="65"/>
  <x:c r="K16" i="65"/>
  <x:c r="M16" i="65"/>
  <x:c r="J17" i="65"/>
  <x:c r="K17" i="65"/>
  <x:c r="M17" i="65"/>
  <x:c r="J18" i="65"/>
  <x:c r="K18" i="65"/>
  <x:c r="M18" i="65"/>
  <x:c r="J19" i="65"/>
  <x:c r="K19" i="65"/>
  <x:c r="M19" i="65"/>
  <x:c r="J20" i="65"/>
  <x:c r="K20" i="65"/>
  <x:c r="M20" i="65"/>
  <x:c r="J21" i="65"/>
  <x:c r="K21" i="65"/>
  <x:c r="M21" i="65"/>
  <x:c r="J22" i="65"/>
  <x:c r="K22" i="65"/>
  <x:c r="M22" i="65"/>
  <x:c r="J23" i="65"/>
  <x:c r="K23" i="65"/>
  <x:c r="M23" i="65"/>
  <x:c r="J24" i="65"/>
  <x:c r="K24" i="65"/>
  <x:c r="M24" i="65"/>
  <x:c r="J25" i="65"/>
  <x:c r="K25" i="65"/>
  <x:c r="M25" i="65"/>
  <x:c r="J26" i="65"/>
  <x:c r="K26" i="65"/>
  <x:c r="M26" i="65"/>
  <x:c r="J27" i="65"/>
  <x:c r="K27" i="65"/>
  <x:c r="M27" i="65"/>
  <x:c r="J28" i="65"/>
  <x:c r="K28" i="65"/>
  <x:c r="M28" i="65"/>
  <x:c r="J29" i="65"/>
  <x:c r="K29" i="65"/>
  <x:c r="M29" i="65"/>
  <x:c r="G30" i="65"/>
  <x:c r="J30" i="65"/>
  <x:c r="K30" i="65"/>
  <x:c r="M30" i="65"/>
  <x:c r="G31" i="65"/>
  <x:c r="J31" i="65"/>
  <x:c r="K31" i="65"/>
  <x:c r="M31" i="65"/>
  <x:c r="G32" i="65"/>
  <x:c r="J32" i="65"/>
  <x:c r="K32" i="65"/>
  <x:c r="M32" i="65"/>
  <x:c r="J33" i="65"/>
  <x:c r="K33" i="65"/>
  <x:c r="M33" i="65"/>
  <x:c r="J34" i="65"/>
  <x:c r="K34" i="65"/>
  <x:c r="M34" i="65"/>
  <x:c r="G35" i="65"/>
  <x:c r="J35" i="65"/>
  <x:c r="K35" i="65"/>
  <x:c r="M35" i="65"/>
  <x:c r="J36" i="65"/>
  <x:c r="K36" i="65"/>
  <x:c r="M36" i="65"/>
  <x:c r="G37" i="65"/>
  <x:c r="J37" i="65"/>
  <x:c r="K37" i="65"/>
  <x:c r="M37" i="65"/>
  <x:c r="J38" i="65"/>
  <x:c r="K38" i="65"/>
  <x:c r="M38" i="65"/>
  <x:c r="G39" i="65"/>
  <x:c r="J39" i="65"/>
  <x:c r="K39" i="65"/>
  <x:c r="M39" i="65"/>
  <x:c r="G40" i="65"/>
  <x:c r="J40" i="65"/>
  <x:c r="K40" i="65"/>
  <x:c r="M40" i="65"/>
  <x:c r="G41" i="65"/>
  <x:c r="J41" i="65"/>
  <x:c r="K41" i="65"/>
  <x:c r="M41" i="65"/>
  <x:c r="G43" i="65"/>
  <x:c r="J43" i="65"/>
  <x:c r="M43" i="65"/>
  <x:c r="J46" i="65"/>
  <x:c r="K46" i="65"/>
  <x:c r="M46" i="65"/>
  <x:c r="J47" i="65"/>
  <x:c r="K47" i="65"/>
  <x:c r="M47" i="65"/>
  <x:c r="J48" i="65"/>
  <x:c r="K48" i="65"/>
  <x:c r="M48" i="65"/>
  <x:c r="J49" i="65"/>
  <x:c r="K49" i="65"/>
  <x:c r="M49" i="65"/>
  <x:c r="J50" i="65"/>
  <x:c r="K50" i="65"/>
  <x:c r="M50" i="65"/>
  <x:c r="J51" i="65"/>
  <x:c r="K51" i="65"/>
  <x:c r="M51" i="65"/>
  <x:c r="J52" i="65"/>
  <x:c r="K52" i="65"/>
  <x:c r="M52" i="65"/>
  <x:c r="J53" i="65"/>
  <x:c r="K53" i="65"/>
  <x:c r="M53" i="65"/>
  <x:c r="J54" i="65"/>
  <x:c r="K54" i="65"/>
  <x:c r="M54" i="65"/>
  <x:c r="J55" i="65"/>
  <x:c r="K55" i="65"/>
  <x:c r="M55" i="65"/>
  <x:c r="G57" i="65"/>
  <x:c r="J57" i="65"/>
  <x:c r="M57" i="65"/>
  <x:c r="P58" i="65"/>
  <x:c r="J61" i="65"/>
  <x:c r="M61" i="65"/>
  <x:c r="J62" i="65"/>
  <x:c r="M62" i="65"/>
  <x:c r="J63" i="65"/>
  <x:c r="J8" i="66"/>
  <x:c r="K8" i="66"/>
  <x:c r="M8" i="66"/>
  <x:c r="J9" i="66"/>
  <x:c r="K9" i="66"/>
  <x:c r="M9" i="66"/>
  <x:c r="J10" i="66"/>
  <x:c r="K10" i="66"/>
  <x:c r="M10" i="66"/>
  <x:c r="J11" i="66"/>
  <x:c r="K11" i="66"/>
  <x:c r="M11" i="66"/>
  <x:c r="J12" i="66"/>
  <x:c r="K12" i="66"/>
  <x:c r="M12" i="66"/>
  <x:c r="J13" i="66"/>
  <x:c r="K13" i="66"/>
  <x:c r="M13" i="66"/>
  <x:c r="J14" i="66"/>
  <x:c r="K14" i="66"/>
  <x:c r="M14" i="66"/>
  <x:c r="J15" i="66"/>
  <x:c r="K15" i="66"/>
  <x:c r="M15" i="66"/>
  <x:c r="J16" i="66"/>
  <x:c r="K16" i="66"/>
  <x:c r="M16" i="66"/>
  <x:c r="J17" i="66"/>
  <x:c r="K17" i="66"/>
  <x:c r="M17" i="66"/>
  <x:c r="J18" i="66"/>
  <x:c r="K18" i="66"/>
  <x:c r="M18" i="66"/>
  <x:c r="J19" i="66"/>
  <x:c r="K19" i="66"/>
  <x:c r="M19" i="66"/>
  <x:c r="J20" i="66"/>
  <x:c r="K20" i="66"/>
  <x:c r="M20" i="66"/>
  <x:c r="J21" i="66"/>
  <x:c r="K21" i="66"/>
  <x:c r="M21" i="66"/>
  <x:c r="J22" i="66"/>
  <x:c r="K22" i="66"/>
  <x:c r="M22" i="66"/>
  <x:c r="J23" i="66"/>
  <x:c r="K23" i="66"/>
  <x:c r="M23" i="66"/>
  <x:c r="J24" i="66"/>
  <x:c r="K24" i="66"/>
  <x:c r="M24" i="66"/>
  <x:c r="J25" i="66"/>
  <x:c r="K25" i="66"/>
  <x:c r="M25" i="66"/>
  <x:c r="J26" i="66"/>
  <x:c r="K26" i="66"/>
  <x:c r="M26" i="66"/>
  <x:c r="J27" i="66"/>
  <x:c r="K27" i="66"/>
  <x:c r="M27" i="66"/>
  <x:c r="J28" i="66"/>
  <x:c r="K28" i="66"/>
  <x:c r="M28" i="66"/>
  <x:c r="J29" i="66"/>
  <x:c r="K29" i="66"/>
  <x:c r="M29" i="66"/>
  <x:c r="J30" i="66"/>
  <x:c r="K30" i="66"/>
  <x:c r="M30" i="66"/>
  <x:c r="J31" i="66"/>
  <x:c r="K31" i="66"/>
  <x:c r="M31" i="66"/>
  <x:c r="J32" i="66"/>
  <x:c r="K32" i="66"/>
  <x:c r="M32" i="66"/>
  <x:c r="G34" i="66"/>
  <x:c r="J34" i="66"/>
  <x:c r="M34" i="66"/>
  <x:c r="J37" i="66"/>
  <x:c r="K37" i="66"/>
  <x:c r="M37" i="66"/>
  <x:c r="J38" i="66"/>
  <x:c r="K38" i="66"/>
  <x:c r="M38" i="66"/>
  <x:c r="J39" i="66"/>
  <x:c r="K39" i="66"/>
  <x:c r="M39" i="66"/>
  <x:c r="J40" i="66"/>
  <x:c r="K40" i="66"/>
  <x:c r="M40" i="66"/>
  <x:c r="J41" i="66"/>
  <x:c r="K41" i="66"/>
  <x:c r="M41" i="66"/>
  <x:c r="J42" i="66"/>
  <x:c r="K42" i="66"/>
  <x:c r="M42" i="66"/>
  <x:c r="J43" i="66"/>
  <x:c r="K43" i="66"/>
  <x:c r="M43" i="66"/>
  <x:c r="E44" i="66"/>
  <x:c r="G44" i="66"/>
  <x:c r="J44" i="66"/>
  <x:c r="K44" i="66"/>
  <x:c r="M44" i="66"/>
  <x:c r="G45" i="66"/>
  <x:c r="J45" i="66"/>
  <x:c r="K45" i="66"/>
  <x:c r="M45" i="66"/>
  <x:c r="E46" i="66"/>
  <x:c r="F46" i="66"/>
  <x:c r="G46" i="66"/>
  <x:c r="J46" i="66"/>
  <x:c r="K46" i="66"/>
  <x:c r="M46" i="66"/>
  <x:c r="G48" i="66"/>
  <x:c r="J48" i="66"/>
  <x:c r="M48" i="66"/>
  <x:c r="J52" i="66"/>
  <x:c r="M52" i="66"/>
  <x:c r="J53" i="66"/>
  <x:c r="M53" i="66"/>
  <x:c r="J54" i="66"/>
  <x:c r="J8" i="67"/>
  <x:c r="K8" i="67"/>
  <x:c r="M8" i="67"/>
  <x:c r="J9" i="67"/>
  <x:c r="K9" i="67"/>
  <x:c r="M9" i="67"/>
  <x:c r="J10" i="67"/>
  <x:c r="K10" i="67"/>
  <x:c r="M10" i="67"/>
  <x:c r="J11" i="67"/>
  <x:c r="K11" i="67"/>
  <x:c r="M11" i="67"/>
  <x:c r="J12" i="67"/>
  <x:c r="K12" i="67"/>
  <x:c r="M12" i="67"/>
  <x:c r="J13" i="67"/>
  <x:c r="K13" i="67"/>
  <x:c r="M13" i="67"/>
  <x:c r="J14" i="67"/>
  <x:c r="K14" i="67"/>
  <x:c r="M14" i="67"/>
  <x:c r="J15" i="67"/>
  <x:c r="K15" i="67"/>
  <x:c r="M15" i="67"/>
  <x:c r="J16" i="67"/>
  <x:c r="K16" i="67"/>
  <x:c r="M16" i="67"/>
  <x:c r="J17" i="67"/>
  <x:c r="K17" i="67"/>
  <x:c r="M17" i="67"/>
  <x:c r="J18" i="67"/>
  <x:c r="K18" i="67"/>
  <x:c r="M18" i="67"/>
  <x:c r="J19" i="67"/>
  <x:c r="K19" i="67"/>
  <x:c r="M19" i="67"/>
  <x:c r="J20" i="67"/>
  <x:c r="K20" i="67"/>
  <x:c r="M20" i="67"/>
  <x:c r="J21" i="67"/>
  <x:c r="K21" i="67"/>
  <x:c r="M21" i="67"/>
  <x:c r="J22" i="67"/>
  <x:c r="K22" i="67"/>
  <x:c r="M22" i="67"/>
  <x:c r="J23" i="67"/>
  <x:c r="K23" i="67"/>
  <x:c r="M23" i="67"/>
  <x:c r="J24" i="67"/>
  <x:c r="K24" i="67"/>
  <x:c r="M24" i="67"/>
  <x:c r="J25" i="67"/>
  <x:c r="K25" i="67"/>
  <x:c r="M25" i="67"/>
  <x:c r="J26" i="67"/>
  <x:c r="K26" i="67"/>
  <x:c r="M26" i="67"/>
  <x:c r="J27" i="67"/>
  <x:c r="K27" i="67"/>
  <x:c r="M27" i="67"/>
  <x:c r="E28" i="67"/>
  <x:c r="G28" i="67"/>
  <x:c r="J28" i="67"/>
  <x:c r="K28" i="67"/>
  <x:c r="M28" i="67"/>
  <x:c r="G29" i="67"/>
  <x:c r="J29" i="67"/>
  <x:c r="K29" i="67"/>
  <x:c r="M29" i="67"/>
  <x:c r="E30" i="67"/>
  <x:c r="G30" i="67"/>
  <x:c r="J30" i="67"/>
  <x:c r="K30" i="67"/>
  <x:c r="M30" i="67"/>
  <x:c r="E31" i="67"/>
  <x:c r="G31" i="67"/>
  <x:c r="J31" i="67"/>
  <x:c r="K31" i="67"/>
  <x:c r="M31" i="67"/>
  <x:c r="G33" i="67"/>
  <x:c r="J33" i="67"/>
  <x:c r="M33" i="67"/>
  <x:c r="E36" i="67"/>
  <x:c r="G36" i="67"/>
  <x:c r="J36" i="67"/>
  <x:c r="K36" i="67"/>
  <x:c r="M36" i="67"/>
  <x:c r="E37" i="67"/>
  <x:c r="G37" i="67"/>
  <x:c r="J37" i="67"/>
  <x:c r="K37" i="67"/>
  <x:c r="M37" i="67"/>
  <x:c r="J38" i="67"/>
  <x:c r="K38" i="67"/>
  <x:c r="M38" i="67"/>
  <x:c r="J39" i="67"/>
  <x:c r="K39" i="67"/>
  <x:c r="M39" i="67"/>
  <x:c r="G40" i="67"/>
  <x:c r="J40" i="67"/>
  <x:c r="K40" i="67"/>
  <x:c r="M40" i="67"/>
  <x:c r="G41" i="67"/>
  <x:c r="J41" i="67"/>
  <x:c r="K41" i="67"/>
  <x:c r="M41" i="67"/>
  <x:c r="J42" i="67"/>
  <x:c r="K42" i="67"/>
  <x:c r="M42" i="67"/>
  <x:c r="J43" i="67"/>
  <x:c r="K43" i="67"/>
  <x:c r="M43" i="67"/>
  <x:c r="J44" i="67"/>
  <x:c r="K44" i="67"/>
  <x:c r="M44" i="67"/>
  <x:c r="J45" i="67"/>
  <x:c r="K45" i="67"/>
  <x:c r="M45" i="67"/>
  <x:c r="G47" i="67"/>
  <x:c r="J47" i="67"/>
  <x:c r="M47" i="67"/>
  <x:c r="J51" i="67"/>
  <x:c r="M51" i="67"/>
  <x:c r="J52" i="67"/>
  <x:c r="M52" i="67"/>
  <x:c r="J53" i="67"/>
  <x:c r="J8" i="68"/>
  <x:c r="K8" i="68"/>
  <x:c r="M8" i="68"/>
  <x:c r="J9" i="68"/>
  <x:c r="K9" i="68"/>
  <x:c r="M9" i="68"/>
  <x:c r="J10" i="68"/>
  <x:c r="K10" i="68"/>
  <x:c r="M10" i="68"/>
  <x:c r="J11" i="68"/>
  <x:c r="K11" i="68"/>
  <x:c r="M11" i="68"/>
  <x:c r="J12" i="68"/>
  <x:c r="K12" i="68"/>
  <x:c r="M12" i="68"/>
  <x:c r="J13" i="68"/>
  <x:c r="K13" i="68"/>
  <x:c r="M13" i="68"/>
  <x:c r="J14" i="68"/>
  <x:c r="K14" i="68"/>
  <x:c r="M14" i="68"/>
  <x:c r="J15" i="68"/>
  <x:c r="K15" i="68"/>
  <x:c r="M15" i="68"/>
  <x:c r="J16" i="68"/>
  <x:c r="K16" i="68"/>
  <x:c r="M16" i="68"/>
  <x:c r="J17" i="68"/>
  <x:c r="K17" i="68"/>
  <x:c r="M17" i="68"/>
  <x:c r="J18" i="68"/>
  <x:c r="K18" i="68"/>
  <x:c r="M18" i="68"/>
  <x:c r="J19" i="68"/>
  <x:c r="K19" i="68"/>
  <x:c r="M19" i="68"/>
  <x:c r="J20" i="68"/>
  <x:c r="K20" i="68"/>
  <x:c r="M20" i="68"/>
  <x:c r="J21" i="68"/>
  <x:c r="K21" i="68"/>
  <x:c r="M21" i="68"/>
  <x:c r="J22" i="68"/>
  <x:c r="K22" i="68"/>
  <x:c r="M22" i="68"/>
  <x:c r="J23" i="68"/>
  <x:c r="K23" i="68"/>
  <x:c r="M23" i="68"/>
  <x:c r="J24" i="68"/>
  <x:c r="K24" i="68"/>
  <x:c r="M24" i="68"/>
  <x:c r="J25" i="68"/>
  <x:c r="K25" i="68"/>
  <x:c r="M25" i="68"/>
  <x:c r="J26" i="68"/>
  <x:c r="K26" i="68"/>
  <x:c r="M26" i="68"/>
  <x:c r="J27" i="68"/>
  <x:c r="K27" i="68"/>
  <x:c r="M27" i="68"/>
  <x:c r="J28" i="68"/>
  <x:c r="K28" i="68"/>
  <x:c r="M28" i="68"/>
  <x:c r="J29" i="68"/>
  <x:c r="K29" i="68"/>
  <x:c r="M29" i="68"/>
  <x:c r="J30" i="68"/>
  <x:c r="K30" i="68"/>
  <x:c r="M30" i="68"/>
  <x:c r="J31" i="68"/>
  <x:c r="K31" i="68"/>
  <x:c r="M31" i="68"/>
  <x:c r="E32" i="68"/>
  <x:c r="G32" i="68"/>
  <x:c r="J32" i="68"/>
  <x:c r="K32" i="68"/>
  <x:c r="M32" i="68"/>
  <x:c r="J33" i="68"/>
  <x:c r="K33" i="68"/>
  <x:c r="M33" i="68"/>
  <x:c r="J34" i="68"/>
  <x:c r="K34" i="68"/>
  <x:c r="M34" i="68"/>
  <x:c r="J35" i="68"/>
  <x:c r="K35" i="68"/>
  <x:c r="M35" i="68"/>
  <x:c r="J36" i="68"/>
  <x:c r="K36" i="68"/>
  <x:c r="M36" i="68"/>
  <x:c r="J37" i="68"/>
  <x:c r="K37" i="68"/>
  <x:c r="M37" i="68"/>
  <x:c r="J38" i="68"/>
  <x:c r="K38" i="68"/>
  <x:c r="M38" i="68"/>
  <x:c r="J39" i="68"/>
  <x:c r="K39" i="68"/>
  <x:c r="M39" i="68"/>
  <x:c r="G41" i="68"/>
  <x:c r="J41" i="68"/>
  <x:c r="M41" i="68"/>
  <x:c r="J44" i="68"/>
  <x:c r="K44" i="68"/>
  <x:c r="M44" i="68"/>
  <x:c r="J45" i="68"/>
  <x:c r="K45" i="68"/>
  <x:c r="M45" i="68"/>
  <x:c r="J46" i="68"/>
  <x:c r="K46" i="68"/>
  <x:c r="M46" i="68"/>
  <x:c r="J47" i="68"/>
  <x:c r="K47" i="68"/>
  <x:c r="M47" i="68"/>
  <x:c r="J48" i="68"/>
  <x:c r="K48" i="68"/>
  <x:c r="M48" i="68"/>
  <x:c r="J49" i="68"/>
  <x:c r="K49" i="68"/>
  <x:c r="M49" i="68"/>
  <x:c r="J50" i="68"/>
  <x:c r="K50" i="68"/>
  <x:c r="M50" i="68"/>
  <x:c r="J51" i="68"/>
  <x:c r="K51" i="68"/>
  <x:c r="M51" i="68"/>
  <x:c r="J52" i="68"/>
  <x:c r="K52" i="68"/>
  <x:c r="M52" i="68"/>
  <x:c r="J53" i="68"/>
  <x:c r="K53" i="68"/>
  <x:c r="M53" i="68"/>
  <x:c r="J54" i="68"/>
  <x:c r="K54" i="68"/>
  <x:c r="M54" i="68"/>
  <x:c r="J55" i="68"/>
  <x:c r="K55" i="68"/>
  <x:c r="M55" i="68"/>
  <x:c r="J56" i="68"/>
  <x:c r="K56" i="68"/>
  <x:c r="M56" i="68"/>
  <x:c r="J57" i="68"/>
  <x:c r="K57" i="68"/>
  <x:c r="M57" i="68"/>
  <x:c r="J58" i="68"/>
  <x:c r="K58" i="68"/>
  <x:c r="M58" i="68"/>
  <x:c r="J59" i="68"/>
  <x:c r="K59" i="68"/>
  <x:c r="M59" i="68"/>
  <x:c r="J60" i="68"/>
  <x:c r="K60" i="68"/>
  <x:c r="M60" i="68"/>
  <x:c r="E61" i="68"/>
  <x:c r="G61" i="68"/>
  <x:c r="J61" i="68"/>
  <x:c r="K61" i="68"/>
  <x:c r="M61" i="68"/>
  <x:c r="G63" i="68"/>
  <x:c r="J63" i="68"/>
  <x:c r="M63" i="68"/>
  <x:c r="J67" i="68"/>
  <x:c r="M67" i="68"/>
  <x:c r="J68" i="68"/>
  <x:c r="M68" i="68"/>
  <x:c r="J69" i="68"/>
  <x:c r="J8" i="69"/>
  <x:c r="K8" i="69"/>
  <x:c r="M8" i="69"/>
  <x:c r="G9" i="69"/>
  <x:c r="J9" i="69"/>
  <x:c r="K9" i="69"/>
  <x:c r="M9" i="69"/>
  <x:c r="G10" i="69"/>
  <x:c r="J10" i="69"/>
  <x:c r="K10" i="69"/>
  <x:c r="M10" i="69"/>
  <x:c r="G11" i="69"/>
  <x:c r="J11" i="69"/>
  <x:c r="K11" i="69"/>
  <x:c r="M11" i="69"/>
  <x:c r="G12" i="69"/>
  <x:c r="J12" i="69"/>
  <x:c r="K12" i="69"/>
  <x:c r="M12" i="69"/>
  <x:c r="J13" i="69"/>
  <x:c r="K13" i="69"/>
  <x:c r="M13" i="69"/>
  <x:c r="J14" i="69"/>
  <x:c r="K14" i="69"/>
  <x:c r="M14" i="69"/>
  <x:c r="J15" i="69"/>
  <x:c r="K15" i="69"/>
  <x:c r="M15" i="69"/>
  <x:c r="J16" i="69"/>
  <x:c r="K16" i="69"/>
  <x:c r="M16" i="69"/>
  <x:c r="J17" i="69"/>
  <x:c r="K17" i="69"/>
  <x:c r="M17" i="69"/>
  <x:c r="J18" i="69"/>
  <x:c r="K18" i="69"/>
  <x:c r="M18" i="69"/>
  <x:c r="J19" i="69"/>
  <x:c r="K19" i="69"/>
  <x:c r="M19" i="69"/>
  <x:c r="J20" i="69"/>
  <x:c r="K20" i="69"/>
  <x:c r="M20" i="69"/>
  <x:c r="J21" i="69"/>
  <x:c r="K21" i="69"/>
  <x:c r="M21" i="69"/>
  <x:c r="J22" i="69"/>
  <x:c r="K22" i="69"/>
  <x:c r="M22" i="69"/>
  <x:c r="J23" i="69"/>
  <x:c r="K23" i="69"/>
  <x:c r="M23" i="69"/>
  <x:c r="J24" i="69"/>
  <x:c r="K24" i="69"/>
  <x:c r="M24" i="69"/>
  <x:c r="J25" i="69"/>
  <x:c r="K25" i="69"/>
  <x:c r="M25" i="69"/>
  <x:c r="J26" i="69"/>
  <x:c r="K26" i="69"/>
  <x:c r="M26" i="69"/>
  <x:c r="J27" i="69"/>
  <x:c r="K27" i="69"/>
  <x:c r="M27" i="69"/>
  <x:c r="J28" i="69"/>
  <x:c r="K28" i="69"/>
  <x:c r="M28" i="69"/>
  <x:c r="J29" i="69"/>
  <x:c r="K29" i="69"/>
  <x:c r="M29" i="69"/>
  <x:c r="J30" i="69"/>
  <x:c r="K30" i="69"/>
  <x:c r="M30" i="69"/>
  <x:c r="G31" i="69"/>
  <x:c r="J31" i="69"/>
  <x:c r="K31" i="69"/>
  <x:c r="M31" i="69"/>
  <x:c r="J32" i="69"/>
  <x:c r="K32" i="69"/>
  <x:c r="M32" i="69"/>
  <x:c r="G33" i="69"/>
  <x:c r="J33" i="69"/>
  <x:c r="K33" i="69"/>
  <x:c r="M33" i="69"/>
  <x:c r="J34" i="69"/>
  <x:c r="K34" i="69"/>
  <x:c r="M34" i="69"/>
  <x:c r="J35" i="69"/>
  <x:c r="K35" i="69"/>
  <x:c r="M35" i="69"/>
  <x:c r="G36" i="69"/>
  <x:c r="J36" i="69"/>
  <x:c r="K36" i="69"/>
  <x:c r="M36" i="69"/>
  <x:c r="J37" i="69"/>
  <x:c r="K37" i="69"/>
  <x:c r="M37" i="69"/>
  <x:c r="J38" i="69"/>
  <x:c r="K38" i="69"/>
  <x:c r="M38" i="69"/>
  <x:c r="E39" i="69"/>
  <x:c r="G39" i="69"/>
  <x:c r="J39" i="69"/>
  <x:c r="K39" i="69"/>
  <x:c r="M39" i="69"/>
  <x:c r="J40" i="69"/>
  <x:c r="K40" i="69"/>
  <x:c r="M40" i="69"/>
  <x:c r="J41" i="69"/>
  <x:c r="K41" i="69"/>
  <x:c r="M41" i="69"/>
  <x:c r="J42" i="69"/>
  <x:c r="K42" i="69"/>
  <x:c r="M42" i="69"/>
  <x:c r="J43" i="69"/>
  <x:c r="K43" i="69"/>
  <x:c r="M43" i="69"/>
  <x:c r="J44" i="69"/>
  <x:c r="K44" i="69"/>
  <x:c r="M44" i="69"/>
  <x:c r="G46" i="69"/>
  <x:c r="J46" i="69"/>
  <x:c r="M46" i="69"/>
  <x:c r="G49" i="69"/>
  <x:c r="J49" i="69"/>
  <x:c r="K49" i="69"/>
  <x:c r="M49" i="69"/>
  <x:c r="E50" i="69"/>
  <x:c r="G50" i="69"/>
  <x:c r="J50" i="69"/>
  <x:c r="K50" i="69"/>
  <x:c r="M50" i="69"/>
  <x:c r="E51" i="69"/>
  <x:c r="G51" i="69"/>
  <x:c r="J51" i="69"/>
  <x:c r="K51" i="69"/>
  <x:c r="M51" i="69"/>
  <x:c r="E52" i="69"/>
  <x:c r="G52" i="69"/>
  <x:c r="J52" i="69"/>
  <x:c r="K52" i="69"/>
  <x:c r="M52" i="69"/>
  <x:c r="E53" i="69"/>
  <x:c r="G53" i="69"/>
  <x:c r="J53" i="69"/>
  <x:c r="K53" i="69"/>
  <x:c r="M53" i="69"/>
  <x:c r="G55" i="69"/>
  <x:c r="J55" i="69"/>
  <x:c r="M55" i="69"/>
  <x:c r="J59" i="69"/>
  <x:c r="M59" i="69"/>
  <x:c r="J60" i="69"/>
  <x:c r="M60" i="69"/>
  <x:c r="J61" i="69"/>
  <x:c r="J8" i="70"/>
  <x:c r="K8" i="70"/>
  <x:c r="M8" i="70"/>
  <x:c r="J9" i="70"/>
  <x:c r="K9" i="70"/>
  <x:c r="M9" i="70"/>
  <x:c r="J10" i="70"/>
  <x:c r="K10" i="70"/>
  <x:c r="M10" i="70"/>
  <x:c r="J11" i="70"/>
  <x:c r="K11" i="70"/>
  <x:c r="M11" i="70"/>
  <x:c r="J12" i="70"/>
  <x:c r="K12" i="70"/>
  <x:c r="M12" i="70"/>
  <x:c r="J13" i="70"/>
  <x:c r="K13" i="70"/>
  <x:c r="M13" i="70"/>
  <x:c r="J14" i="70"/>
  <x:c r="K14" i="70"/>
  <x:c r="M14" i="70"/>
  <x:c r="J15" i="70"/>
  <x:c r="K15" i="70"/>
  <x:c r="M15" i="70"/>
  <x:c r="J16" i="70"/>
  <x:c r="K16" i="70"/>
  <x:c r="M16" i="70"/>
  <x:c r="J17" i="70"/>
  <x:c r="K17" i="70"/>
  <x:c r="M17" i="70"/>
  <x:c r="J18" i="70"/>
  <x:c r="K18" i="70"/>
  <x:c r="M18" i="70"/>
  <x:c r="J19" i="70"/>
  <x:c r="K19" i="70"/>
  <x:c r="M19" i="70"/>
  <x:c r="G20" i="70"/>
  <x:c r="J20" i="70"/>
  <x:c r="K20" i="70"/>
  <x:c r="M20" i="70"/>
  <x:c r="J21" i="70"/>
  <x:c r="K21" i="70"/>
  <x:c r="M21" i="70"/>
  <x:c r="J22" i="70"/>
  <x:c r="K22" i="70"/>
  <x:c r="M22" i="70"/>
  <x:c r="J23" i="70"/>
  <x:c r="K23" i="70"/>
  <x:c r="M23" i="70"/>
  <x:c r="J24" i="70"/>
  <x:c r="K24" i="70"/>
  <x:c r="M24" i="70"/>
  <x:c r="J25" i="70"/>
  <x:c r="K25" i="70"/>
  <x:c r="M25" i="70"/>
  <x:c r="J26" i="70"/>
  <x:c r="K26" i="70"/>
  <x:c r="M26" i="70"/>
  <x:c r="J27" i="70"/>
  <x:c r="K27" i="70"/>
  <x:c r="M27" i="70"/>
  <x:c r="J28" i="70"/>
  <x:c r="K28" i="70"/>
  <x:c r="M28" i="70"/>
  <x:c r="J29" i="70"/>
  <x:c r="K29" i="70"/>
  <x:c r="M29" i="70"/>
  <x:c r="J30" i="70"/>
  <x:c r="K30" i="70"/>
  <x:c r="M30" i="70"/>
  <x:c r="J31" i="70"/>
  <x:c r="K31" i="70"/>
  <x:c r="M31" i="70"/>
  <x:c r="J32" i="70"/>
  <x:c r="K32" i="70"/>
  <x:c r="M32" i="70"/>
  <x:c r="J33" i="70"/>
  <x:c r="K33" i="70"/>
  <x:c r="M33" i="70"/>
  <x:c r="J34" i="70"/>
  <x:c r="K34" i="70"/>
  <x:c r="M34" i="70"/>
  <x:c r="J35" i="70"/>
  <x:c r="K35" i="70"/>
  <x:c r="M35" i="70"/>
  <x:c r="G38" i="70"/>
  <x:c r="J38" i="70"/>
  <x:c r="M38" i="70"/>
  <x:c r="J41" i="70"/>
  <x:c r="K41" i="70"/>
  <x:c r="M41" i="70"/>
  <x:c r="J42" i="70"/>
  <x:c r="K42" i="70"/>
  <x:c r="M42" i="70"/>
  <x:c r="J43" i="70"/>
  <x:c r="K43" i="70"/>
  <x:c r="M43" i="70"/>
  <x:c r="J44" i="70"/>
  <x:c r="K44" i="70"/>
  <x:c r="M44" i="70"/>
  <x:c r="J45" i="70"/>
  <x:c r="K45" i="70"/>
  <x:c r="M45" i="70"/>
  <x:c r="J46" i="70"/>
  <x:c r="K46" i="70"/>
  <x:c r="M46" i="70"/>
  <x:c r="J47" i="70"/>
  <x:c r="K47" i="70"/>
  <x:c r="M47" i="70"/>
  <x:c r="G50" i="70"/>
  <x:c r="J50" i="70"/>
  <x:c r="M50" i="70"/>
  <x:c r="J54" i="70"/>
  <x:c r="M54" i="70"/>
  <x:c r="J55" i="70"/>
  <x:c r="M55" i="70"/>
  <x:c r="J56" i="70"/>
  <x:c r="J8" i="71"/>
  <x:c r="K8" i="71"/>
  <x:c r="M8" i="71"/>
  <x:c r="J9" i="71"/>
  <x:c r="K9" i="71"/>
  <x:c r="M9" i="71"/>
  <x:c r="J10" i="71"/>
  <x:c r="K10" i="71"/>
  <x:c r="M10" i="71"/>
  <x:c r="J11" i="71"/>
  <x:c r="K11" i="71"/>
  <x:c r="M11" i="71"/>
  <x:c r="J12" i="71"/>
  <x:c r="K12" i="71"/>
  <x:c r="M12" i="71"/>
  <x:c r="J13" i="71"/>
  <x:c r="K13" i="71"/>
  <x:c r="M13" i="71"/>
  <x:c r="J14" i="71"/>
  <x:c r="K14" i="71"/>
  <x:c r="M14" i="71"/>
  <x:c r="J15" i="71"/>
  <x:c r="K15" i="71"/>
  <x:c r="M15" i="71"/>
  <x:c r="J16" i="71"/>
  <x:c r="K16" i="71"/>
  <x:c r="M16" i="71"/>
  <x:c r="J17" i="71"/>
  <x:c r="K17" i="71"/>
  <x:c r="M17" i="71"/>
  <x:c r="J18" i="71"/>
  <x:c r="K18" i="71"/>
  <x:c r="M18" i="71"/>
  <x:c r="J19" i="71"/>
  <x:c r="K19" i="71"/>
  <x:c r="M19" i="71"/>
  <x:c r="J20" i="71"/>
  <x:c r="K20" i="71"/>
  <x:c r="M20" i="71"/>
  <x:c r="J21" i="71"/>
  <x:c r="K21" i="71"/>
  <x:c r="M21" i="71"/>
  <x:c r="J22" i="71"/>
  <x:c r="K22" i="71"/>
  <x:c r="M22" i="71"/>
  <x:c r="J23" i="71"/>
  <x:c r="K23" i="71"/>
  <x:c r="M23" i="71"/>
  <x:c r="J24" i="71"/>
  <x:c r="K24" i="71"/>
  <x:c r="M24" i="71"/>
  <x:c r="J25" i="71"/>
  <x:c r="K25" i="71"/>
  <x:c r="M25" i="71"/>
  <x:c r="J26" i="71"/>
  <x:c r="K26" i="71"/>
  <x:c r="M26" i="71"/>
  <x:c r="J27" i="71"/>
  <x:c r="K27" i="71"/>
  <x:c r="M27" i="71"/>
  <x:c r="J28" i="71"/>
  <x:c r="K28" i="71"/>
  <x:c r="M28" i="71"/>
  <x:c r="J29" i="71"/>
  <x:c r="K29" i="71"/>
  <x:c r="M29" i="71"/>
  <x:c r="J30" i="71"/>
  <x:c r="K30" i="71"/>
  <x:c r="M30" i="71"/>
  <x:c r="J31" i="71"/>
  <x:c r="K31" i="71"/>
  <x:c r="M31" i="71"/>
  <x:c r="J32" i="71"/>
  <x:c r="M32" i="71"/>
  <x:c r="G38" i="71"/>
  <x:c r="J38" i="71"/>
  <x:c r="M38" i="71"/>
  <x:c r="J41" i="71"/>
  <x:c r="K41" i="71"/>
  <x:c r="M41" i="71"/>
  <x:c r="J42" i="71"/>
  <x:c r="K42" i="71"/>
  <x:c r="M42" i="71"/>
  <x:c r="J43" i="71"/>
  <x:c r="K43" i="71"/>
  <x:c r="M43" i="71"/>
  <x:c r="J44" i="71"/>
  <x:c r="K44" i="71"/>
  <x:c r="M44" i="71"/>
  <x:c r="J45" i="71"/>
  <x:c r="K45" i="71"/>
  <x:c r="M45" i="71"/>
  <x:c r="J46" i="71"/>
  <x:c r="K46" i="71"/>
  <x:c r="M46" i="71"/>
  <x:c r="J47" i="71"/>
  <x:c r="K47" i="71"/>
  <x:c r="M47" i="71"/>
  <x:c r="J48" i="71"/>
  <x:c r="K48" i="71"/>
  <x:c r="M48" i="71"/>
  <x:c r="J49" i="71"/>
  <x:c r="K49" i="71"/>
  <x:c r="M49" i="71"/>
  <x:c r="J50" i="71"/>
  <x:c r="K50" i="71"/>
  <x:c r="M50" i="71"/>
  <x:c r="J51" i="71"/>
  <x:c r="K51" i="71"/>
  <x:c r="M51" i="71"/>
  <x:c r="J52" i="71"/>
  <x:c r="K52" i="71"/>
  <x:c r="M52" i="71"/>
  <x:c r="J53" i="71"/>
  <x:c r="K53" i="71"/>
  <x:c r="M53" i="71"/>
  <x:c r="J54" i="71"/>
  <x:c r="K54" i="71"/>
  <x:c r="M54" i="71"/>
  <x:c r="G57" i="71"/>
  <x:c r="J57" i="71"/>
  <x:c r="M57" i="71"/>
  <x:c r="M62" i="71"/>
  <x:c r="M63" i="71"/>
  <x:c r="J70" i="71"/>
  <x:c r="K70" i="71"/>
  <x:c r="M70" i="71"/>
  <x:c r="J71" i="71"/>
  <x:c r="K71" i="71"/>
  <x:c r="M71" i="71"/>
  <x:c r="J72" i="71"/>
  <x:c r="K72" i="71"/>
  <x:c r="M72" i="71"/>
  <x:c r="J73" i="71"/>
  <x:c r="K73" i="71"/>
  <x:c r="M73" i="71"/>
  <x:c r="J74" i="71"/>
  <x:c r="K74" i="71"/>
  <x:c r="M74" i="71"/>
  <x:c r="J75" i="71"/>
  <x:c r="K75" i="71"/>
  <x:c r="M75" i="71"/>
  <x:c r="G79" i="71"/>
  <x:c r="J79" i="71"/>
  <x:c r="M79" i="71"/>
  <x:c r="E83" i="71"/>
  <x:c r="G83" i="71"/>
  <x:c r="J83" i="71"/>
  <x:c r="K83" i="71"/>
  <x:c r="M83" i="71"/>
  <x:c r="G86" i="71"/>
  <x:c r="J86" i="71"/>
  <x:c r="M86" i="71"/>
  <x:c r="J91" i="71"/>
  <x:c r="M91" i="71"/>
  <x:c r="J92" i="71"/>
  <x:c r="M92" i="71"/>
  <x:c r="J93" i="71"/>
  <x:c r="J8" i="72"/>
  <x:c r="K8" i="72"/>
  <x:c r="M8" i="72"/>
  <x:c r="O8" i="72"/>
  <x:c r="J9" i="72"/>
  <x:c r="K9" i="72"/>
  <x:c r="M9" i="72"/>
  <x:c r="O9" i="72"/>
  <x:c r="J10" i="72"/>
  <x:c r="K10" i="72"/>
  <x:c r="M10" i="72"/>
  <x:c r="O10" i="72"/>
  <x:c r="J11" i="72"/>
  <x:c r="K11" i="72"/>
  <x:c r="M11" i="72"/>
  <x:c r="O11" i="72"/>
  <x:c r="J12" i="72"/>
  <x:c r="K12" i="72"/>
  <x:c r="M12" i="72"/>
  <x:c r="O12" i="72"/>
  <x:c r="J13" i="72"/>
  <x:c r="K13" i="72"/>
  <x:c r="M13" i="72"/>
  <x:c r="O13" i="72"/>
  <x:c r="E14" i="72"/>
  <x:c r="J14" i="72"/>
  <x:c r="K14" i="72"/>
  <x:c r="M14" i="72"/>
  <x:c r="O14" i="72"/>
  <x:c r="E15" i="72"/>
  <x:c r="J15" i="72"/>
  <x:c r="K15" i="72"/>
  <x:c r="M15" i="72"/>
  <x:c r="O15" i="72"/>
  <x:c r="J16" i="72"/>
  <x:c r="K16" i="72"/>
  <x:c r="M16" i="72"/>
  <x:c r="O16" i="72"/>
  <x:c r="J17" i="72"/>
  <x:c r="K17" i="72"/>
  <x:c r="M17" i="72"/>
  <x:c r="O17" i="72"/>
  <x:c r="J18" i="72"/>
  <x:c r="K18" i="72"/>
  <x:c r="M18" i="72"/>
  <x:c r="O18" i="72"/>
  <x:c r="J19" i="72"/>
  <x:c r="K19" i="72"/>
  <x:c r="M19" i="72"/>
  <x:c r="O19" i="72"/>
  <x:c r="J20" i="72"/>
  <x:c r="K20" i="72"/>
  <x:c r="M20" i="72"/>
  <x:c r="O20" i="72"/>
  <x:c r="J21" i="72"/>
  <x:c r="K21" i="72"/>
  <x:c r="M21" i="72"/>
  <x:c r="O21" i="72"/>
  <x:c r="J22" i="72"/>
  <x:c r="K22" i="72"/>
  <x:c r="M22" i="72"/>
  <x:c r="O22" i="72"/>
  <x:c r="J23" i="72"/>
  <x:c r="K23" i="72"/>
  <x:c r="M23" i="72"/>
  <x:c r="O23" i="72"/>
  <x:c r="J24" i="72"/>
  <x:c r="K24" i="72"/>
  <x:c r="M24" i="72"/>
  <x:c r="O24" i="72"/>
  <x:c r="J25" i="72"/>
  <x:c r="K25" i="72"/>
  <x:c r="M25" i="72"/>
  <x:c r="O25" i="72"/>
  <x:c r="J26" i="72"/>
  <x:c r="K26" i="72"/>
  <x:c r="M26" i="72"/>
  <x:c r="O26" i="72"/>
  <x:c r="J27" i="72"/>
  <x:c r="K27" i="72"/>
  <x:c r="M27" i="72"/>
  <x:c r="O27" i="72"/>
  <x:c r="J28" i="72"/>
  <x:c r="K28" i="72"/>
  <x:c r="M28" i="72"/>
  <x:c r="O28" i="72"/>
  <x:c r="J29" i="72"/>
  <x:c r="K29" i="72"/>
  <x:c r="M29" i="72"/>
  <x:c r="O29" i="72"/>
  <x:c r="J30" i="72"/>
  <x:c r="K30" i="72"/>
  <x:c r="M30" i="72"/>
  <x:c r="O30" i="72"/>
  <x:c r="J31" i="72"/>
  <x:c r="K31" i="72"/>
  <x:c r="M31" i="72"/>
  <x:c r="O31" i="72"/>
  <x:c r="E32" i="72"/>
  <x:c r="J32" i="72"/>
  <x:c r="M32" i="72"/>
  <x:c r="O32" i="72"/>
  <x:c r="J33" i="72"/>
  <x:c r="M33" i="72"/>
  <x:c r="O33" i="72"/>
  <x:c r="J34" i="72"/>
  <x:c r="M34" i="72"/>
  <x:c r="O34" i="72"/>
  <x:c r="G36" i="72"/>
  <x:c r="J36" i="72"/>
  <x:c r="M36" i="72"/>
  <x:c r="J39" i="72"/>
  <x:c r="K39" i="72"/>
  <x:c r="M39" i="72"/>
  <x:c r="O39" i="72"/>
  <x:c r="J40" i="72"/>
  <x:c r="K40" i="72"/>
  <x:c r="M40" i="72"/>
  <x:c r="O40" i="72"/>
  <x:c r="E41" i="72"/>
  <x:c r="J41" i="72"/>
  <x:c r="K41" i="72"/>
  <x:c r="M41" i="72"/>
  <x:c r="O41" i="72"/>
  <x:c r="E42" i="72"/>
  <x:c r="J42" i="72"/>
  <x:c r="K42" i="72"/>
  <x:c r="M42" i="72"/>
  <x:c r="O42" i="72"/>
  <x:c r="E43" i="72"/>
  <x:c r="J43" i="72"/>
  <x:c r="K43" i="72"/>
  <x:c r="M43" i="72"/>
  <x:c r="O43" i="72"/>
  <x:c r="E44" i="72"/>
  <x:c r="J44" i="72"/>
  <x:c r="K44" i="72"/>
  <x:c r="M44" i="72"/>
  <x:c r="O44" i="72"/>
  <x:c r="E45" i="72"/>
  <x:c r="J45" i="72"/>
  <x:c r="K45" i="72"/>
  <x:c r="M45" i="72"/>
  <x:c r="O45" i="72"/>
  <x:c r="E46" i="72"/>
  <x:c r="J46" i="72"/>
  <x:c r="K46" i="72"/>
  <x:c r="M46" i="72"/>
  <x:c r="O46" i="72"/>
  <x:c r="E47" i="72"/>
  <x:c r="G47" i="72"/>
  <x:c r="J47" i="72"/>
  <x:c r="K47" i="72"/>
  <x:c r="M47" i="72"/>
  <x:c r="O47" i="72"/>
  <x:c r="E48" i="72"/>
  <x:c r="G48" i="72"/>
  <x:c r="J48" i="72"/>
  <x:c r="K48" i="72"/>
  <x:c r="M48" i="72"/>
  <x:c r="O48" i="72"/>
  <x:c r="E49" i="72"/>
  <x:c r="J49" i="72"/>
  <x:c r="K49" i="72"/>
  <x:c r="M49" i="72"/>
  <x:c r="O49" i="72"/>
  <x:c r="G51" i="72"/>
  <x:c r="J51" i="72"/>
  <x:c r="M51" i="72"/>
  <x:c r="M56" i="72"/>
  <x:c r="M57" i="72"/>
  <x:c r="J64" i="72"/>
  <x:c r="K64" i="72"/>
  <x:c r="M64" i="72"/>
  <x:c r="J65" i="72"/>
  <x:c r="K65" i="72"/>
  <x:c r="M65" i="72"/>
  <x:c r="E66" i="72"/>
  <x:c r="G66" i="72"/>
  <x:c r="J66" i="72"/>
  <x:c r="K66" i="72"/>
  <x:c r="M66" i="72"/>
  <x:c r="G69" i="72"/>
  <x:c r="J69" i="72"/>
  <x:c r="M69" i="72"/>
  <x:c r="E73" i="72"/>
  <x:c r="G73" i="72"/>
  <x:c r="J73" i="72"/>
  <x:c r="K73" i="72"/>
  <x:c r="M73" i="72"/>
  <x:c r="G76" i="72"/>
  <x:c r="J76" i="72"/>
  <x:c r="M76" i="72"/>
  <x:c r="J81" i="72"/>
  <x:c r="M81" i="72"/>
  <x:c r="J82" i="72"/>
  <x:c r="M82" i="72"/>
  <x:c r="J83" i="72"/>
  <x:c r="J8" i="73"/>
  <x:c r="K8" i="73"/>
  <x:c r="M8" i="73"/>
  <x:c r="O8" i="73"/>
  <x:c r="J9" i="73"/>
  <x:c r="K9" i="73"/>
  <x:c r="M9" i="73"/>
  <x:c r="O9" i="73"/>
  <x:c r="J10" i="73"/>
  <x:c r="K10" i="73"/>
  <x:c r="M10" i="73"/>
  <x:c r="J11" i="73"/>
  <x:c r="K11" i="73"/>
  <x:c r="M11" i="73"/>
  <x:c r="J12" i="73"/>
  <x:c r="K12" i="73"/>
  <x:c r="M12" i="73"/>
  <x:c r="O12" i="73"/>
  <x:c r="J13" i="73"/>
  <x:c r="K13" i="73"/>
  <x:c r="M13" i="73"/>
  <x:c r="J14" i="73"/>
  <x:c r="K14" i="73"/>
  <x:c r="M14" i="73"/>
  <x:c r="J15" i="73"/>
  <x:c r="K15" i="73"/>
  <x:c r="M15" i="73"/>
  <x:c r="J16" i="73"/>
  <x:c r="K16" i="73"/>
  <x:c r="M16" i="73"/>
  <x:c r="O16" i="73"/>
  <x:c r="J17" i="73"/>
  <x:c r="K17" i="73"/>
  <x:c r="M17" i="73"/>
  <x:c r="J18" i="73"/>
  <x:c r="K18" i="73"/>
  <x:c r="M18" i="73"/>
  <x:c r="O18" i="73"/>
  <x:c r="J19" i="73"/>
  <x:c r="K19" i="73"/>
  <x:c r="M19" i="73"/>
  <x:c r="O19" i="73"/>
  <x:c r="J20" i="73"/>
  <x:c r="K20" i="73"/>
  <x:c r="M20" i="73"/>
  <x:c r="O20" i="73"/>
  <x:c r="J21" i="73"/>
  <x:c r="K21" i="73"/>
  <x:c r="M21" i="73"/>
  <x:c r="O21" i="73"/>
  <x:c r="J22" i="73"/>
  <x:c r="K22" i="73"/>
  <x:c r="M22" i="73"/>
  <x:c r="O22" i="73"/>
  <x:c r="J23" i="73"/>
  <x:c r="K23" i="73"/>
  <x:c r="M23" i="73"/>
  <x:c r="O23" i="73"/>
  <x:c r="J24" i="73"/>
  <x:c r="K24" i="73"/>
  <x:c r="M24" i="73"/>
  <x:c r="O24" i="73"/>
  <x:c r="J25" i="73"/>
  <x:c r="K25" i="73"/>
  <x:c r="M25" i="73"/>
  <x:c r="O25" i="73"/>
  <x:c r="J26" i="73"/>
  <x:c r="K26" i="73"/>
  <x:c r="M26" i="73"/>
  <x:c r="O26" i="73"/>
  <x:c r="J27" i="73"/>
  <x:c r="K27" i="73"/>
  <x:c r="M27" i="73"/>
  <x:c r="O27" i="73"/>
  <x:c r="J28" i="73"/>
  <x:c r="K28" i="73"/>
  <x:c r="M28" i="73"/>
  <x:c r="O28" i="73"/>
  <x:c r="J29" i="73"/>
  <x:c r="K29" i="73"/>
  <x:c r="M29" i="73"/>
  <x:c r="O29" i="73"/>
  <x:c r="J30" i="73"/>
  <x:c r="K30" i="73"/>
  <x:c r="M30" i="73"/>
  <x:c r="O30" i="73"/>
  <x:c r="J31" i="73"/>
  <x:c r="K31" i="73"/>
  <x:c r="M31" i="73"/>
  <x:c r="O31" i="73"/>
  <x:c r="J32" i="73"/>
  <x:c r="K32" i="73"/>
  <x:c r="M32" i="73"/>
  <x:c r="O32" i="73"/>
  <x:c r="J33" i="73"/>
  <x:c r="K33" i="73"/>
  <x:c r="M33" i="73"/>
  <x:c r="O33" i="73"/>
  <x:c r="J34" i="73"/>
  <x:c r="K34" i="73"/>
  <x:c r="M34" i="73"/>
  <x:c r="O34" i="73"/>
  <x:c r="J35" i="73"/>
  <x:c r="K35" i="73"/>
  <x:c r="M35" i="73"/>
  <x:c r="O35" i="73"/>
  <x:c r="J36" i="73"/>
  <x:c r="K36" i="73"/>
  <x:c r="M36" i="73"/>
  <x:c r="O36" i="73"/>
  <x:c r="J37" i="73"/>
  <x:c r="K37" i="73"/>
  <x:c r="M37" i="73"/>
  <x:c r="O37" i="73"/>
  <x:c r="J38" i="73"/>
  <x:c r="K38" i="73"/>
  <x:c r="M38" i="73"/>
  <x:c r="O38" i="73"/>
  <x:c r="J39" i="73"/>
  <x:c r="K39" i="73"/>
  <x:c r="M39" i="73"/>
  <x:c r="O39" i="73"/>
  <x:c r="J40" i="73"/>
  <x:c r="K40" i="73"/>
  <x:c r="M40" i="73"/>
  <x:c r="O40" i="73"/>
  <x:c r="J41" i="73"/>
  <x:c r="K41" i="73"/>
  <x:c r="M41" i="73"/>
  <x:c r="O41" i="73"/>
  <x:c r="J42" i="73"/>
  <x:c r="K42" i="73"/>
  <x:c r="M42" i="73"/>
  <x:c r="O42" i="73"/>
  <x:c r="G45" i="73"/>
  <x:c r="J45" i="73"/>
  <x:c r="M45" i="73"/>
  <x:c r="E48" i="73"/>
  <x:c r="G48" i="73"/>
  <x:c r="J48" i="73"/>
  <x:c r="K48" i="73"/>
  <x:c r="M48" i="73"/>
  <x:c r="O48" i="73"/>
  <x:c r="J49" i="73"/>
  <x:c r="K49" i="73"/>
  <x:c r="M49" i="73"/>
  <x:c r="O49" i="73"/>
  <x:c r="J50" i="73"/>
  <x:c r="K50" i="73"/>
  <x:c r="M50" i="73"/>
  <x:c r="O50" i="73"/>
  <x:c r="E51" i="73"/>
  <x:c r="J51" i="73"/>
  <x:c r="K51" i="73"/>
  <x:c r="M51" i="73"/>
  <x:c r="O51" i="73"/>
  <x:c r="E52" i="73"/>
  <x:c r="J52" i="73"/>
  <x:c r="K52" i="73"/>
  <x:c r="M52" i="73"/>
  <x:c r="O52" i="73"/>
  <x:c r="J53" i="73"/>
  <x:c r="K53" i="73"/>
  <x:c r="M53" i="73"/>
  <x:c r="G56" i="73"/>
  <x:c r="J56" i="73"/>
  <x:c r="M56" i="73"/>
  <x:c r="M61" i="73"/>
  <x:c r="M62" i="73"/>
  <x:c r="J69" i="73"/>
  <x:c r="K69" i="73"/>
  <x:c r="M69" i="73"/>
  <x:c r="J70" i="73"/>
  <x:c r="K70" i="73"/>
  <x:c r="M70" i="73"/>
  <x:c r="J71" i="73"/>
  <x:c r="K71" i="73"/>
  <x:c r="M71" i="73"/>
  <x:c r="J72" i="73"/>
  <x:c r="K72" i="73"/>
  <x:c r="M72" i="73"/>
  <x:c r="J73" i="73"/>
  <x:c r="K73" i="73"/>
  <x:c r="M73" i="73"/>
  <x:c r="J74" i="73"/>
  <x:c r="K74" i="73"/>
  <x:c r="M74" i="73"/>
  <x:c r="J75" i="73"/>
  <x:c r="K75" i="73"/>
  <x:c r="M75" i="73"/>
  <x:c r="J76" i="73"/>
  <x:c r="K76" i="73"/>
  <x:c r="M76" i="73"/>
  <x:c r="J77" i="73"/>
  <x:c r="K77" i="73"/>
  <x:c r="M77" i="73"/>
  <x:c r="J78" i="73"/>
  <x:c r="K78" i="73"/>
  <x:c r="M78" i="73"/>
  <x:c r="J79" i="73"/>
  <x:c r="K79" i="73"/>
  <x:c r="M79" i="73"/>
  <x:c r="J80" i="73"/>
  <x:c r="K80" i="73"/>
  <x:c r="M80" i="73"/>
  <x:c r="G83" i="73"/>
  <x:c r="J83" i="73"/>
  <x:c r="M83" i="73"/>
  <x:c r="G89" i="73"/>
  <x:c r="J89" i="73"/>
  <x:c r="M89" i="73"/>
  <x:c r="J94" i="73"/>
  <x:c r="M94" i="73"/>
  <x:c r="J95" i="73"/>
  <x:c r="M95" i="73"/>
  <x:c r="J96" i="73"/>
  <x:c r="K8" i="74"/>
  <x:c r="M8" i="74"/>
  <x:c r="K9" i="74"/>
  <x:c r="M9" i="74"/>
  <x:c r="K10" i="74"/>
  <x:c r="M10" i="74"/>
  <x:c r="K11" i="74"/>
  <x:c r="M11" i="74"/>
  <x:c r="K12" i="74"/>
  <x:c r="M12" i="74"/>
  <x:c r="K13" i="74"/>
  <x:c r="M13" i="74"/>
  <x:c r="J14" i="74"/>
  <x:c r="K14" i="74"/>
  <x:c r="M14" i="74"/>
  <x:c r="J15" i="74"/>
  <x:c r="K15" i="74"/>
  <x:c r="M15" i="74"/>
  <x:c r="J16" i="74"/>
  <x:c r="K16" i="74"/>
  <x:c r="M16" i="74"/>
  <x:c r="J17" i="74"/>
  <x:c r="K17" i="74"/>
  <x:c r="M17" i="74"/>
  <x:c r="K18" i="74"/>
  <x:c r="M18" i="74"/>
  <x:c r="J19" i="74"/>
  <x:c r="K19" i="74"/>
  <x:c r="M19" i="74"/>
  <x:c r="J20" i="74"/>
  <x:c r="K20" i="74"/>
  <x:c r="M20" i="74"/>
  <x:c r="J21" i="74"/>
  <x:c r="K21" i="74"/>
  <x:c r="M21" i="74"/>
  <x:c r="J22" i="74"/>
  <x:c r="K22" i="74"/>
  <x:c r="M22" i="74"/>
  <x:c r="J23" i="74"/>
  <x:c r="K23" i="74"/>
  <x:c r="M23" i="74"/>
  <x:c r="J24" i="74"/>
  <x:c r="K24" i="74"/>
  <x:c r="M24" i="74"/>
  <x:c r="J25" i="74"/>
  <x:c r="K25" i="74"/>
  <x:c r="M25" i="74"/>
  <x:c r="J26" i="74"/>
  <x:c r="K26" i="74"/>
  <x:c r="M26" i="74"/>
  <x:c r="J27" i="74"/>
  <x:c r="K27" i="74"/>
  <x:c r="M27" i="74"/>
  <x:c r="J28" i="74"/>
  <x:c r="K28" i="74"/>
  <x:c r="M28" i="74"/>
  <x:c r="J29" i="74"/>
  <x:c r="K29" i="74"/>
  <x:c r="M29" i="74"/>
  <x:c r="J30" i="74"/>
  <x:c r="K30" i="74"/>
  <x:c r="M30" i="74"/>
  <x:c r="J31" i="74"/>
  <x:c r="K31" i="74"/>
  <x:c r="M31" i="74"/>
  <x:c r="G32" i="74"/>
  <x:c r="J32" i="74"/>
  <x:c r="K32" i="74"/>
  <x:c r="M32" i="74"/>
  <x:c r="J33" i="74"/>
  <x:c r="K33" i="74"/>
  <x:c r="M33" i="74"/>
  <x:c r="G36" i="74"/>
  <x:c r="J36" i="74"/>
  <x:c r="M36" i="74"/>
  <x:c r="J39" i="74"/>
  <x:c r="K39" i="74"/>
  <x:c r="M39" i="74"/>
  <x:c r="J40" i="74"/>
  <x:c r="K40" i="74"/>
  <x:c r="M40" i="74"/>
  <x:c r="E41" i="74"/>
  <x:c r="J41" i="74"/>
  <x:c r="K41" i="74"/>
  <x:c r="M41" i="74"/>
  <x:c r="E42" i="74"/>
  <x:c r="J42" i="74"/>
  <x:c r="K42" i="74"/>
  <x:c r="M42" i="74"/>
  <x:c r="E43" i="74"/>
  <x:c r="J43" i="74"/>
  <x:c r="K43" i="74"/>
  <x:c r="M43" i="74"/>
  <x:c r="G46" i="74"/>
  <x:c r="J46" i="74"/>
  <x:c r="M46" i="74"/>
  <x:c r="M51" i="74"/>
  <x:c r="M52" i="74"/>
  <x:c r="K59" i="74"/>
  <x:c r="M59" i="74"/>
  <x:c r="J60" i="74"/>
  <x:c r="K60" i="74"/>
  <x:c r="M60" i="74"/>
  <x:c r="J61" i="74"/>
  <x:c r="K61" i="74"/>
  <x:c r="M61" i="74"/>
  <x:c r="J62" i="74"/>
  <x:c r="K62" i="74"/>
  <x:c r="M62" i="74"/>
  <x:c r="J63" i="74"/>
  <x:c r="K63" i="74"/>
  <x:c r="M63" i="74"/>
  <x:c r="G66" i="74"/>
  <x:c r="J66" i="74"/>
  <x:c r="M66" i="74"/>
  <x:c r="G72" i="74"/>
  <x:c r="J72" i="74"/>
  <x:c r="M72" i="74"/>
  <x:c r="J77" i="74"/>
  <x:c r="M77" i="74"/>
  <x:c r="J78" i="74"/>
  <x:c r="M78" i="74"/>
  <x:c r="J79" i="74"/>
  <x:c r="J8" i="75"/>
  <x:c r="K8" i="75"/>
  <x:c r="M8" i="75"/>
  <x:c r="E9" i="75"/>
  <x:c r="J9" i="75"/>
  <x:c r="K9" i="75"/>
  <x:c r="M9" i="75"/>
  <x:c r="E10" i="75"/>
  <x:c r="J10" i="75"/>
  <x:c r="K10" i="75"/>
  <x:c r="M10" i="75"/>
  <x:c r="E11" i="75"/>
  <x:c r="J11" i="75"/>
  <x:c r="K11" i="75"/>
  <x:c r="M11" i="75"/>
  <x:c r="E12" i="75"/>
  <x:c r="J12" i="75"/>
  <x:c r="K12" i="75"/>
  <x:c r="M12" i="75"/>
  <x:c r="E13" i="75"/>
  <x:c r="J13" i="75"/>
  <x:c r="K13" i="75"/>
  <x:c r="M13" i="75"/>
  <x:c r="E14" i="75"/>
  <x:c r="J14" i="75"/>
  <x:c r="K14" i="75"/>
  <x:c r="M14" i="75"/>
  <x:c r="E15" i="75"/>
  <x:c r="J15" i="75"/>
  <x:c r="K15" i="75"/>
  <x:c r="M15" i="75"/>
  <x:c r="J16" i="75"/>
  <x:c r="K16" i="75"/>
  <x:c r="M16" i="75"/>
  <x:c r="J17" i="75"/>
  <x:c r="K17" i="75"/>
  <x:c r="M17" i="75"/>
  <x:c r="J18" i="75"/>
  <x:c r="K18" i="75"/>
  <x:c r="M18" i="75"/>
  <x:c r="J19" i="75"/>
  <x:c r="K19" i="75"/>
  <x:c r="M19" i="75"/>
  <x:c r="J20" i="75"/>
  <x:c r="K20" i="75"/>
  <x:c r="M20" i="75"/>
  <x:c r="E21" i="75"/>
  <x:c r="J21" i="75"/>
  <x:c r="K21" i="75"/>
  <x:c r="M21" i="75"/>
  <x:c r="E22" i="75"/>
  <x:c r="J22" i="75"/>
  <x:c r="K22" i="75"/>
  <x:c r="M22" i="75"/>
  <x:c r="G25" i="75"/>
  <x:c r="J25" i="75"/>
  <x:c r="M25" i="75"/>
  <x:c r="E28" i="75"/>
  <x:c r="J28" i="75"/>
  <x:c r="K28" i="75"/>
  <x:c r="M28" i="75"/>
  <x:c r="E29" i="75"/>
  <x:c r="J29" i="75"/>
  <x:c r="K29" i="75"/>
  <x:c r="M29" i="75"/>
  <x:c r="E30" i="75"/>
  <x:c r="J30" i="75"/>
  <x:c r="K30" i="75"/>
  <x:c r="M30" i="75"/>
  <x:c r="E31" i="75"/>
  <x:c r="J31" i="75"/>
  <x:c r="K31" i="75"/>
  <x:c r="M31" i="75"/>
  <x:c r="E32" i="75"/>
  <x:c r="J32" i="75"/>
  <x:c r="K32" i="75"/>
  <x:c r="M32" i="75"/>
  <x:c r="E33" i="75"/>
  <x:c r="J33" i="75"/>
  <x:c r="K33" i="75"/>
  <x:c r="M33" i="75"/>
  <x:c r="G35" i="75"/>
  <x:c r="J35" i="75"/>
  <x:c r="M35" i="75"/>
  <x:c r="M40" i="75"/>
  <x:c r="M41" i="75"/>
  <x:c r="E48" i="75"/>
  <x:c r="J48" i="75"/>
  <x:c r="K48" i="75"/>
  <x:c r="M48" i="75"/>
  <x:c r="E49" i="75"/>
  <x:c r="J49" i="75"/>
  <x:c r="K49" i="75"/>
  <x:c r="M49" i="75"/>
  <x:c r="E50" i="75"/>
  <x:c r="J50" i="75"/>
  <x:c r="K50" i="75"/>
  <x:c r="M50" i="75"/>
  <x:c r="E51" i="75"/>
  <x:c r="J51" i="75"/>
  <x:c r="K51" i="75"/>
  <x:c r="M51" i="75"/>
  <x:c r="G55" i="75"/>
  <x:c r="J55" i="75"/>
  <x:c r="M55" i="75"/>
  <x:c r="G61" i="75"/>
  <x:c r="J61" i="75"/>
  <x:c r="M61" i="75"/>
  <x:c r="J66" i="75"/>
  <x:c r="M66" i="75"/>
  <x:c r="J67" i="75"/>
  <x:c r="M67" i="75"/>
  <x:c r="J68" i="75"/>
  <x:c r="N6" i="76"/>
  <x:c r="N7" i="76"/>
  <x:c r="J8" i="76"/>
  <x:c r="K8" i="76"/>
  <x:c r="M8" i="76"/>
  <x:c r="J9" i="76"/>
  <x:c r="K9" i="76"/>
  <x:c r="M9" i="76"/>
  <x:c r="J10" i="76"/>
  <x:c r="K10" i="76"/>
  <x:c r="M10" i="76"/>
  <x:c r="E11" i="76"/>
  <x:c r="J11" i="76"/>
  <x:c r="K11" i="76"/>
  <x:c r="M11" i="76"/>
  <x:c r="E12" i="76"/>
  <x:c r="J12" i="76"/>
  <x:c r="K12" i="76"/>
  <x:c r="M12" i="76"/>
  <x:c r="E13" i="76"/>
  <x:c r="J13" i="76"/>
  <x:c r="K13" i="76"/>
  <x:c r="M13" i="76"/>
  <x:c r="E14" i="76"/>
  <x:c r="J14" i="76"/>
  <x:c r="K14" i="76"/>
  <x:c r="M14" i="76"/>
  <x:c r="E15" i="76"/>
  <x:c r="J15" i="76"/>
  <x:c r="K15" i="76"/>
  <x:c r="M15" i="76"/>
  <x:c r="E16" i="76"/>
  <x:c r="J16" i="76"/>
  <x:c r="K16" i="76"/>
  <x:c r="M16" i="76"/>
  <x:c r="E17" i="76"/>
  <x:c r="J17" i="76"/>
  <x:c r="K17" i="76"/>
  <x:c r="M17" i="76"/>
  <x:c r="E18" i="76"/>
  <x:c r="J18" i="76"/>
  <x:c r="K18" i="76"/>
  <x:c r="M18" i="76"/>
  <x:c r="E19" i="76"/>
  <x:c r="J19" i="76"/>
  <x:c r="K19" i="76"/>
  <x:c r="M19" i="76"/>
  <x:c r="E20" i="76"/>
  <x:c r="J20" i="76"/>
  <x:c r="K20" i="76"/>
  <x:c r="M20" i="76"/>
  <x:c r="E21" i="76"/>
  <x:c r="J21" i="76"/>
  <x:c r="K21" i="76"/>
  <x:c r="M21" i="76"/>
  <x:c r="E22" i="76"/>
  <x:c r="J22" i="76"/>
  <x:c r="K22" i="76"/>
  <x:c r="M22" i="76"/>
  <x:c r="E23" i="76"/>
  <x:c r="J23" i="76"/>
  <x:c r="K23" i="76"/>
  <x:c r="M23" i="76"/>
  <x:c r="E24" i="76"/>
  <x:c r="J24" i="76"/>
  <x:c r="K24" i="76"/>
  <x:c r="M24" i="76"/>
  <x:c r="E25" i="76"/>
  <x:c r="J25" i="76"/>
  <x:c r="K25" i="76"/>
  <x:c r="M25" i="76"/>
  <x:c r="E26" i="76"/>
  <x:c r="J26" i="76"/>
  <x:c r="K26" i="76"/>
  <x:c r="M26" i="76"/>
  <x:c r="E27" i="76"/>
  <x:c r="J27" i="76"/>
  <x:c r="K27" i="76"/>
  <x:c r="M27" i="76"/>
  <x:c r="E28" i="76"/>
  <x:c r="J28" i="76"/>
  <x:c r="K28" i="76"/>
  <x:c r="M28" i="76"/>
  <x:c r="E29" i="76"/>
  <x:c r="J29" i="76"/>
  <x:c r="K29" i="76"/>
  <x:c r="M29" i="76"/>
  <x:c r="E30" i="76"/>
  <x:c r="J30" i="76"/>
  <x:c r="K30" i="76"/>
  <x:c r="M30" i="76"/>
  <x:c r="E31" i="76"/>
  <x:c r="J31" i="76"/>
  <x:c r="K31" i="76"/>
  <x:c r="M31" i="76"/>
  <x:c r="E32" i="76"/>
  <x:c r="J32" i="76"/>
  <x:c r="K32" i="76"/>
  <x:c r="M32" i="76"/>
  <x:c r="E33" i="76"/>
  <x:c r="J33" i="76"/>
  <x:c r="K33" i="76"/>
  <x:c r="M33" i="76"/>
  <x:c r="E34" i="76"/>
  <x:c r="J34" i="76"/>
  <x:c r="K34" i="76"/>
  <x:c r="M34" i="76"/>
  <x:c r="E35" i="76"/>
  <x:c r="J35" i="76"/>
  <x:c r="K35" i="76"/>
  <x:c r="M35" i="76"/>
  <x:c r="E36" i="76"/>
  <x:c r="J36" i="76"/>
  <x:c r="K36" i="76"/>
  <x:c r="M36" i="76"/>
  <x:c r="E37" i="76"/>
  <x:c r="J37" i="76"/>
  <x:c r="K37" i="76"/>
  <x:c r="M37" i="76"/>
  <x:c r="E38" i="76"/>
  <x:c r="J38" i="76"/>
  <x:c r="K38" i="76"/>
  <x:c r="M38" i="76"/>
  <x:c r="E39" i="76"/>
  <x:c r="J39" i="76"/>
  <x:c r="K39" i="76"/>
  <x:c r="M39" i="76"/>
  <x:c r="E40" i="76"/>
  <x:c r="J40" i="76"/>
  <x:c r="K40" i="76"/>
  <x:c r="M40" i="76"/>
  <x:c r="E41" i="76"/>
  <x:c r="J41" i="76"/>
  <x:c r="K41" i="76"/>
  <x:c r="M41" i="76"/>
  <x:c r="E42" i="76"/>
  <x:c r="J42" i="76"/>
  <x:c r="K42" i="76"/>
  <x:c r="M42" i="76"/>
  <x:c r="E43" i="76"/>
  <x:c r="J43" i="76"/>
  <x:c r="K43" i="76"/>
  <x:c r="M43" i="76"/>
  <x:c r="E44" i="76"/>
  <x:c r="J44" i="76"/>
  <x:c r="K44" i="76"/>
  <x:c r="M44" i="76"/>
  <x:c r="E45" i="76"/>
  <x:c r="J45" i="76"/>
  <x:c r="K45" i="76"/>
  <x:c r="M45" i="76"/>
  <x:c r="E46" i="76"/>
  <x:c r="J46" i="76"/>
  <x:c r="K46" i="76"/>
  <x:c r="M46" i="76"/>
  <x:c r="G50" i="76"/>
  <x:c r="J50" i="76"/>
  <x:c r="M50" i="76"/>
  <x:c r="E53" i="76"/>
  <x:c r="J53" i="76"/>
  <x:c r="K53" i="76"/>
  <x:c r="M53" i="76"/>
  <x:c r="E54" i="76"/>
  <x:c r="J54" i="76"/>
  <x:c r="K54" i="76"/>
  <x:c r="M54" i="76"/>
  <x:c r="E55" i="76"/>
  <x:c r="J55" i="76"/>
  <x:c r="K55" i="76"/>
  <x:c r="M55" i="76"/>
  <x:c r="E56" i="76"/>
  <x:c r="J56" i="76"/>
  <x:c r="K56" i="76"/>
  <x:c r="M56" i="76"/>
  <x:c r="E57" i="76"/>
  <x:c r="J57" i="76"/>
  <x:c r="K57" i="76"/>
  <x:c r="M57" i="76"/>
  <x:c r="E58" i="76"/>
  <x:c r="J58" i="76"/>
  <x:c r="K58" i="76"/>
  <x:c r="M58" i="76"/>
  <x:c r="G60" i="76"/>
  <x:c r="J60" i="76"/>
  <x:c r="M60" i="76"/>
  <x:c r="M65" i="76"/>
  <x:c r="M66" i="76"/>
  <x:c r="E73" i="76"/>
  <x:c r="K73" i="76"/>
  <x:c r="M73" i="76"/>
  <x:c r="E74" i="76"/>
  <x:c r="K74" i="76"/>
  <x:c r="M74" i="76"/>
  <x:c r="E75" i="76"/>
  <x:c r="J75" i="76"/>
  <x:c r="K75" i="76"/>
  <x:c r="M75" i="76"/>
  <x:c r="E76" i="76"/>
  <x:c r="J76" i="76"/>
  <x:c r="K76" i="76"/>
  <x:c r="M76" i="76"/>
  <x:c r="E77" i="76"/>
  <x:c r="K77" i="76"/>
  <x:c r="M77" i="76"/>
  <x:c r="E78" i="76"/>
  <x:c r="K78" i="76"/>
  <x:c r="M78" i="76"/>
  <x:c r="E79" i="76"/>
  <x:c r="J79" i="76"/>
  <x:c r="K79" i="76"/>
  <x:c r="M79" i="76"/>
  <x:c r="E80" i="76"/>
  <x:c r="J80" i="76"/>
  <x:c r="K80" i="76"/>
  <x:c r="M80" i="76"/>
  <x:c r="E81" i="76"/>
  <x:c r="J81" i="76"/>
  <x:c r="K81" i="76"/>
  <x:c r="M81" i="76"/>
  <x:c r="G83" i="76"/>
  <x:c r="J83" i="76"/>
  <x:c r="M83" i="76"/>
  <x:c r="G89" i="76"/>
  <x:c r="J89" i="76"/>
  <x:c r="M89" i="76"/>
  <x:c r="J94" i="76"/>
  <x:c r="M94" i="76"/>
  <x:c r="J95" i="76"/>
  <x:c r="M95" i="76"/>
  <x:c r="J96" i="76"/>
  <x:c r="E8" i="77"/>
  <x:c r="J8" i="77"/>
  <x:c r="K8" i="77"/>
  <x:c r="M8" i="77"/>
  <x:c r="E9" i="77"/>
  <x:c r="J9" i="77"/>
  <x:c r="K9" i="77"/>
  <x:c r="M9" i="77"/>
  <x:c r="E10" i="77"/>
  <x:c r="J10" i="77"/>
  <x:c r="K10" i="77"/>
  <x:c r="M10" i="77"/>
  <x:c r="E11" i="77"/>
  <x:c r="J11" i="77"/>
  <x:c r="K11" i="77"/>
  <x:c r="M11" i="77"/>
  <x:c r="E12" i="77"/>
  <x:c r="J12" i="77"/>
  <x:c r="K12" i="77"/>
  <x:c r="M12" i="77"/>
  <x:c r="E13" i="77"/>
  <x:c r="J13" i="77"/>
  <x:c r="K13" i="77"/>
  <x:c r="M13" i="77"/>
  <x:c r="E14" i="77"/>
  <x:c r="J14" i="77"/>
  <x:c r="K14" i="77"/>
  <x:c r="M14" i="77"/>
  <x:c r="E15" i="77"/>
  <x:c r="J15" i="77"/>
  <x:c r="K15" i="77"/>
  <x:c r="M15" i="77"/>
  <x:c r="E16" i="77"/>
  <x:c r="J16" i="77"/>
  <x:c r="K16" i="77"/>
  <x:c r="M16" i="77"/>
  <x:c r="E17" i="77"/>
  <x:c r="J17" i="77"/>
  <x:c r="K17" i="77"/>
  <x:c r="M17" i="77"/>
  <x:c r="E18" i="77"/>
  <x:c r="J18" i="77"/>
  <x:c r="K18" i="77"/>
  <x:c r="M18" i="77"/>
  <x:c r="E19" i="77"/>
  <x:c r="J19" i="77"/>
  <x:c r="K19" i="77"/>
  <x:c r="M19" i="77"/>
  <x:c r="E20" i="77"/>
  <x:c r="J20" i="77"/>
  <x:c r="K20" i="77"/>
  <x:c r="M20" i="77"/>
  <x:c r="E21" i="77"/>
  <x:c r="J21" i="77"/>
  <x:c r="K21" i="77"/>
  <x:c r="M21" i="77"/>
  <x:c r="E22" i="77"/>
  <x:c r="J22" i="77"/>
  <x:c r="K22" i="77"/>
  <x:c r="M22" i="77"/>
  <x:c r="E23" i="77"/>
  <x:c r="J23" i="77"/>
  <x:c r="K23" i="77"/>
  <x:c r="M23" i="77"/>
  <x:c r="E24" i="77"/>
  <x:c r="J24" i="77"/>
  <x:c r="K24" i="77"/>
  <x:c r="M24" i="77"/>
  <x:c r="E25" i="77"/>
  <x:c r="J25" i="77"/>
  <x:c r="K25" i="77"/>
  <x:c r="M25" i="77"/>
  <x:c r="E26" i="77"/>
  <x:c r="J26" i="77"/>
  <x:c r="K26" i="77"/>
  <x:c r="M26" i="77"/>
  <x:c r="E27" i="77"/>
  <x:c r="J27" i="77"/>
  <x:c r="K27" i="77"/>
  <x:c r="M27" i="77"/>
  <x:c r="E28" i="77"/>
  <x:c r="J28" i="77"/>
  <x:c r="K28" i="77"/>
  <x:c r="M28" i="77"/>
  <x:c r="E29" i="77"/>
  <x:c r="J29" i="77"/>
  <x:c r="K29" i="77"/>
  <x:c r="M29" i="77"/>
  <x:c r="E30" i="77"/>
  <x:c r="J30" i="77"/>
  <x:c r="K30" i="77"/>
  <x:c r="M30" i="77"/>
  <x:c r="E31" i="77"/>
  <x:c r="J31" i="77"/>
  <x:c r="K31" i="77"/>
  <x:c r="M31" i="77"/>
  <x:c r="E32" i="77"/>
  <x:c r="J32" i="77"/>
  <x:c r="K32" i="77"/>
  <x:c r="M32" i="77"/>
  <x:c r="E33" i="77"/>
  <x:c r="J33" i="77"/>
  <x:c r="K33" i="77"/>
  <x:c r="M33" i="77"/>
  <x:c r="E34" i="77"/>
  <x:c r="J34" i="77"/>
  <x:c r="K34" i="77"/>
  <x:c r="M34" i="77"/>
  <x:c r="G38" i="77"/>
  <x:c r="J38" i="77"/>
  <x:c r="M38" i="77"/>
  <x:c r="E41" i="77"/>
  <x:c r="J41" i="77"/>
  <x:c r="K41" i="77"/>
  <x:c r="M41" i="77"/>
  <x:c r="E42" i="77"/>
  <x:c r="J42" i="77"/>
  <x:c r="K42" i="77"/>
  <x:c r="M42" i="77"/>
  <x:c r="E43" i="77"/>
  <x:c r="J43" i="77"/>
  <x:c r="K43" i="77"/>
  <x:c r="M43" i="77"/>
  <x:c r="E44" i="77"/>
  <x:c r="J44" i="77"/>
  <x:c r="K44" i="77"/>
  <x:c r="M44" i="77"/>
  <x:c r="E45" i="77"/>
  <x:c r="J45" i="77"/>
  <x:c r="K45" i="77"/>
  <x:c r="M45" i="77"/>
  <x:c r="G48" i="77"/>
  <x:c r="J48" i="77"/>
  <x:c r="M48" i="77"/>
  <x:c r="M53" i="77"/>
  <x:c r="M54" i="77"/>
  <x:c r="E61" i="77"/>
  <x:c r="J61" i="77"/>
  <x:c r="K61" i="77"/>
  <x:c r="M61" i="77"/>
  <x:c r="E62" i="77"/>
  <x:c r="J62" i="77"/>
  <x:c r="K62" i="77"/>
  <x:c r="M62" i="77"/>
  <x:c r="E63" i="77"/>
  <x:c r="J63" i="77"/>
  <x:c r="K63" i="77"/>
  <x:c r="M63" i="77"/>
  <x:c r="E64" i="77"/>
  <x:c r="J64" i="77"/>
  <x:c r="K64" i="77"/>
  <x:c r="M64" i="77"/>
  <x:c r="J65" i="77"/>
  <x:c r="K65" i="77"/>
  <x:c r="M65" i="77"/>
  <x:c r="E66" i="77"/>
  <x:c r="J66" i="77"/>
  <x:c r="K66" i="77"/>
  <x:c r="M66" i="77"/>
  <x:c r="G71" i="77"/>
  <x:c r="J71" i="77"/>
  <x:c r="M71" i="77"/>
  <x:c r="E75" i="77"/>
  <x:c r="J75" i="77"/>
  <x:c r="K75" i="77"/>
  <x:c r="M75" i="77"/>
  <x:c r="G77" i="77"/>
  <x:c r="J77" i="77"/>
  <x:c r="M77" i="77"/>
  <x:c r="J82" i="77"/>
  <x:c r="M82" i="77"/>
  <x:c r="J83" i="77"/>
  <x:c r="M83" i="77"/>
  <x:c r="J84" i="77"/>
  <x:c r="E8" i="78"/>
  <x:c r="F8" i="78"/>
  <x:c r="H8" i="78"/>
  <x:c r="J8" i="78"/>
  <x:c r="K8" i="78"/>
  <x:c r="M8" i="78"/>
  <x:c r="E9" i="78"/>
  <x:c r="J9" i="78"/>
  <x:c r="K9" i="78"/>
  <x:c r="M9" i="78"/>
  <x:c r="E10" i="78"/>
  <x:c r="J10" i="78"/>
  <x:c r="K10" i="78"/>
  <x:c r="M10" i="78"/>
  <x:c r="E11" i="78"/>
  <x:c r="J11" i="78"/>
  <x:c r="K11" i="78"/>
  <x:c r="M11" i="78"/>
  <x:c r="E12" i="78"/>
  <x:c r="J12" i="78"/>
  <x:c r="K12" i="78"/>
  <x:c r="M12" i="78"/>
  <x:c r="E13" i="78"/>
  <x:c r="J13" i="78"/>
  <x:c r="K13" i="78"/>
  <x:c r="M13" i="78"/>
  <x:c r="E14" i="78"/>
  <x:c r="J14" i="78"/>
  <x:c r="K14" i="78"/>
  <x:c r="M14" i="78"/>
  <x:c r="E15" i="78"/>
  <x:c r="J15" i="78"/>
  <x:c r="K15" i="78"/>
  <x:c r="M15" i="78"/>
  <x:c r="E16" i="78"/>
  <x:c r="J16" i="78"/>
  <x:c r="K16" i="78"/>
  <x:c r="M16" i="78"/>
  <x:c r="E17" i="78"/>
  <x:c r="J17" i="78"/>
  <x:c r="K17" i="78"/>
  <x:c r="M17" i="78"/>
  <x:c r="E18" i="78"/>
  <x:c r="J18" i="78"/>
  <x:c r="K18" i="78"/>
  <x:c r="M18" i="78"/>
  <x:c r="E19" i="78"/>
  <x:c r="J19" i="78"/>
  <x:c r="K19" i="78"/>
  <x:c r="M19" i="78"/>
  <x:c r="E20" i="78"/>
  <x:c r="J20" i="78"/>
  <x:c r="K20" i="78"/>
  <x:c r="M20" i="78"/>
  <x:c r="E21" i="78"/>
  <x:c r="J21" i="78"/>
  <x:c r="K21" i="78"/>
  <x:c r="M21" i="78"/>
  <x:c r="E22" i="78"/>
  <x:c r="J22" i="78"/>
  <x:c r="K22" i="78"/>
  <x:c r="M22" i="78"/>
  <x:c r="E23" i="78"/>
  <x:c r="J23" i="78"/>
  <x:c r="K23" i="78"/>
  <x:c r="M23" i="78"/>
  <x:c r="E24" i="78"/>
  <x:c r="J24" i="78"/>
  <x:c r="K24" i="78"/>
  <x:c r="M24" i="78"/>
  <x:c r="E25" i="78"/>
  <x:c r="J25" i="78"/>
  <x:c r="K25" i="78"/>
  <x:c r="M25" i="78"/>
  <x:c r="E26" i="78"/>
  <x:c r="J26" i="78"/>
  <x:c r="K26" i="78"/>
  <x:c r="M26" i="78"/>
  <x:c r="E27" i="78"/>
  <x:c r="J27" i="78"/>
  <x:c r="K27" i="78"/>
  <x:c r="M27" i="78"/>
  <x:c r="E28" i="78"/>
  <x:c r="J28" i="78"/>
  <x:c r="K28" i="78"/>
  <x:c r="M28" i="78"/>
  <x:c r="E29" i="78"/>
  <x:c r="J29" i="78"/>
  <x:c r="K29" i="78"/>
  <x:c r="M29" i="78"/>
  <x:c r="E30" i="78"/>
  <x:c r="J30" i="78"/>
  <x:c r="K30" i="78"/>
  <x:c r="M30" i="78"/>
  <x:c r="E31" i="78"/>
  <x:c r="J31" i="78"/>
  <x:c r="K31" i="78"/>
  <x:c r="M31" i="78"/>
  <x:c r="G35" i="78"/>
  <x:c r="J35" i="78"/>
  <x:c r="M35" i="78"/>
  <x:c r="E38" i="78"/>
  <x:c r="J38" i="78"/>
  <x:c r="K38" i="78"/>
  <x:c r="M38" i="78"/>
  <x:c r="E39" i="78"/>
  <x:c r="J39" i="78"/>
  <x:c r="K39" i="78"/>
  <x:c r="M39" i="78"/>
  <x:c r="E40" i="78"/>
  <x:c r="J40" i="78"/>
  <x:c r="K40" i="78"/>
  <x:c r="M40" i="78"/>
  <x:c r="E41" i="78"/>
  <x:c r="J41" i="78"/>
  <x:c r="K41" i="78"/>
  <x:c r="M41" i="78"/>
  <x:c r="E42" i="78"/>
  <x:c r="J42" i="78"/>
  <x:c r="K42" i="78"/>
  <x:c r="M42" i="78"/>
  <x:c r="G45" i="78"/>
  <x:c r="J45" i="78"/>
  <x:c r="M45" i="78"/>
  <x:c r="M50" i="78"/>
  <x:c r="M51" i="78"/>
  <x:c r="E58" i="78"/>
  <x:c r="J58" i="78"/>
  <x:c r="K58" i="78"/>
  <x:c r="M58" i="78"/>
  <x:c r="E59" i="78"/>
  <x:c r="J59" i="78"/>
  <x:c r="K59" i="78"/>
  <x:c r="M59" i="78"/>
  <x:c r="E60" i="78"/>
  <x:c r="J60" i="78"/>
  <x:c r="K60" i="78"/>
  <x:c r="M60" i="78"/>
  <x:c r="E61" i="78"/>
  <x:c r="J61" i="78"/>
  <x:c r="K61" i="78"/>
  <x:c r="M61" i="78"/>
  <x:c r="E62" i="78"/>
  <x:c r="J62" i="78"/>
  <x:c r="K62" i="78"/>
  <x:c r="M62" i="78"/>
  <x:c r="E63" i="78"/>
  <x:c r="J63" i="78"/>
  <x:c r="K63" i="78"/>
  <x:c r="M63" i="78"/>
  <x:c r="E64" i="78"/>
  <x:c r="J64" i="78"/>
  <x:c r="K64" i="78"/>
  <x:c r="M64" i="78"/>
  <x:c r="E65" i="78"/>
  <x:c r="J65" i="78"/>
  <x:c r="K65" i="78"/>
  <x:c r="M65" i="78"/>
  <x:c r="E66" i="78"/>
  <x:c r="J66" i="78"/>
  <x:c r="K66" i="78"/>
  <x:c r="M66" i="78"/>
  <x:c r="G70" i="78"/>
  <x:c r="J70" i="78"/>
  <x:c r="M70" i="78"/>
  <x:c r="G76" i="78"/>
  <x:c r="J76" i="78"/>
  <x:c r="M76" i="78"/>
  <x:c r="J81" i="78"/>
  <x:c r="M81" i="78"/>
  <x:c r="J82" i="78"/>
  <x:c r="M82" i="78"/>
  <x:c r="J83" i="78"/>
  <x:c r="E8" i="79"/>
  <x:c r="J8" i="79"/>
  <x:c r="K8" i="79"/>
  <x:c r="M8" i="79"/>
  <x:c r="E9" i="79"/>
  <x:c r="J9" i="79"/>
  <x:c r="K9" i="79"/>
  <x:c r="M9" i="79"/>
  <x:c r="E10" i="79"/>
  <x:c r="J10" i="79"/>
  <x:c r="K10" i="79"/>
  <x:c r="M10" i="79"/>
  <x:c r="E11" i="79"/>
  <x:c r="J11" i="79"/>
  <x:c r="K11" i="79"/>
  <x:c r="M11" i="79"/>
  <x:c r="E12" i="79"/>
  <x:c r="J12" i="79"/>
  <x:c r="K12" i="79"/>
  <x:c r="M12" i="79"/>
  <x:c r="E13" i="79"/>
  <x:c r="J13" i="79"/>
  <x:c r="K13" i="79"/>
  <x:c r="M13" i="79"/>
  <x:c r="E14" i="79"/>
  <x:c r="J14" i="79"/>
  <x:c r="K14" i="79"/>
  <x:c r="M14" i="79"/>
  <x:c r="E15" i="79"/>
  <x:c r="J15" i="79"/>
  <x:c r="K15" i="79"/>
  <x:c r="M15" i="79"/>
  <x:c r="E16" i="79"/>
  <x:c r="J16" i="79"/>
  <x:c r="K16" i="79"/>
  <x:c r="M16" i="79"/>
  <x:c r="E17" i="79"/>
  <x:c r="J17" i="79"/>
  <x:c r="K17" i="79"/>
  <x:c r="M17" i="79"/>
  <x:c r="E18" i="79"/>
  <x:c r="J18" i="79"/>
  <x:c r="K18" i="79"/>
  <x:c r="M18" i="79"/>
  <x:c r="E19" i="79"/>
  <x:c r="J19" i="79"/>
  <x:c r="K19" i="79"/>
  <x:c r="M19" i="79"/>
  <x:c r="E20" i="79"/>
  <x:c r="J20" i="79"/>
  <x:c r="K20" i="79"/>
  <x:c r="M20" i="79"/>
  <x:c r="E21" i="79"/>
  <x:c r="J21" i="79"/>
  <x:c r="K21" i="79"/>
  <x:c r="M21" i="79"/>
  <x:c r="E22" i="79"/>
  <x:c r="J22" i="79"/>
  <x:c r="K22" i="79"/>
  <x:c r="M22" i="79"/>
  <x:c r="E23" i="79"/>
  <x:c r="J23" i="79"/>
  <x:c r="K23" i="79"/>
  <x:c r="M23" i="79"/>
  <x:c r="E24" i="79"/>
  <x:c r="J24" i="79"/>
  <x:c r="K24" i="79"/>
  <x:c r="M24" i="79"/>
  <x:c r="E25" i="79"/>
  <x:c r="J25" i="79"/>
  <x:c r="K25" i="79"/>
  <x:c r="M25" i="79"/>
  <x:c r="E26" i="79"/>
  <x:c r="J26" i="79"/>
  <x:c r="K26" i="79"/>
  <x:c r="M26" i="79"/>
  <x:c r="E27" i="79"/>
  <x:c r="J27" i="79"/>
  <x:c r="K27" i="79"/>
  <x:c r="M27" i="79"/>
  <x:c r="G30" i="79"/>
  <x:c r="J30" i="79"/>
  <x:c r="M30" i="79"/>
  <x:c r="E33" i="79"/>
  <x:c r="J33" i="79"/>
  <x:c r="K33" i="79"/>
  <x:c r="M33" i="79"/>
  <x:c r="E34" i="79"/>
  <x:c r="J34" i="79"/>
  <x:c r="K34" i="79"/>
  <x:c r="M34" i="79"/>
  <x:c r="E35" i="79"/>
  <x:c r="J35" i="79"/>
  <x:c r="K35" i="79"/>
  <x:c r="M35" i="79"/>
  <x:c r="E36" i="79"/>
  <x:c r="J36" i="79"/>
  <x:c r="K36" i="79"/>
  <x:c r="M36" i="79"/>
  <x:c r="E37" i="79"/>
  <x:c r="J37" i="79"/>
  <x:c r="K37" i="79"/>
  <x:c r="M37" i="79"/>
  <x:c r="E38" i="79"/>
  <x:c r="J38" i="79"/>
  <x:c r="K38" i="79"/>
  <x:c r="M38" i="79"/>
  <x:c r="E39" i="79"/>
  <x:c r="J39" i="79"/>
  <x:c r="K39" i="79"/>
  <x:c r="M39" i="79"/>
  <x:c r="E40" i="79"/>
  <x:c r="J40" i="79"/>
  <x:c r="K40" i="79"/>
  <x:c r="M40" i="79"/>
  <x:c r="E41" i="79"/>
  <x:c r="J41" i="79"/>
  <x:c r="K41" i="79"/>
  <x:c r="M41" i="79"/>
  <x:c r="G44" i="79"/>
  <x:c r="J44" i="79"/>
  <x:c r="M44" i="79"/>
  <x:c r="M49" i="79"/>
  <x:c r="M50" i="79"/>
  <x:c r="E57" i="79"/>
  <x:c r="J57" i="79"/>
  <x:c r="K57" i="79"/>
  <x:c r="M57" i="79"/>
  <x:c r="E58" i="79"/>
  <x:c r="J58" i="79"/>
  <x:c r="K58" i="79"/>
  <x:c r="M58" i="79"/>
  <x:c r="E59" i="79"/>
  <x:c r="J59" i="79"/>
  <x:c r="K59" i="79"/>
  <x:c r="M59" i="79"/>
  <x:c r="E60" i="79"/>
  <x:c r="J60" i="79"/>
  <x:c r="K60" i="79"/>
  <x:c r="M60" i="79"/>
  <x:c r="G64" i="79"/>
  <x:c r="J64" i="79"/>
  <x:c r="M64" i="79"/>
  <x:c r="G70" i="79"/>
  <x:c r="J70" i="79"/>
  <x:c r="M70" i="79"/>
  <x:c r="J75" i="79"/>
  <x:c r="M75" i="79"/>
  <x:c r="J76" i="79"/>
  <x:c r="M76" i="79"/>
  <x:c r="J77" i="79"/>
  <x:c r="E8" i="80"/>
  <x:c r="J8" i="80"/>
  <x:c r="K8" i="80"/>
  <x:c r="M8" i="80"/>
  <x:c r="E9" i="80"/>
  <x:c r="J9" i="80"/>
  <x:c r="K9" i="80"/>
  <x:c r="M9" i="80"/>
  <x:c r="E10" i="80"/>
  <x:c r="J10" i="80"/>
  <x:c r="K10" i="80"/>
  <x:c r="M10" i="80"/>
  <x:c r="E11" i="80"/>
  <x:c r="J11" i="80"/>
  <x:c r="K11" i="80"/>
  <x:c r="M11" i="80"/>
  <x:c r="E12" i="80"/>
  <x:c r="J12" i="80"/>
  <x:c r="K12" i="80"/>
  <x:c r="M12" i="80"/>
  <x:c r="E13" i="80"/>
  <x:c r="J13" i="80"/>
  <x:c r="K13" i="80"/>
  <x:c r="M13" i="80"/>
  <x:c r="E14" i="80"/>
  <x:c r="J14" i="80"/>
  <x:c r="K14" i="80"/>
  <x:c r="M14" i="80"/>
  <x:c r="E15" i="80"/>
  <x:c r="J15" i="80"/>
  <x:c r="K15" i="80"/>
  <x:c r="M15" i="80"/>
  <x:c r="E16" i="80"/>
  <x:c r="J16" i="80"/>
  <x:c r="K16" i="80"/>
  <x:c r="M16" i="80"/>
  <x:c r="E17" i="80"/>
  <x:c r="J17" i="80"/>
  <x:c r="K17" i="80"/>
  <x:c r="M17" i="80"/>
  <x:c r="E18" i="80"/>
  <x:c r="J18" i="80"/>
  <x:c r="K18" i="80"/>
  <x:c r="M18" i="80"/>
  <x:c r="E19" i="80"/>
  <x:c r="J19" i="80"/>
  <x:c r="K19" i="80"/>
  <x:c r="M19" i="80"/>
  <x:c r="E20" i="80"/>
  <x:c r="J20" i="80"/>
  <x:c r="K20" i="80"/>
  <x:c r="M20" i="80"/>
  <x:c r="E21" i="80"/>
  <x:c r="J21" i="80"/>
  <x:c r="K21" i="80"/>
  <x:c r="M21" i="80"/>
  <x:c r="E22" i="80"/>
  <x:c r="J22" i="80"/>
  <x:c r="K22" i="80"/>
  <x:c r="M22" i="80"/>
  <x:c r="E23" i="80"/>
  <x:c r="J23" i="80"/>
  <x:c r="K23" i="80"/>
  <x:c r="M23" i="80"/>
  <x:c r="E24" i="80"/>
  <x:c r="J24" i="80"/>
  <x:c r="K24" i="80"/>
  <x:c r="M24" i="80"/>
  <x:c r="E25" i="80"/>
  <x:c r="J25" i="80"/>
  <x:c r="K25" i="80"/>
  <x:c r="M25" i="80"/>
  <x:c r="E26" i="80"/>
  <x:c r="J26" i="80"/>
  <x:c r="K26" i="80"/>
  <x:c r="M26" i="80"/>
  <x:c r="E27" i="80"/>
  <x:c r="J27" i="80"/>
  <x:c r="K27" i="80"/>
  <x:c r="M27" i="80"/>
  <x:c r="E28" i="80"/>
  <x:c r="J28" i="80"/>
  <x:c r="K28" i="80"/>
  <x:c r="M28" i="80"/>
  <x:c r="E29" i="80"/>
  <x:c r="J29" i="80"/>
  <x:c r="K29" i="80"/>
  <x:c r="M29" i="80"/>
  <x:c r="E30" i="80"/>
  <x:c r="J30" i="80"/>
  <x:c r="K30" i="80"/>
  <x:c r="M30" i="80"/>
  <x:c r="E31" i="80"/>
  <x:c r="J31" i="80"/>
  <x:c r="K31" i="80"/>
  <x:c r="M31" i="80"/>
  <x:c r="G35" i="80"/>
  <x:c r="J35" i="80"/>
  <x:c r="M35" i="80"/>
  <x:c r="E38" i="80"/>
  <x:c r="J38" i="80"/>
  <x:c r="K38" i="80"/>
  <x:c r="M38" i="80"/>
  <x:c r="E39" i="80"/>
  <x:c r="J39" i="80"/>
  <x:c r="K39" i="80"/>
  <x:c r="M39" i="80"/>
  <x:c r="E40" i="80"/>
  <x:c r="J40" i="80"/>
  <x:c r="K40" i="80"/>
  <x:c r="M40" i="80"/>
  <x:c r="E41" i="80"/>
  <x:c r="J41" i="80"/>
  <x:c r="K41" i="80"/>
  <x:c r="M41" i="80"/>
  <x:c r="E42" i="80"/>
  <x:c r="J42" i="80"/>
  <x:c r="K42" i="80"/>
  <x:c r="M42" i="80"/>
  <x:c r="E43" i="80"/>
  <x:c r="J43" i="80"/>
  <x:c r="K43" i="80"/>
  <x:c r="M43" i="80"/>
  <x:c r="E44" i="80"/>
  <x:c r="J44" i="80"/>
  <x:c r="K44" i="80"/>
  <x:c r="M44" i="80"/>
  <x:c r="G47" i="80"/>
  <x:c r="J47" i="80"/>
  <x:c r="M47" i="80"/>
  <x:c r="M52" i="80"/>
  <x:c r="M53" i="80"/>
  <x:c r="E60" i="80"/>
  <x:c r="J60" i="80"/>
  <x:c r="K60" i="80"/>
  <x:c r="M60" i="80"/>
  <x:c r="E61" i="80"/>
  <x:c r="J61" i="80"/>
  <x:c r="K61" i="80"/>
  <x:c r="M61" i="80"/>
  <x:c r="G65" i="80"/>
  <x:c r="J65" i="80"/>
  <x:c r="M65" i="80"/>
  <x:c r="G71" i="80"/>
  <x:c r="J71" i="80"/>
  <x:c r="M71" i="80"/>
  <x:c r="J76" i="80"/>
  <x:c r="M76" i="80"/>
  <x:c r="J77" i="80"/>
  <x:c r="M77" i="80"/>
  <x:c r="J78" i="80"/>
  <x:c r="J8" i="81"/>
  <x:c r="K8" i="81"/>
  <x:c r="M8" i="81"/>
  <x:c r="J9" i="81"/>
  <x:c r="K9" i="81"/>
  <x:c r="M9" i="81"/>
  <x:c r="J10" i="81"/>
  <x:c r="K10" i="81"/>
  <x:c r="M10" i="81"/>
  <x:c r="J11" i="81"/>
  <x:c r="K11" i="81"/>
  <x:c r="M11" i="81"/>
  <x:c r="J12" i="81"/>
  <x:c r="K12" i="81"/>
  <x:c r="M12" i="81"/>
  <x:c r="G13" i="81"/>
  <x:c r="J13" i="81"/>
  <x:c r="K13" i="81"/>
  <x:c r="M13" i="81"/>
  <x:c r="J14" i="81"/>
  <x:c r="K14" i="81"/>
  <x:c r="M14" i="81"/>
  <x:c r="K15" i="81"/>
  <x:c r="M15" i="81"/>
  <x:c r="J16" i="81"/>
  <x:c r="K16" i="81"/>
  <x:c r="M16" i="81"/>
  <x:c r="J17" i="81"/>
  <x:c r="K17" i="81"/>
  <x:c r="M17" i="81"/>
  <x:c r="J18" i="81"/>
  <x:c r="K18" i="81"/>
  <x:c r="M18" i="81"/>
  <x:c r="J19" i="81"/>
  <x:c r="K19" i="81"/>
  <x:c r="M19" i="81"/>
  <x:c r="J20" i="81"/>
  <x:c r="K20" i="81"/>
  <x:c r="M20" i="81"/>
  <x:c r="J21" i="81"/>
  <x:c r="K21" i="81"/>
  <x:c r="M21" i="81"/>
  <x:c r="J22" i="81"/>
  <x:c r="K22" i="81"/>
  <x:c r="M22" i="81"/>
  <x:c r="K23" i="81"/>
  <x:c r="M23" i="81"/>
  <x:c r="S23" i="81"/>
  <x:c r="T23" i="81"/>
  <x:c r="K24" i="81"/>
  <x:c r="M24" i="81"/>
  <x:c r="S24" i="81"/>
  <x:c r="J25" i="81"/>
  <x:c r="K25" i="81"/>
  <x:c r="M25" i="81"/>
  <x:c r="J26" i="81"/>
  <x:c r="K26" i="81"/>
  <x:c r="M26" i="81"/>
  <x:c r="J27" i="81"/>
  <x:c r="K27" i="81"/>
  <x:c r="M27" i="81"/>
  <x:c r="J28" i="81"/>
  <x:c r="K28" i="81"/>
  <x:c r="M28" i="81"/>
  <x:c r="J29" i="81"/>
  <x:c r="K29" i="81"/>
  <x:c r="M29" i="81"/>
  <x:c r="J30" i="81"/>
  <x:c r="K30" i="81"/>
  <x:c r="M30" i="81"/>
  <x:c r="J31" i="81"/>
  <x:c r="K31" i="81"/>
  <x:c r="M31" i="81"/>
  <x:c r="J32" i="81"/>
  <x:c r="K32" i="81"/>
  <x:c r="M32" i="81"/>
  <x:c r="J33" i="81"/>
  <x:c r="K33" i="81"/>
  <x:c r="M33" i="81"/>
  <x:c r="J34" i="81"/>
  <x:c r="K34" i="81"/>
  <x:c r="M34" i="81"/>
  <x:c r="J35" i="81"/>
  <x:c r="K35" i="81"/>
  <x:c r="M35" i="81"/>
  <x:c r="J36" i="81"/>
  <x:c r="K36" i="81"/>
  <x:c r="M36" i="81"/>
  <x:c r="J37" i="81"/>
  <x:c r="K37" i="81"/>
  <x:c r="M37" i="81"/>
  <x:c r="J38" i="81"/>
  <x:c r="K38" i="81"/>
  <x:c r="M38" i="81"/>
  <x:c r="J39" i="81"/>
  <x:c r="K39" i="81"/>
  <x:c r="M39" i="81"/>
  <x:c r="J40" i="81"/>
  <x:c r="K40" i="81"/>
  <x:c r="M40" i="81"/>
  <x:c r="J41" i="81"/>
  <x:c r="K41" i="81"/>
  <x:c r="M41" i="81"/>
  <x:c r="J42" i="81"/>
  <x:c r="K42" i="81"/>
  <x:c r="M42" i="81"/>
  <x:c r="J43" i="81"/>
  <x:c r="K43" i="81"/>
  <x:c r="M43" i="81"/>
  <x:c r="J44" i="81"/>
  <x:c r="K44" i="81"/>
  <x:c r="M44" i="81"/>
  <x:c r="J45" i="81"/>
  <x:c r="K45" i="81"/>
  <x:c r="M45" i="81"/>
  <x:c r="J46" i="81"/>
  <x:c r="K46" i="81"/>
  <x:c r="M46" i="81"/>
  <x:c r="J47" i="81"/>
  <x:c r="K47" i="81"/>
  <x:c r="M47" i="81"/>
  <x:c r="J48" i="81"/>
  <x:c r="K48" i="81"/>
  <x:c r="M48" i="81"/>
  <x:c r="J49" i="81"/>
  <x:c r="K49" i="81"/>
  <x:c r="M49" i="81"/>
  <x:c r="J50" i="81"/>
  <x:c r="K50" i="81"/>
  <x:c r="M50" i="81"/>
  <x:c r="J51" i="81"/>
  <x:c r="K51" i="81"/>
  <x:c r="M51" i="81"/>
  <x:c r="J52" i="81"/>
  <x:c r="K52" i="81"/>
  <x:c r="M52" i="81"/>
  <x:c r="J53" i="81"/>
  <x:c r="K53" i="81"/>
  <x:c r="M53" i="81"/>
  <x:c r="J54" i="81"/>
  <x:c r="K54" i="81"/>
  <x:c r="M54" i="81"/>
  <x:c r="K55" i="81"/>
  <x:c r="M55" i="81"/>
  <x:c r="J56" i="81"/>
  <x:c r="K56" i="81"/>
  <x:c r="M56" i="81"/>
  <x:c r="J57" i="81"/>
  <x:c r="K57" i="81"/>
  <x:c r="M57" i="81"/>
  <x:c r="J58" i="81"/>
  <x:c r="K58" i="81"/>
  <x:c r="M58" i="81"/>
  <x:c r="J59" i="81"/>
  <x:c r="K59" i="81"/>
  <x:c r="M59" i="81"/>
  <x:c r="J60" i="81"/>
  <x:c r="K60" i="81"/>
  <x:c r="M60" i="81"/>
  <x:c r="G64" i="81"/>
  <x:c r="J64" i="81"/>
  <x:c r="M64" i="81"/>
  <x:c r="J67" i="81"/>
  <x:c r="K67" i="81"/>
  <x:c r="M67" i="81"/>
  <x:c r="J68" i="81"/>
  <x:c r="K68" i="81"/>
  <x:c r="M68" i="81"/>
  <x:c r="J69" i="81"/>
  <x:c r="K69" i="81"/>
  <x:c r="M69" i="81"/>
  <x:c r="J70" i="81"/>
  <x:c r="K70" i="81"/>
  <x:c r="M70" i="81"/>
  <x:c r="K71" i="81"/>
  <x:c r="M71" i="81"/>
  <x:c r="K72" i="81"/>
  <x:c r="M72" i="81"/>
  <x:c r="J73" i="81"/>
  <x:c r="K73" i="81"/>
  <x:c r="M73" i="81"/>
  <x:c r="J74" i="81"/>
  <x:c r="K74" i="81"/>
  <x:c r="M74" i="81"/>
  <x:c r="J75" i="81"/>
  <x:c r="K75" i="81"/>
  <x:c r="M75" i="81"/>
  <x:c r="J76" i="81"/>
  <x:c r="K76" i="81"/>
  <x:c r="M76" i="81"/>
  <x:c r="K77" i="81"/>
  <x:c r="M77" i="81"/>
  <x:c r="J78" i="81"/>
  <x:c r="K78" i="81"/>
  <x:c r="M78" i="81"/>
  <x:c r="J79" i="81"/>
  <x:c r="K79" i="81"/>
  <x:c r="M79" i="81"/>
  <x:c r="J80" i="81"/>
  <x:c r="K80" i="81"/>
  <x:c r="M80" i="81"/>
  <x:c r="J81" i="81"/>
  <x:c r="K81" i="81"/>
  <x:c r="M81" i="81"/>
  <x:c r="J82" i="81"/>
  <x:c r="K82" i="81"/>
  <x:c r="M82" i="81"/>
  <x:c r="J83" i="81"/>
  <x:c r="K83" i="81"/>
  <x:c r="M83" i="81"/>
  <x:c r="J84" i="81"/>
  <x:c r="K84" i="81"/>
  <x:c r="M84" i="81"/>
  <x:c r="J85" i="81"/>
  <x:c r="K85" i="81"/>
  <x:c r="M85" i="81"/>
  <x:c r="J86" i="81"/>
  <x:c r="K86" i="81"/>
  <x:c r="M86" i="81"/>
  <x:c r="G87" i="81"/>
  <x:c r="K87" i="81"/>
  <x:c r="M87" i="81"/>
  <x:c r="K88" i="81"/>
  <x:c r="M88" i="81"/>
  <x:c r="J89" i="81"/>
  <x:c r="K89" i="81"/>
  <x:c r="M89" i="81"/>
  <x:c r="J90" i="81"/>
  <x:c r="K90" i="81"/>
  <x:c r="M90" i="81"/>
  <x:c r="G93" i="81"/>
  <x:c r="J93" i="81"/>
  <x:c r="M93" i="81"/>
  <x:c r="J106" i="81"/>
  <x:c r="K106" i="81"/>
  <x:c r="M106" i="81"/>
  <x:c r="J107" i="81"/>
  <x:c r="K107" i="81"/>
  <x:c r="M107" i="81"/>
  <x:c r="J108" i="81"/>
  <x:c r="K108" i="81"/>
  <x:c r="M108" i="81"/>
  <x:c r="J109" i="81"/>
  <x:c r="K109" i="81"/>
  <x:c r="M109" i="81"/>
  <x:c r="J110" i="81"/>
  <x:c r="K110" i="81"/>
  <x:c r="M110" i="81"/>
  <x:c r="G113" i="81"/>
  <x:c r="J113" i="81"/>
  <x:c r="M113" i="81"/>
  <x:c r="J117" i="81"/>
  <x:c r="K117" i="81"/>
  <x:c r="M117" i="81"/>
  <x:c r="G119" i="81"/>
  <x:c r="J119" i="81"/>
  <x:c r="M119" i="81"/>
  <x:c r="J124" i="81"/>
  <x:c r="M124" i="81"/>
  <x:c r="J125" i="81"/>
  <x:c r="M125" i="81"/>
  <x:c r="J126" i="81"/>
  <x:c r="J8" i="82"/>
  <x:c r="K8" i="82"/>
  <x:c r="M8" i="82"/>
  <x:c r="J9" i="82"/>
  <x:c r="K9" i="82"/>
  <x:c r="M9" i="82"/>
  <x:c r="J10" i="82"/>
  <x:c r="K10" i="82"/>
  <x:c r="M10" i="82"/>
  <x:c r="J11" i="82"/>
  <x:c r="K11" i="82"/>
  <x:c r="M11" i="82"/>
  <x:c r="J12" i="82"/>
  <x:c r="K12" i="82"/>
  <x:c r="M12" i="82"/>
  <x:c r="J13" i="82"/>
  <x:c r="K13" i="82"/>
  <x:c r="M13" i="82"/>
  <x:c r="J14" i="82"/>
  <x:c r="K14" i="82"/>
  <x:c r="M14" i="82"/>
  <x:c r="J15" i="82"/>
  <x:c r="K15" i="82"/>
  <x:c r="M15" i="82"/>
  <x:c r="J16" i="82"/>
  <x:c r="K16" i="82"/>
  <x:c r="M16" i="82"/>
  <x:c r="J17" i="82"/>
  <x:c r="K17" i="82"/>
  <x:c r="M17" i="82"/>
  <x:c r="J18" i="82"/>
  <x:c r="K18" i="82"/>
  <x:c r="M18" i="82"/>
  <x:c r="J19" i="82"/>
  <x:c r="K19" i="82"/>
  <x:c r="M19" i="82"/>
  <x:c r="J20" i="82"/>
  <x:c r="K20" i="82"/>
  <x:c r="M20" i="82"/>
  <x:c r="J21" i="82"/>
  <x:c r="K21" i="82"/>
  <x:c r="M21" i="82"/>
  <x:c r="J22" i="82"/>
  <x:c r="K22" i="82"/>
  <x:c r="M22" i="82"/>
  <x:c r="J23" i="82"/>
  <x:c r="K23" i="82"/>
  <x:c r="M23" i="82"/>
  <x:c r="J24" i="82"/>
  <x:c r="K24" i="82"/>
  <x:c r="M24" i="82"/>
  <x:c r="J25" i="82"/>
  <x:c r="K25" i="82"/>
  <x:c r="M25" i="82"/>
  <x:c r="J26" i="82"/>
  <x:c r="K26" i="82"/>
  <x:c r="M26" i="82"/>
  <x:c r="J27" i="82"/>
  <x:c r="K27" i="82"/>
  <x:c r="M27" i="82"/>
  <x:c r="J28" i="82"/>
  <x:c r="K28" i="82"/>
  <x:c r="M28" i="82"/>
  <x:c r="J29" i="82"/>
  <x:c r="K29" i="82"/>
  <x:c r="M29" i="82"/>
  <x:c r="J30" i="82"/>
  <x:c r="K30" i="82"/>
  <x:c r="M30" i="82"/>
  <x:c r="J31" i="82"/>
  <x:c r="K31" i="82"/>
  <x:c r="M31" i="82"/>
  <x:c r="J32" i="82"/>
  <x:c r="K32" i="82"/>
  <x:c r="M32" i="82"/>
  <x:c r="J33" i="82"/>
  <x:c r="K33" i="82"/>
  <x:c r="M33" i="82"/>
  <x:c r="J34" i="82"/>
  <x:c r="K34" i="82"/>
  <x:c r="M34" i="82"/>
  <x:c r="J35" i="82"/>
  <x:c r="K35" i="82"/>
  <x:c r="M35" i="82"/>
  <x:c r="J36" i="82"/>
  <x:c r="K36" i="82"/>
  <x:c r="M36" i="82"/>
  <x:c r="J37" i="82"/>
  <x:c r="K37" i="82"/>
  <x:c r="M37" i="82"/>
  <x:c r="J38" i="82"/>
  <x:c r="K38" i="82"/>
  <x:c r="M38" i="82"/>
  <x:c r="J39" i="82"/>
  <x:c r="K39" i="82"/>
  <x:c r="M39" i="82"/>
  <x:c r="J40" i="82"/>
  <x:c r="K40" i="82"/>
  <x:c r="M40" i="82"/>
  <x:c r="J41" i="82"/>
  <x:c r="K41" i="82"/>
  <x:c r="M41" i="82"/>
  <x:c r="J42" i="82"/>
  <x:c r="K42" i="82"/>
  <x:c r="M42" i="82"/>
  <x:c r="J43" i="82"/>
  <x:c r="K43" i="82"/>
  <x:c r="M43" i="82"/>
  <x:c r="J44" i="82"/>
  <x:c r="K44" i="82"/>
  <x:c r="M44" i="82"/>
  <x:c r="J45" i="82"/>
  <x:c r="K45" i="82"/>
  <x:c r="M45" i="82"/>
  <x:c r="J46" i="82"/>
  <x:c r="K46" i="82"/>
  <x:c r="M46" i="82"/>
  <x:c r="J47" i="82"/>
  <x:c r="K47" i="82"/>
  <x:c r="M47" i="82"/>
  <x:c r="G49" i="82"/>
  <x:c r="J49" i="82"/>
  <x:c r="M49" i="82"/>
  <x:c r="J52" i="82"/>
  <x:c r="K52" i="82"/>
  <x:c r="M52" i="82"/>
  <x:c r="J53" i="82"/>
  <x:c r="K53" i="82"/>
  <x:c r="M53" i="82"/>
  <x:c r="J54" i="82"/>
  <x:c r="K54" i="82"/>
  <x:c r="M54" i="82"/>
  <x:c r="G57" i="82"/>
  <x:c r="J57" i="82"/>
  <x:c r="M57" i="82"/>
  <x:c r="J70" i="82"/>
  <x:c r="K70" i="82"/>
  <x:c r="M70" i="82"/>
  <x:c r="J71" i="82"/>
  <x:c r="K71" i="82"/>
  <x:c r="M71" i="82"/>
  <x:c r="J72" i="82"/>
  <x:c r="K72" i="82"/>
  <x:c r="M72" i="82"/>
  <x:c r="J73" i="82"/>
  <x:c r="K73" i="82"/>
  <x:c r="M73" i="82"/>
  <x:c r="J74" i="82"/>
  <x:c r="K74" i="82"/>
  <x:c r="M74" i="82"/>
  <x:c r="J75" i="82"/>
  <x:c r="K75" i="82"/>
  <x:c r="M75" i="82"/>
  <x:c r="J76" i="82"/>
  <x:c r="K76" i="82"/>
  <x:c r="M76" i="82"/>
  <x:c r="J77" i="82"/>
  <x:c r="K77" i="82"/>
  <x:c r="M77" i="82"/>
  <x:c r="G81" i="82"/>
  <x:c r="J81" i="82"/>
  <x:c r="M81" i="82"/>
  <x:c r="O82" i="82"/>
  <x:c r="G87" i="82"/>
  <x:c r="J87" i="82"/>
  <x:c r="M87" i="82"/>
  <x:c r="J92" i="82"/>
  <x:c r="M92" i="82"/>
  <x:c r="J93" i="82"/>
  <x:c r="M93" i="82"/>
  <x:c r="J94" i="82"/>
  <x:c r="J8" i="83"/>
  <x:c r="K8" i="83"/>
  <x:c r="M8" i="83"/>
  <x:c r="J9" i="83"/>
  <x:c r="K9" i="83"/>
  <x:c r="M9" i="83"/>
  <x:c r="J10" i="83"/>
  <x:c r="K10" i="83"/>
  <x:c r="M10" i="83"/>
  <x:c r="J11" i="83"/>
  <x:c r="K11" i="83"/>
  <x:c r="M11" i="83"/>
  <x:c r="J12" i="83"/>
  <x:c r="K12" i="83"/>
  <x:c r="M12" i="83"/>
  <x:c r="J13" i="83"/>
  <x:c r="K13" i="83"/>
  <x:c r="M13" i="83"/>
  <x:c r="J14" i="83"/>
  <x:c r="K14" i="83"/>
  <x:c r="M14" i="83"/>
  <x:c r="J15" i="83"/>
  <x:c r="K15" i="83"/>
  <x:c r="M15" i="83"/>
  <x:c r="J16" i="83"/>
  <x:c r="K16" i="83"/>
  <x:c r="M16" i="83"/>
  <x:c r="J17" i="83"/>
  <x:c r="K17" i="83"/>
  <x:c r="M17" i="83"/>
  <x:c r="J18" i="83"/>
  <x:c r="K18" i="83"/>
  <x:c r="M18" i="83"/>
  <x:c r="J19" i="83"/>
  <x:c r="K19" i="83"/>
  <x:c r="M19" i="83"/>
  <x:c r="J20" i="83"/>
  <x:c r="K20" i="83"/>
  <x:c r="M20" i="83"/>
  <x:c r="J21" i="83"/>
  <x:c r="K21" i="83"/>
  <x:c r="M21" i="83"/>
  <x:c r="J22" i="83"/>
  <x:c r="K22" i="83"/>
  <x:c r="M22" i="83"/>
  <x:c r="J23" i="83"/>
  <x:c r="K23" i="83"/>
  <x:c r="M23" i="83"/>
  <x:c r="J24" i="83"/>
  <x:c r="K24" i="83"/>
  <x:c r="M24" i="83"/>
  <x:c r="J25" i="83"/>
  <x:c r="K25" i="83"/>
  <x:c r="M25" i="83"/>
  <x:c r="J26" i="83"/>
  <x:c r="K26" i="83"/>
  <x:c r="M26" i="83"/>
  <x:c r="J27" i="83"/>
  <x:c r="K27" i="83"/>
  <x:c r="M27" i="83"/>
  <x:c r="J28" i="83"/>
  <x:c r="K28" i="83"/>
  <x:c r="M28" i="83"/>
  <x:c r="J29" i="83"/>
  <x:c r="K29" i="83"/>
  <x:c r="M29" i="83"/>
  <x:c r="J30" i="83"/>
  <x:c r="K30" i="83"/>
  <x:c r="M30" i="83"/>
  <x:c r="J31" i="83"/>
  <x:c r="K31" i="83"/>
  <x:c r="M31" i="83"/>
  <x:c r="J32" i="83"/>
  <x:c r="K32" i="83"/>
  <x:c r="M32" i="83"/>
  <x:c r="J33" i="83"/>
  <x:c r="K33" i="83"/>
  <x:c r="M33" i="83"/>
  <x:c r="J34" i="83"/>
  <x:c r="K34" i="83"/>
  <x:c r="M34" i="83"/>
  <x:c r="J35" i="83"/>
  <x:c r="K35" i="83"/>
  <x:c r="M35" i="83"/>
  <x:c r="J36" i="83"/>
  <x:c r="K36" i="83"/>
  <x:c r="M36" i="83"/>
  <x:c r="J37" i="83"/>
  <x:c r="K37" i="83"/>
  <x:c r="M37" i="83"/>
  <x:c r="J38" i="83"/>
  <x:c r="K38" i="83"/>
  <x:c r="M38" i="83"/>
  <x:c r="G41" i="83"/>
  <x:c r="J41" i="83"/>
  <x:c r="M41" i="83"/>
  <x:c r="J44" i="83"/>
  <x:c r="K44" i="83"/>
  <x:c r="M44" i="83"/>
  <x:c r="J45" i="83"/>
  <x:c r="K45" i="83"/>
  <x:c r="M45" i="83"/>
  <x:c r="J46" i="83"/>
  <x:c r="K46" i="83"/>
  <x:c r="M46" i="83"/>
  <x:c r="J47" i="83"/>
  <x:c r="K47" i="83"/>
  <x:c r="M47" i="83"/>
  <x:c r="J48" i="83"/>
  <x:c r="K48" i="83"/>
  <x:c r="M48" i="83"/>
  <x:c r="J49" i="83"/>
  <x:c r="K49" i="83"/>
  <x:c r="M49" i="83"/>
  <x:c r="J50" i="83"/>
  <x:c r="K50" i="83"/>
  <x:c r="M50" i="83"/>
  <x:c r="J51" i="83"/>
  <x:c r="K51" i="83"/>
  <x:c r="M51" i="83"/>
  <x:c r="J52" i="83"/>
  <x:c r="K52" i="83"/>
  <x:c r="M52" i="83"/>
  <x:c r="J53" i="83"/>
  <x:c r="K53" i="83"/>
  <x:c r="M53" i="83"/>
  <x:c r="G56" i="83"/>
  <x:c r="J56" i="83"/>
  <x:c r="M56" i="83"/>
  <x:c r="J69" i="83"/>
  <x:c r="K69" i="83"/>
  <x:c r="M69" i="83"/>
  <x:c r="J70" i="83"/>
  <x:c r="K70" i="83"/>
  <x:c r="M70" i="83"/>
  <x:c r="J71" i="83"/>
  <x:c r="K71" i="83"/>
  <x:c r="M71" i="83"/>
  <x:c r="J72" i="83"/>
  <x:c r="K72" i="83"/>
  <x:c r="M72" i="83"/>
  <x:c r="J73" i="83"/>
  <x:c r="K73" i="83"/>
  <x:c r="M73" i="83"/>
  <x:c r="J74" i="83"/>
  <x:c r="K74" i="83"/>
  <x:c r="M74" i="83"/>
  <x:c r="J75" i="83"/>
  <x:c r="K75" i="83"/>
  <x:c r="M75" i="83"/>
  <x:c r="J76" i="83"/>
  <x:c r="K76" i="83"/>
  <x:c r="M76" i="83"/>
  <x:c r="G79" i="83"/>
  <x:c r="J79" i="83"/>
  <x:c r="M79" i="83"/>
  <x:c r="G85" i="83"/>
  <x:c r="J85" i="83"/>
  <x:c r="M85" i="83"/>
  <x:c r="J90" i="83"/>
  <x:c r="M90" i="83"/>
  <x:c r="J91" i="83"/>
  <x:c r="M91" i="83"/>
  <x:c r="J92" i="83"/>
  <x:c r="J8" i="84"/>
  <x:c r="K8" i="84"/>
  <x:c r="M8" i="84"/>
  <x:c r="J9" i="84"/>
  <x:c r="K9" i="84"/>
  <x:c r="M9" i="84"/>
  <x:c r="J10" i="84"/>
  <x:c r="K10" i="84"/>
  <x:c r="M10" i="84"/>
  <x:c r="J11" i="84"/>
  <x:c r="K11" i="84"/>
  <x:c r="M11" i="84"/>
  <x:c r="J12" i="84"/>
  <x:c r="K12" i="84"/>
  <x:c r="M12" i="84"/>
  <x:c r="J13" i="84"/>
  <x:c r="K13" i="84"/>
  <x:c r="M13" i="84"/>
  <x:c r="J14" i="84"/>
  <x:c r="K14" i="84"/>
  <x:c r="M14" i="84"/>
  <x:c r="J15" i="84"/>
  <x:c r="K15" i="84"/>
  <x:c r="M15" i="84"/>
  <x:c r="J16" i="84"/>
  <x:c r="K16" i="84"/>
  <x:c r="M16" i="84"/>
  <x:c r="J17" i="84"/>
  <x:c r="K17" i="84"/>
  <x:c r="M17" i="84"/>
  <x:c r="J18" i="84"/>
  <x:c r="K18" i="84"/>
  <x:c r="M18" i="84"/>
  <x:c r="J19" i="84"/>
  <x:c r="K19" i="84"/>
  <x:c r="M19" i="84"/>
  <x:c r="J20" i="84"/>
  <x:c r="K20" i="84"/>
  <x:c r="M20" i="84"/>
  <x:c r="J21" i="84"/>
  <x:c r="K21" i="84"/>
  <x:c r="M21" i="84"/>
  <x:c r="J22" i="84"/>
  <x:c r="K22" i="84"/>
  <x:c r="M22" i="84"/>
  <x:c r="J23" i="84"/>
  <x:c r="K23" i="84"/>
  <x:c r="M23" i="84"/>
  <x:c r="J24" i="84"/>
  <x:c r="K24" i="84"/>
  <x:c r="M24" i="84"/>
  <x:c r="J25" i="84"/>
  <x:c r="K25" i="84"/>
  <x:c r="M25" i="84"/>
  <x:c r="J26" i="84"/>
  <x:c r="K26" i="84"/>
  <x:c r="M26" i="84"/>
  <x:c r="J27" i="84"/>
  <x:c r="K27" i="84"/>
  <x:c r="M27" i="84"/>
  <x:c r="J28" i="84"/>
  <x:c r="K28" i="84"/>
  <x:c r="M28" i="84"/>
  <x:c r="J29" i="84"/>
  <x:c r="K29" i="84"/>
  <x:c r="M29" i="84"/>
  <x:c r="G32" i="84"/>
  <x:c r="J32" i="84"/>
  <x:c r="M32" i="84"/>
  <x:c r="J35" i="84"/>
  <x:c r="K35" i="84"/>
  <x:c r="M35" i="84"/>
  <x:c r="G36" i="84"/>
  <x:c r="J36" i="84"/>
  <x:c r="K36" i="84"/>
  <x:c r="M36" i="84"/>
  <x:c r="G37" i="84"/>
  <x:c r="J37" i="84"/>
  <x:c r="K37" i="84"/>
  <x:c r="M37" i="84"/>
  <x:c r="G38" i="84"/>
  <x:c r="J38" i="84"/>
  <x:c r="K38" i="84"/>
  <x:c r="M38" i="84"/>
  <x:c r="G39" i="84"/>
  <x:c r="J39" i="84"/>
  <x:c r="K39" i="84"/>
  <x:c r="M39" i="84"/>
  <x:c r="J40" i="84"/>
  <x:c r="K40" i="84"/>
  <x:c r="M40" i="84"/>
  <x:c r="J41" i="84"/>
  <x:c r="K41" i="84"/>
  <x:c r="M41" i="84"/>
  <x:c r="J42" i="84"/>
  <x:c r="K42" i="84"/>
  <x:c r="M42" i="84"/>
  <x:c r="J43" i="84"/>
  <x:c r="K43" i="84"/>
  <x:c r="M43" i="84"/>
  <x:c r="J44" i="84"/>
  <x:c r="K44" i="84"/>
  <x:c r="M44" i="84"/>
  <x:c r="J45" i="84"/>
  <x:c r="K45" i="84"/>
  <x:c r="M45" i="84"/>
  <x:c r="G46" i="84"/>
  <x:c r="J46" i="84"/>
  <x:c r="K46" i="84"/>
  <x:c r="M46" i="84"/>
  <x:c r="G47" i="84"/>
  <x:c r="J47" i="84"/>
  <x:c r="K47" i="84"/>
  <x:c r="M47" i="84"/>
  <x:c r="G48" i="84"/>
  <x:c r="J48" i="84"/>
  <x:c r="K48" i="84"/>
  <x:c r="M48" i="84"/>
  <x:c r="J49" i="84"/>
  <x:c r="K49" i="84"/>
  <x:c r="M49" i="84"/>
  <x:c r="J50" i="84"/>
  <x:c r="K50" i="84"/>
  <x:c r="M50" i="84"/>
  <x:c r="G51" i="84"/>
  <x:c r="J51" i="84"/>
  <x:c r="K51" i="84"/>
  <x:c r="M51" i="84"/>
  <x:c r="G52" i="84"/>
  <x:c r="J52" i="84"/>
  <x:c r="K52" i="84"/>
  <x:c r="M52" i="84"/>
  <x:c r="J53" i="84"/>
  <x:c r="K53" i="84"/>
  <x:c r="M53" i="84"/>
  <x:c r="J54" i="84"/>
  <x:c r="K54" i="84"/>
  <x:c r="M54" i="84"/>
  <x:c r="G57" i="84"/>
  <x:c r="J57" i="84"/>
  <x:c r="M57" i="84"/>
  <x:c r="G80" i="84"/>
  <x:c r="J80" i="84"/>
  <x:c r="M80" i="84"/>
  <x:c r="G86" i="84"/>
  <x:c r="J86" i="84"/>
  <x:c r="M86" i="84"/>
  <x:c r="J91" i="84"/>
  <x:c r="M91" i="84"/>
  <x:c r="J92" i="84"/>
  <x:c r="M92" i="84"/>
  <x:c r="J93" i="84"/>
  <x:c r="E8" i="87"/>
  <x:c r="J8" i="87"/>
  <x:c r="K8" i="87"/>
  <x:c r="M8" i="87"/>
  <x:c r="E9" i="87"/>
  <x:c r="J9" i="87"/>
  <x:c r="K9" i="87"/>
  <x:c r="M9" i="87"/>
  <x:c r="E10" i="87"/>
  <x:c r="J10" i="87"/>
  <x:c r="K10" i="87"/>
  <x:c r="M10" i="87"/>
  <x:c r="E11" i="87"/>
  <x:c r="J11" i="87"/>
  <x:c r="K11" i="87"/>
  <x:c r="M11" i="87"/>
  <x:c r="E12" i="87"/>
  <x:c r="J12" i="87"/>
  <x:c r="K12" i="87"/>
  <x:c r="M12" i="87"/>
  <x:c r="E13" i="87"/>
  <x:c r="J13" i="87"/>
  <x:c r="K13" i="87"/>
  <x:c r="M13" i="87"/>
  <x:c r="E14" i="87"/>
  <x:c r="J14" i="87"/>
  <x:c r="K14" i="87"/>
  <x:c r="M14" i="87"/>
  <x:c r="E15" i="87"/>
  <x:c r="J15" i="87"/>
  <x:c r="K15" i="87"/>
  <x:c r="M15" i="87"/>
  <x:c r="E16" i="87"/>
  <x:c r="J16" i="87"/>
  <x:c r="K16" i="87"/>
  <x:c r="M16" i="87"/>
  <x:c r="E17" i="87"/>
  <x:c r="J17" i="87"/>
  <x:c r="K17" i="87"/>
  <x:c r="M17" i="87"/>
  <x:c r="E18" i="87"/>
  <x:c r="J18" i="87"/>
  <x:c r="K18" i="87"/>
  <x:c r="M18" i="87"/>
  <x:c r="E19" i="87"/>
  <x:c r="J19" i="87"/>
  <x:c r="K19" i="87"/>
  <x:c r="M19" i="87"/>
  <x:c r="E20" i="87"/>
  <x:c r="J20" i="87"/>
  <x:c r="K20" i="87"/>
  <x:c r="M20" i="87"/>
  <x:c r="E21" i="87"/>
  <x:c r="J21" i="87"/>
  <x:c r="K21" i="87"/>
  <x:c r="M21" i="87"/>
  <x:c r="E22" i="87"/>
  <x:c r="J22" i="87"/>
  <x:c r="K22" i="87"/>
  <x:c r="M22" i="87"/>
  <x:c r="E23" i="87"/>
  <x:c r="J23" i="87"/>
  <x:c r="K23" i="87"/>
  <x:c r="M23" i="87"/>
  <x:c r="E24" i="87"/>
  <x:c r="J24" i="87"/>
  <x:c r="K24" i="87"/>
  <x:c r="M24" i="87"/>
  <x:c r="E25" i="87"/>
  <x:c r="J25" i="87"/>
  <x:c r="K25" i="87"/>
  <x:c r="M25" i="87"/>
  <x:c r="E26" i="87"/>
  <x:c r="J26" i="87"/>
  <x:c r="K26" i="87"/>
  <x:c r="M26" i="87"/>
  <x:c r="E27" i="87"/>
  <x:c r="J27" i="87"/>
  <x:c r="K27" i="87"/>
  <x:c r="M27" i="87"/>
  <x:c r="E28" i="87"/>
  <x:c r="J28" i="87"/>
  <x:c r="K28" i="87"/>
  <x:c r="M28" i="87"/>
  <x:c r="E29" i="87"/>
  <x:c r="J29" i="87"/>
  <x:c r="K29" i="87"/>
  <x:c r="M29" i="87"/>
  <x:c r="E30" i="87"/>
  <x:c r="J30" i="87"/>
  <x:c r="K30" i="87"/>
  <x:c r="M30" i="87"/>
  <x:c r="E31" i="87"/>
  <x:c r="J31" i="87"/>
  <x:c r="K31" i="87"/>
  <x:c r="M31" i="87"/>
  <x:c r="E32" i="87"/>
  <x:c r="J32" i="87"/>
  <x:c r="K32" i="87"/>
  <x:c r="M32" i="87"/>
  <x:c r="E33" i="87"/>
  <x:c r="J33" i="87"/>
  <x:c r="K33" i="87"/>
  <x:c r="M33" i="87"/>
  <x:c r="G36" i="87"/>
  <x:c r="J36" i="87"/>
  <x:c r="M36" i="87"/>
  <x:c r="E39" i="87"/>
  <x:c r="G39" i="87"/>
  <x:c r="J39" i="87"/>
  <x:c r="K39" i="87"/>
  <x:c r="M39" i="87"/>
  <x:c r="E40" i="87"/>
  <x:c r="G40" i="87"/>
  <x:c r="J40" i="87"/>
  <x:c r="K40" i="87"/>
  <x:c r="M40" i="87"/>
  <x:c r="E41" i="87"/>
  <x:c r="J41" i="87"/>
  <x:c r="K41" i="87"/>
  <x:c r="M41" i="87"/>
  <x:c r="E42" i="87"/>
  <x:c r="G42" i="87"/>
  <x:c r="J42" i="87"/>
  <x:c r="K42" i="87"/>
  <x:c r="M42" i="87"/>
  <x:c r="G46" i="87"/>
  <x:c r="J46" i="87"/>
  <x:c r="M46" i="87"/>
  <x:c r="E59" i="87"/>
  <x:c r="J59" i="87"/>
  <x:c r="K59" i="87"/>
  <x:c r="M59" i="87"/>
  <x:c r="E60" i="87"/>
  <x:c r="J60" i="87"/>
  <x:c r="K60" i="87"/>
  <x:c r="M60" i="87"/>
  <x:c r="E61" i="87"/>
  <x:c r="K61" i="87"/>
  <x:c r="M61" i="87"/>
  <x:c r="E62" i="87"/>
  <x:c r="K62" i="87"/>
  <x:c r="M62" i="87"/>
  <x:c r="E63" i="87"/>
  <x:c r="K63" i="87"/>
  <x:c r="M63" i="87"/>
  <x:c r="O63" i="87"/>
  <x:c r="J64" i="87"/>
  <x:c r="K64" i="87"/>
  <x:c r="M64" i="87"/>
  <x:c r="E65" i="87"/>
  <x:c r="K65" i="87"/>
  <x:c r="M65" i="87"/>
  <x:c r="E66" i="87"/>
  <x:c r="K66" i="87"/>
  <x:c r="M66" i="87"/>
  <x:c r="E67" i="87"/>
  <x:c r="J67" i="87"/>
  <x:c r="K67" i="87"/>
  <x:c r="M67" i="87"/>
  <x:c r="E68" i="87"/>
  <x:c r="J68" i="87"/>
  <x:c r="K68" i="87"/>
  <x:c r="M68" i="87"/>
  <x:c r="E69" i="87"/>
  <x:c r="J69" i="87"/>
  <x:c r="K69" i="87"/>
  <x:c r="M69" i="87"/>
  <x:c r="E70" i="87"/>
  <x:c r="J70" i="87"/>
  <x:c r="K70" i="87"/>
  <x:c r="M70" i="87"/>
  <x:c r="J71" i="87"/>
  <x:c r="K71" i="87"/>
  <x:c r="M71" i="87"/>
  <x:c r="E72" i="87"/>
  <x:c r="J72" i="87"/>
  <x:c r="K72" i="87"/>
  <x:c r="M72" i="87"/>
  <x:c r="G74" i="87"/>
  <x:c r="J74" i="87"/>
  <x:c r="M74" i="87"/>
  <x:c r="E78" i="87"/>
  <x:c r="K78" i="87"/>
  <x:c r="M78" i="87"/>
  <x:c r="G79" i="87"/>
  <x:c r="J79" i="87"/>
  <x:c r="M79" i="87"/>
  <x:c r="O79" i="87"/>
  <x:c r="F81" i="87"/>
  <x:c r="J81" i="87"/>
  <x:c r="K81" i="87"/>
  <x:c r="M81" i="87"/>
  <x:c r="H83" i="87"/>
  <x:c r="I83" i="87"/>
  <x:c r="H84" i="87"/>
  <x:c r="J84" i="87"/>
  <x:c r="M84" i="87"/>
  <x:c r="H85" i="87"/>
  <x:c r="J85" i="87"/>
  <x:c r="M85" i="87"/>
  <x:c r="H86" i="87"/>
  <x:c r="J86" i="87"/>
  <x:c r="H87" i="87"/>
  <x:c r="F88" i="87"/>
  <x:c r="H89" i="87"/>
  <x:c r="H90" i="87"/>
  <x:c r="H91" i="87"/>
  <x:c r="H92" i="87"/>
  <x:c r="H93" i="87"/>
  <x:c r="E8" i="88"/>
  <x:c r="J8" i="88"/>
  <x:c r="K8" i="88"/>
  <x:c r="M8" i="88"/>
  <x:c r="E9" i="88"/>
  <x:c r="J9" i="88"/>
  <x:c r="K9" i="88"/>
  <x:c r="M9" i="88"/>
  <x:c r="E10" i="88"/>
  <x:c r="J10" i="88"/>
  <x:c r="K10" i="88"/>
  <x:c r="M10" i="88"/>
  <x:c r="E11" i="88"/>
  <x:c r="J11" i="88"/>
  <x:c r="K11" i="88"/>
  <x:c r="M11" i="88"/>
  <x:c r="E12" i="88"/>
  <x:c r="J12" i="88"/>
  <x:c r="K12" i="88"/>
  <x:c r="M12" i="88"/>
  <x:c r="E13" i="88"/>
  <x:c r="J13" i="88"/>
  <x:c r="K13" i="88"/>
  <x:c r="M13" i="88"/>
  <x:c r="E14" i="88"/>
  <x:c r="J14" i="88"/>
  <x:c r="K14" i="88"/>
  <x:c r="M14" i="88"/>
  <x:c r="E15" i="88"/>
  <x:c r="J15" i="88"/>
  <x:c r="K15" i="88"/>
  <x:c r="M15" i="88"/>
  <x:c r="E16" i="88"/>
  <x:c r="J16" i="88"/>
  <x:c r="K16" i="88"/>
  <x:c r="M16" i="88"/>
  <x:c r="E17" i="88"/>
  <x:c r="J17" i="88"/>
  <x:c r="K17" i="88"/>
  <x:c r="M17" i="88"/>
  <x:c r="E18" i="88"/>
  <x:c r="J18" i="88"/>
  <x:c r="K18" i="88"/>
  <x:c r="M18" i="88"/>
  <x:c r="E19" i="88"/>
  <x:c r="J19" i="88"/>
  <x:c r="K19" i="88"/>
  <x:c r="M19" i="88"/>
  <x:c r="E20" i="88"/>
  <x:c r="J20" i="88"/>
  <x:c r="K20" i="88"/>
  <x:c r="M20" i="88"/>
  <x:c r="E21" i="88"/>
  <x:c r="J21" i="88"/>
  <x:c r="K21" i="88"/>
  <x:c r="M21" i="88"/>
  <x:c r="E22" i="88"/>
  <x:c r="J22" i="88"/>
  <x:c r="K22" i="88"/>
  <x:c r="M22" i="88"/>
  <x:c r="E23" i="88"/>
  <x:c r="J23" i="88"/>
  <x:c r="K23" i="88"/>
  <x:c r="M23" i="88"/>
  <x:c r="E24" i="88"/>
  <x:c r="J24" i="88"/>
  <x:c r="K24" i="88"/>
  <x:c r="M24" i="88"/>
  <x:c r="E25" i="88"/>
  <x:c r="J25" i="88"/>
  <x:c r="K25" i="88"/>
  <x:c r="M25" i="88"/>
  <x:c r="E26" i="88"/>
  <x:c r="J26" i="88"/>
  <x:c r="K26" i="88"/>
  <x:c r="M26" i="88"/>
  <x:c r="E27" i="88"/>
  <x:c r="J27" i="88"/>
  <x:c r="K27" i="88"/>
  <x:c r="M27" i="88"/>
  <x:c r="E28" i="88"/>
  <x:c r="J28" i="88"/>
  <x:c r="K28" i="88"/>
  <x:c r="M28" i="88"/>
  <x:c r="E29" i="88"/>
  <x:c r="J29" i="88"/>
  <x:c r="K29" i="88"/>
  <x:c r="M29" i="88"/>
  <x:c r="E30" i="88"/>
  <x:c r="J30" i="88"/>
  <x:c r="K30" i="88"/>
  <x:c r="M30" i="88"/>
  <x:c r="E31" i="88"/>
  <x:c r="J31" i="88"/>
  <x:c r="K31" i="88"/>
  <x:c r="M31" i="88"/>
  <x:c r="E32" i="88"/>
  <x:c r="J32" i="88"/>
  <x:c r="K32" i="88"/>
  <x:c r="M32" i="88"/>
  <x:c r="E33" i="88"/>
  <x:c r="J33" i="88"/>
  <x:c r="K33" i="88"/>
  <x:c r="M33" i="88"/>
  <x:c r="E34" i="88"/>
  <x:c r="J34" i="88"/>
  <x:c r="K34" i="88"/>
  <x:c r="M34" i="88"/>
  <x:c r="E35" i="88"/>
  <x:c r="J35" i="88"/>
  <x:c r="K35" i="88"/>
  <x:c r="M35" i="88"/>
  <x:c r="E36" i="88"/>
  <x:c r="J36" i="88"/>
  <x:c r="K36" i="88"/>
  <x:c r="M36" i="88"/>
  <x:c r="E37" i="88"/>
  <x:c r="J37" i="88"/>
  <x:c r="K37" i="88"/>
  <x:c r="M37" i="88"/>
  <x:c r="E38" i="88"/>
  <x:c r="J38" i="88"/>
  <x:c r="K38" i="88"/>
  <x:c r="M38" i="88"/>
  <x:c r="E39" i="88"/>
  <x:c r="J39" i="88"/>
  <x:c r="K39" i="88"/>
  <x:c r="M39" i="88"/>
  <x:c r="E40" i="88"/>
  <x:c r="J40" i="88"/>
  <x:c r="K40" i="88"/>
  <x:c r="M40" i="88"/>
  <x:c r="E41" i="88"/>
  <x:c r="J41" i="88"/>
  <x:c r="K41" i="88"/>
  <x:c r="M41" i="88"/>
  <x:c r="E42" i="88"/>
  <x:c r="J42" i="88"/>
  <x:c r="K42" i="88"/>
  <x:c r="M42" i="88"/>
  <x:c r="E43" i="88"/>
  <x:c r="J43" i="88"/>
  <x:c r="K43" i="88"/>
  <x:c r="M43" i="88"/>
  <x:c r="E44" i="88"/>
  <x:c r="J44" i="88"/>
  <x:c r="K44" i="88"/>
  <x:c r="M44" i="88"/>
  <x:c r="E45" i="88"/>
  <x:c r="J45" i="88"/>
  <x:c r="K45" i="88"/>
  <x:c r="M45" i="88"/>
  <x:c r="E46" i="88"/>
  <x:c r="J46" i="88"/>
  <x:c r="K46" i="88"/>
  <x:c r="M46" i="88"/>
  <x:c r="E47" i="88"/>
  <x:c r="J47" i="88"/>
  <x:c r="K47" i="88"/>
  <x:c r="M47" i="88"/>
  <x:c r="E48" i="88"/>
  <x:c r="J48" i="88"/>
  <x:c r="K48" i="88"/>
  <x:c r="M48" i="88"/>
  <x:c r="E49" i="88"/>
  <x:c r="J49" i="88"/>
  <x:c r="K49" i="88"/>
  <x:c r="M49" i="88"/>
  <x:c r="E50" i="88"/>
  <x:c r="J50" i="88"/>
  <x:c r="K50" i="88"/>
  <x:c r="M50" i="88"/>
  <x:c r="E51" i="88"/>
  <x:c r="J51" i="88"/>
  <x:c r="K51" i="88"/>
  <x:c r="M51" i="88"/>
  <x:c r="E52" i="88"/>
  <x:c r="J52" i="88"/>
  <x:c r="K52" i="88"/>
  <x:c r="M52" i="88"/>
  <x:c r="E53" i="88"/>
  <x:c r="J53" i="88"/>
  <x:c r="K53" i="88"/>
  <x:c r="M53" i="88"/>
  <x:c r="E54" i="88"/>
  <x:c r="J54" i="88"/>
  <x:c r="K54" i="88"/>
  <x:c r="M54" i="88"/>
  <x:c r="E55" i="88"/>
  <x:c r="J55" i="88"/>
  <x:c r="K55" i="88"/>
  <x:c r="M55" i="88"/>
  <x:c r="E56" i="88"/>
  <x:c r="J56" i="88"/>
  <x:c r="K56" i="88"/>
  <x:c r="M56" i="88"/>
  <x:c r="E57" i="88"/>
  <x:c r="J57" i="88"/>
  <x:c r="K57" i="88"/>
  <x:c r="M57" i="88"/>
  <x:c r="E58" i="88"/>
  <x:c r="J58" i="88"/>
  <x:c r="K58" i="88"/>
  <x:c r="M58" i="88"/>
  <x:c r="E59" i="88"/>
  <x:c r="F59" i="88"/>
  <x:c r="G59" i="88"/>
  <x:c r="H59" i="88"/>
  <x:c r="J59" i="88"/>
  <x:c r="M59" i="88"/>
  <x:c r="E8" i="89"/>
  <x:c r="J8" i="89"/>
  <x:c r="K8" i="89"/>
  <x:c r="M8" i="89"/>
  <x:c r="E9" i="89"/>
  <x:c r="J9" i="89"/>
  <x:c r="K9" i="89"/>
  <x:c r="M9" i="89"/>
  <x:c r="E10" i="89"/>
  <x:c r="F10" i="89"/>
  <x:c r="G10" i="89"/>
  <x:c r="H10" i="89"/>
  <x:c r="J10" i="89"/>
  <x:c r="M10" i="89"/>
  <x:c r="E8" i="90"/>
  <x:c r="J8" i="90"/>
  <x:c r="K8" i="90"/>
  <x:c r="M8" i="90"/>
  <x:c r="E9" i="90"/>
  <x:c r="J9" i="90"/>
  <x:c r="K9" i="90"/>
  <x:c r="M9" i="90"/>
  <x:c r="E10" i="90"/>
  <x:c r="J10" i="90"/>
  <x:c r="K10" i="90"/>
  <x:c r="M10" i="90"/>
  <x:c r="E11" i="90"/>
  <x:c r="J11" i="90"/>
  <x:c r="K11" i="90"/>
  <x:c r="M11" i="90"/>
  <x:c r="E12" i="90"/>
  <x:c r="J12" i="90"/>
  <x:c r="K12" i="90"/>
  <x:c r="M12" i="90"/>
  <x:c r="E13" i="90"/>
  <x:c r="J13" i="90"/>
  <x:c r="K13" i="90"/>
  <x:c r="M13" i="90"/>
  <x:c r="E14" i="90"/>
  <x:c r="J14" i="90"/>
  <x:c r="K14" i="90"/>
  <x:c r="M14" i="90"/>
  <x:c r="E15" i="90"/>
  <x:c r="J15" i="90"/>
  <x:c r="K15" i="90"/>
  <x:c r="M15" i="90"/>
  <x:c r="E16" i="90"/>
  <x:c r="J16" i="90"/>
  <x:c r="K16" i="90"/>
  <x:c r="M16" i="90"/>
  <x:c r="E17" i="90"/>
  <x:c r="F17" i="90"/>
  <x:c r="G17" i="90"/>
  <x:c r="H17" i="90"/>
  <x:c r="J17" i="90"/>
  <x:c r="M17" i="90"/>
  <x:c r="E8" i="91"/>
  <x:c r="J8" i="91"/>
  <x:c r="K8" i="91"/>
  <x:c r="M8" i="91"/>
  <x:c r="E9" i="91"/>
  <x:c r="J9" i="91"/>
  <x:c r="K9" i="91"/>
  <x:c r="M9" i="91"/>
  <x:c r="E10" i="91"/>
  <x:c r="J10" i="91"/>
  <x:c r="K10" i="91"/>
  <x:c r="M10" i="91"/>
  <x:c r="E11" i="91"/>
  <x:c r="F11" i="91"/>
  <x:c r="G11" i="91"/>
  <x:c r="H11" i="91"/>
  <x:c r="J11" i="91"/>
  <x:c r="M11" i="91"/>
  <x:c r="E8" i="92"/>
  <x:c r="J8" i="92"/>
  <x:c r="K8" i="92"/>
  <x:c r="M8" i="92"/>
  <x:c r="E9" i="92"/>
  <x:c r="J9" i="92"/>
  <x:c r="K9" i="92"/>
  <x:c r="M9" i="92"/>
  <x:c r="E10" i="92"/>
  <x:c r="F10" i="92"/>
  <x:c r="G10" i="92"/>
  <x:c r="H10" i="92"/>
  <x:c r="J10" i="92"/>
  <x:c r="M10" i="92"/>
</x:calcChain>
</file>

<file path=xl/sharedStrings.xml><?xml version="1.0" encoding="utf-8"?>
<x:sst xmlns:x="http://schemas.openxmlformats.org/spreadsheetml/2006/main">
  <x:si>
    <x:t>OSAKA S.A.</x:t>
  </x:si>
  <x:si>
    <x:t>RECUPERACION DE CARTERA /PAGO COMISIONES</x:t>
  </x:si>
  <x:si>
    <x:t>Mes : DICIEMBRE/2023</x:t>
  </x:si>
  <x:si>
    <x:t>Vendedor : Leumin Soledispa</x:t>
  </x:si>
  <x:si>
    <x:t>.</x:t>
  </x:si>
  <x:si>
    <x:t>TOTAL</x:t>
  </x:si>
  <x:si>
    <x:t>Cobro</x:t>
  </x:si>
  <x:si>
    <x:t>Dias</x:t>
  </x:si>
  <x:si>
    <x:t>%</x:t>
  </x:si>
  <x:si>
    <x:t>Total</x:t>
  </x:si>
  <x:si>
    <x:t xml:space="preserve">CLIENTE </x:t>
  </x:si>
  <x:si>
    <x:t>CIUDAD</x:t>
  </x:si>
  <x:si>
    <x:t>FACTURA</x:t>
  </x:si>
  <x:si>
    <x:t>F/FACTURA</x:t>
  </x:si>
  <x:si>
    <x:t>VTA. BRUTA</x:t>
  </x:si>
  <x:si>
    <x:t>DSCTO.</x:t>
  </x:si>
  <x:si>
    <x:t>COBRADO</x:t>
  </x:si>
  <x:si>
    <x:t>IVA</x:t>
  </x:si>
  <x:si>
    <x:t>FECHA DE PAGO</x:t>
  </x:si>
  <x:si>
    <x:t>Neto</x:t>
  </x:si>
  <x:si>
    <x:t>Com.</x:t>
  </x:si>
  <x:si>
    <x:t>Comisión</x:t>
  </x:si>
  <x:si>
    <x:t>SARI PAPELERIA POPULAR S.A.</x:t>
  </x:si>
  <x:si>
    <x:t xml:space="preserve">IBARRA </x:t>
  </x:si>
  <x:si>
    <x:t>02639C</x:t>
  </x:si>
  <x:si>
    <x:t>DELIVERY EXPRESS S.A. DELIEXPRESS</x:t>
  </x:si>
  <x:si>
    <x:t>GUAYAQUIL</x:t>
  </x:si>
  <x:si>
    <x:t>02644C</x:t>
  </x:si>
  <x:si>
    <x:t>DORA ALICE IRALA AYALA</x:t>
  </x:si>
  <x:si>
    <x:t>02704C</x:t>
  </x:si>
  <x:si>
    <x:t>Mas: Cheques post fechados:</x:t>
  </x:si>
  <x:si>
    <x:t xml:space="preserve">N° Cheques </x:t>
  </x:si>
  <x:si>
    <x:t>Fact.</x:t>
  </x:si>
  <x:si>
    <x:t>CONVERTIDORA PAPELERIA PEÑA C.A. PEÑAPAPEL</x:t>
  </x:si>
  <x:si>
    <x:t>PICHINCHA CH#4385</x:t>
  </x:si>
  <x:si>
    <x:t>02651C</x:t>
  </x:si>
  <x:si>
    <x:t>MERVASA S.A.</x:t>
  </x:si>
  <x:si>
    <x:t>PICHINCHA CH#6514</x:t>
  </x:si>
  <x:si>
    <x:t>02664C</x:t>
  </x:si>
  <x:si>
    <x:t>02667C</x:t>
  </x:si>
  <x:si>
    <x:t>PICHINCHA CH#4386</x:t>
  </x:si>
  <x:si>
    <x:t>02673C</x:t>
  </x:si>
  <x:si>
    <x:t>02689C</x:t>
  </x:si>
  <x:si>
    <x:t>TOTAL CARTERA</x:t>
  </x:si>
  <x:si>
    <x:t xml:space="preserve">             </x:t>
  </x:si>
  <x:si>
    <x:t>Vendedor : Carlos Constante</x:t>
  </x:si>
  <x:si>
    <x:t>PEREZ ESMERALDAS ROSA YESSENIA</x:t>
  </x:si>
  <x:si>
    <x:t>ROCAFUERTE</x:t>
  </x:si>
  <x:si>
    <x:t>02316C</x:t>
  </x:si>
  <x:si>
    <x:t>JUAN MARCET CIA. LTDA</x:t>
  </x:si>
  <x:si>
    <x:t>02551C</x:t>
  </x:si>
  <x:si>
    <x:t>02555C</x:t>
  </x:si>
  <x:si>
    <x:t>LUXAL CORP S.A.S.</x:t>
  </x:si>
  <x:si>
    <x:t>LOJA</x:t>
  </x:si>
  <x:si>
    <x:t>02665C</x:t>
  </x:si>
  <x:si>
    <x:t>02568C</x:t>
  </x:si>
  <x:si>
    <x:t>02571C</x:t>
  </x:si>
  <x:si>
    <x:t>LIBCO S.A. - LIBRERIA COQUITO</x:t>
  </x:si>
  <x:si>
    <x:t>02586C</x:t>
  </x:si>
  <x:si>
    <x:t>NAULA CEPEDA ANGEL JAVIER</x:t>
  </x:si>
  <x:si>
    <x:t>NARANJITO</x:t>
  </x:si>
  <x:si>
    <x:t>02658C</x:t>
  </x:si>
  <x:si>
    <x:t>JUAN PUMA GUERRERO</x:t>
  </x:si>
  <x:si>
    <x:t>PROMO-016-2023</x:t>
  </x:si>
  <x:si>
    <x:t>TODO EN PAPELERIA</x:t>
  </x:si>
  <x:si>
    <x:t>PACIFICO CH#8742</x:t>
  </x:si>
  <x:si>
    <x:t>02598C</x:t>
  </x:si>
  <x:si>
    <x:t>SANCHEZ FIERRO BLANCA YOLANDA</x:t>
  </x:si>
  <x:si>
    <x:t>AUSTRO CH#18</x:t>
  </x:si>
  <x:si>
    <x:t>02663C</x:t>
  </x:si>
  <x:si>
    <x:t>DROUET MURILLO FELIX CARLOS</x:t>
  </x:si>
  <x:si>
    <x:t>BOLIVARIANO CH#7417</x:t>
  </x:si>
  <x:si>
    <x:t>02674C</x:t>
  </x:si>
  <x:si>
    <x:t>AUSTRO CH#39</x:t>
  </x:si>
  <x:si>
    <x:t>02685C</x:t>
  </x:si>
  <x:si>
    <x:t>FRANCO CHINCHAY REBECA MARIANA</x:t>
  </x:si>
  <x:si>
    <x:t>BOLIVARIANO CH#353</x:t>
  </x:si>
  <x:si>
    <x:t>02695C</x:t>
  </x:si>
  <x:si>
    <x:t>Mes : ENERO/2024</x:t>
  </x:si>
  <x:si>
    <x:t>COMERCIAL ARAUJO</x:t>
  </x:si>
  <x:si>
    <x:t xml:space="preserve">QUITO </x:t>
  </x:si>
  <x:si>
    <x:t>02607C</x:t>
  </x:si>
  <x:si>
    <x:t>PROVEEDORA ONEROM CIA LTDA</x:t>
  </x:si>
  <x:si>
    <x:t>02653C</x:t>
  </x:si>
  <x:si>
    <x:t>AGPSA ALMACENES GENERALES DE PRODUCTOS SOCIEDAD ANONIMA</x:t>
  </x:si>
  <x:si>
    <x:t>02666C</x:t>
  </x:si>
  <x:si>
    <x:t>SANCHEZ ROMERO SANDRA BETHAMIA</x:t>
  </x:si>
  <x:si>
    <x:t>02714C</x:t>
  </x:si>
  <x:si>
    <x:t>OLMEDO ALVAREZ C.A.</x:t>
  </x:si>
  <x:si>
    <x:t>PICHINCHA CH#13830</x:t>
  </x:si>
  <x:si>
    <x:t>02654C</x:t>
  </x:si>
  <x:si>
    <x:t>PICHINCHA CH#6540</x:t>
  </x:si>
  <x:si>
    <x:t>02710C</x:t>
  </x:si>
  <x:si>
    <x:t>02583C</x:t>
  </x:si>
  <x:si>
    <x:t>02584C</x:t>
  </x:si>
  <x:si>
    <x:t>02593C</x:t>
  </x:si>
  <x:si>
    <x:t>02594C</x:t>
  </x:si>
  <x:si>
    <x:t>02597C</x:t>
  </x:si>
  <x:si>
    <x:t>02601C</x:t>
  </x:si>
  <x:si>
    <x:t>02602C</x:t>
  </x:si>
  <x:si>
    <x:t>02612C</x:t>
  </x:si>
  <x:si>
    <x:t>SUKER S.A.</x:t>
  </x:si>
  <x:si>
    <x:t>02632C</x:t>
  </x:si>
  <x:si>
    <x:t>02637C</x:t>
  </x:si>
  <x:si>
    <x:t>NARVAEZ ROSA CELINA</x:t>
  </x:si>
  <x:si>
    <x:t>CUENCA</x:t>
  </x:si>
  <x:si>
    <x:t>02646C</x:t>
  </x:si>
  <x:si>
    <x:t>02647C</x:t>
  </x:si>
  <x:si>
    <x:t>02648C</x:t>
  </x:si>
  <x:si>
    <x:t>HEVER DAVID MOREIRA CABRERA</x:t>
  </x:si>
  <x:si>
    <x:t>PORTOVIEJO</x:t>
  </x:si>
  <x:si>
    <x:t>02656C</x:t>
  </x:si>
  <x:si>
    <x:t>BOLIVARIANO CH#39550</x:t>
  </x:si>
  <x:si>
    <x:t>02652C</x:t>
  </x:si>
  <x:si>
    <x:t>UTIMPOR S.A.</x:t>
  </x:si>
  <x:si>
    <x:t>02657C</x:t>
  </x:si>
  <x:si>
    <x:t>02662C</x:t>
  </x:si>
  <x:si>
    <x:t>02676C</x:t>
  </x:si>
  <x:si>
    <x:t>SALAN CANDO BETSY JACQUELIN</x:t>
  </x:si>
  <x:si>
    <x:t>02697C</x:t>
  </x:si>
  <x:si>
    <x:t>02709C</x:t>
  </x:si>
  <x:si>
    <x:t>PROMO-001-2024</x:t>
  </x:si>
  <x:si>
    <x:t>02672C</x:t>
  </x:si>
  <x:si>
    <x:t>AUSTRO CH#58</x:t>
  </x:si>
  <x:si>
    <x:t>02696C</x:t>
  </x:si>
  <x:si>
    <x:t>AUSTRO CH#56</x:t>
  </x:si>
  <x:si>
    <x:t>02702C</x:t>
  </x:si>
  <x:si>
    <x:t>SANTANA PILAY WILLIAM ALBERTO</x:t>
  </x:si>
  <x:si>
    <x:t>MACHALA CH#26416</x:t>
  </x:si>
  <x:si>
    <x:t>02713C</x:t>
  </x:si>
  <x:si>
    <x:t>BANCO GUAYAQUIL CH#11823</x:t>
  </x:si>
  <x:si>
    <x:t>02715C</x:t>
  </x:si>
  <x:si>
    <x:t>BANCO GUAYAQUIL CH#11734</x:t>
  </x:si>
  <x:si>
    <x:t>02716C</x:t>
  </x:si>
  <x:si>
    <x:t>02721C</x:t>
  </x:si>
  <x:si>
    <x:t>02723C</x:t>
  </x:si>
  <x:si>
    <x:t>AGILIDER S.A.</x:t>
  </x:si>
  <x:si>
    <x:t>MACHALA CH#13352</x:t>
  </x:si>
  <x:si>
    <x:t>02724C</x:t>
  </x:si>
  <x:si>
    <x:t>MACHALA CH#13362</x:t>
  </x:si>
  <x:si>
    <x:t>02728C</x:t>
  </x:si>
  <x:si>
    <x:t>MACHALA CH#13384</x:t>
  </x:si>
  <x:si>
    <x:t>02731C</x:t>
  </x:si>
  <x:si>
    <x:t>GUAYAQUIL CH#11831</x:t>
  </x:si>
  <x:si>
    <x:t>02735C</x:t>
  </x:si>
  <x:si>
    <x:t>Mes : FEBRERO/2024</x:t>
  </x:si>
  <x:si>
    <x:t>PICHINCHA CH#4441</x:t>
  </x:si>
  <x:si>
    <x:t>02717C</x:t>
  </x:si>
  <x:si>
    <x:t>GODOY LOPEZ LIBIA ESTELA</x:t>
  </x:si>
  <x:si>
    <x:t>GUAYAQUIL CH#2332</x:t>
  </x:si>
  <x:si>
    <x:t>02745C</x:t>
  </x:si>
  <x:si>
    <x:t>ROSA PEREZ ESMERALDAS</x:t>
  </x:si>
  <x:si>
    <x:t>PROMO-009-2023</x:t>
  </x:si>
  <x:si>
    <x:t>02585C</x:t>
  </x:si>
  <x:si>
    <x:t>SANDOVAL BARRERA MARCIA ELIZABETH</x:t>
  </x:si>
  <x:si>
    <x:t>ARENILLAS</x:t>
  </x:si>
  <x:si>
    <x:t>02619C</x:t>
  </x:si>
  <x:si>
    <x:t>02621C</x:t>
  </x:si>
  <x:si>
    <x:t>02623C</x:t>
  </x:si>
  <x:si>
    <x:t>02624C</x:t>
  </x:si>
  <x:si>
    <x:t>02629C</x:t>
  </x:si>
  <x:si>
    <x:t>02634C</x:t>
  </x:si>
  <x:si>
    <x:t>02635C</x:t>
  </x:si>
  <x:si>
    <x:t>02636C</x:t>
  </x:si>
  <x:si>
    <x:t>TORRES PESANTEZ FRANCISCO GILBERTO</x:t>
  </x:si>
  <x:si>
    <x:t>02736C</x:t>
  </x:si>
  <x:si>
    <x:t>02739C</x:t>
  </x:si>
  <x:si>
    <x:t>MENDIETA BRAVO CARLOS</x:t>
  </x:si>
  <x:si>
    <x:t>02741C</x:t>
  </x:si>
  <x:si>
    <x:t>02753C</x:t>
  </x:si>
  <x:si>
    <x:t>FABIAN TEODORO CORONEL AGUILAR</x:t>
  </x:si>
  <x:si>
    <x:t>02757C</x:t>
  </x:si>
  <x:si>
    <x:t>02761C</x:t>
  </x:si>
  <x:si>
    <x:t>02762C</x:t>
  </x:si>
  <x:si>
    <x:t>02765C</x:t>
  </x:si>
  <x:si>
    <x:t>02766C</x:t>
  </x:si>
  <x:si>
    <x:t>LA-PAPELERIA S.A.S.</x:t>
  </x:si>
  <x:si>
    <x:t>YANZATZA</x:t>
  </x:si>
  <x:si>
    <x:t>02784C</x:t>
  </x:si>
  <x:si>
    <x:t>TODOENPAPELERIA S.A.</x:t>
  </x:si>
  <x:si>
    <x:t>PRODUBANCO CH#1980</x:t>
  </x:si>
  <x:si>
    <x:t>02682C</x:t>
  </x:si>
  <x:si>
    <x:t>02690C</x:t>
  </x:si>
  <x:si>
    <x:t>AUSTRO CH#100</x:t>
  </x:si>
  <x:si>
    <x:t>02734C</x:t>
  </x:si>
  <x:si>
    <x:t>BOLIVARIANO CH#39604</x:t>
  </x:si>
  <x:si>
    <x:t>02751C</x:t>
  </x:si>
  <x:si>
    <x:t>BOLIVARIANO CH#39609</x:t>
  </x:si>
  <x:si>
    <x:t>02758C</x:t>
  </x:si>
  <x:si>
    <x:t>BOLIVARIANO CH#450</x:t>
  </x:si>
  <x:si>
    <x:t>02759C</x:t>
  </x:si>
  <x:si>
    <x:t>GUAYAQUIL CH#11841</x:t>
  </x:si>
  <x:si>
    <x:t>02769C</x:t>
  </x:si>
  <x:si>
    <x:t>BOLIVARIANO CH#39692</x:t>
  </x:si>
  <x:si>
    <x:t>02779C</x:t>
  </x:si>
  <x:si>
    <x:t>SUMOFICOMPU S.A.</x:t>
  </x:si>
  <x:si>
    <x:t>BOLIVARIANO CH#14620</x:t>
  </x:si>
  <x:si>
    <x:t>02785C</x:t>
  </x:si>
  <x:si>
    <x:t>Mes : MARZO/2024</x:t>
  </x:si>
  <x:si>
    <x:t>02700C</x:t>
  </x:si>
  <x:si>
    <x:t>02711C</x:t>
  </x:si>
  <x:si>
    <x:t>02725C</x:t>
  </x:si>
  <x:si>
    <x:t>02763C</x:t>
  </x:si>
  <x:si>
    <x:t>02768C</x:t>
  </x:si>
  <x:si>
    <x:t>02778C</x:t>
  </x:si>
  <x:si>
    <x:t>DE LA ROSA AMAIQUEMA FREDDY FERNANDO</x:t>
  </x:si>
  <x:si>
    <x:t>02799C</x:t>
  </x:si>
  <x:si>
    <x:t>PICHINCHA CH#6566</x:t>
  </x:si>
  <x:si>
    <x:t>02748C</x:t>
  </x:si>
  <x:si>
    <x:t>02780C</x:t>
  </x:si>
  <x:si>
    <x:t>02802C</x:t>
  </x:si>
  <x:si>
    <x:t>02643C</x:t>
  </x:si>
  <x:si>
    <x:t>02660C</x:t>
  </x:si>
  <x:si>
    <x:t>02692C</x:t>
  </x:si>
  <x:si>
    <x:t>02698C</x:t>
  </x:si>
  <x:si>
    <x:t>02699C</x:t>
  </x:si>
  <x:si>
    <x:t>02703C</x:t>
  </x:si>
  <x:si>
    <x:t>LUZURIAGA ESPINOZA GUIDO HONORIO</x:t>
  </x:si>
  <x:si>
    <x:t>02781C</x:t>
  </x:si>
  <x:si>
    <x:t>02783C</x:t>
  </x:si>
  <x:si>
    <x:t>02789C</x:t>
  </x:si>
  <x:si>
    <x:t>02790C</x:t>
  </x:si>
  <x:si>
    <x:t>02795C</x:t>
  </x:si>
  <x:si>
    <x:t>SUMINISTROS CARDENAS SUMICAR SA</x:t>
  </x:si>
  <x:si>
    <x:t>02818C</x:t>
  </x:si>
  <x:si>
    <x:t>PAPELES SOTO IMPORSOPAPEL S.A.</x:t>
  </x:si>
  <x:si>
    <x:t>02828C</x:t>
  </x:si>
  <x:si>
    <x:t>02829C</x:t>
  </x:si>
  <x:si>
    <x:t>MONTESINOS ROMAN JOSE OSWALDO</x:t>
  </x:si>
  <x:si>
    <x:t>02830C</x:t>
  </x:si>
  <x:si>
    <x:t>02837C</x:t>
  </x:si>
  <x:si>
    <x:t>PICHINCHA CH#2122</x:t>
  </x:si>
  <x:si>
    <x:t>02786C</x:t>
  </x:si>
  <x:si>
    <x:t>MACHALA CH#13613</x:t>
  </x:si>
  <x:si>
    <x:t>02792C</x:t>
  </x:si>
  <x:si>
    <x:t>BANCO MACHALA CH#13759</x:t>
  </x:si>
  <x:si>
    <x:t>02848C</x:t>
  </x:si>
  <x:si>
    <x:t>leumin</x:t>
  </x:si>
  <x:si>
    <x:t>carlos</x:t>
  </x:si>
  <x:si>
    <x:t>Mes : ABRIL/2024</x:t>
  </x:si>
  <x:si>
    <x:t>PICHINCHA CH#6583</x:t>
  </x:si>
  <x:si>
    <x:t>02841C</x:t>
  </x:si>
  <x:si>
    <x:t>CARDENAS HERRERA ISABEL EDITH</x:t>
  </x:si>
  <x:si>
    <x:t>INTERNACIONAL CH#4249</x:t>
  </x:si>
  <x:si>
    <x:t>02861C</x:t>
  </x:si>
  <x:si>
    <x:t>PICHINCHA CH#6593</x:t>
  </x:si>
  <x:si>
    <x:t>02889C</x:t>
  </x:si>
  <x:si>
    <x:t>02895C</x:t>
  </x:si>
  <x:si>
    <x:t>02680C</x:t>
  </x:si>
  <x:si>
    <x:t>02684C</x:t>
  </x:si>
  <x:si>
    <x:t>02686C</x:t>
  </x:si>
  <x:si>
    <x:t>02687C</x:t>
  </x:si>
  <x:si>
    <x:t>02691C</x:t>
  </x:si>
  <x:si>
    <x:t>02705C</x:t>
  </x:si>
  <x:si>
    <x:t>02706C</x:t>
  </x:si>
  <x:si>
    <x:t>02708C</x:t>
  </x:si>
  <x:si>
    <x:t>02718C</x:t>
  </x:si>
  <x:si>
    <x:t>02719C</x:t>
  </x:si>
  <x:si>
    <x:t>02743C</x:t>
  </x:si>
  <x:si>
    <x:t>02764C</x:t>
  </x:si>
  <x:si>
    <x:t>02767C</x:t>
  </x:si>
  <x:si>
    <x:t>02775C</x:t>
  </x:si>
  <x:si>
    <x:t>02798C</x:t>
  </x:si>
  <x:si>
    <x:t>02817C</x:t>
  </x:si>
  <x:si>
    <x:t>02847C</x:t>
  </x:si>
  <x:si>
    <x:t>02851C</x:t>
  </x:si>
  <x:si>
    <x:t>02852C</x:t>
  </x:si>
  <x:si>
    <x:t>CAÑARTE SALTOS SIMON DAVID</x:t>
  </x:si>
  <x:si>
    <x:t>02860C</x:t>
  </x:si>
  <x:si>
    <x:t>02870C</x:t>
  </x:si>
  <x:si>
    <x:t>02884C</x:t>
  </x:si>
  <x:si>
    <x:t>AUSTRO CH#147</x:t>
  </x:si>
  <x:si>
    <x:t>02808C</x:t>
  </x:si>
  <x:si>
    <x:t>GUAYAQUIL CH#12161</x:t>
  </x:si>
  <x:si>
    <x:t>02849C</x:t>
  </x:si>
  <x:si>
    <x:t>MACHALA CH#13760</x:t>
  </x:si>
  <x:si>
    <x:t>02850C</x:t>
  </x:si>
  <x:si>
    <x:t>AUSTRO CH#169</x:t>
  </x:si>
  <x:si>
    <x:t>02855C</x:t>
  </x:si>
  <x:si>
    <x:t>BOLIVARIANO CH#39969</x:t>
  </x:si>
  <x:si>
    <x:t>02863C</x:t>
  </x:si>
  <x:si>
    <x:t>Mes : MAYO/2024</x:t>
  </x:si>
  <x:si>
    <x:t>02801C</x:t>
  </x:si>
  <x:si>
    <x:t>02804C</x:t>
  </x:si>
  <x:si>
    <x:t>02803C</x:t>
  </x:si>
  <x:si>
    <x:t>02812C</x:t>
  </x:si>
  <x:si>
    <x:t>02820C</x:t>
  </x:si>
  <x:si>
    <x:t>ORTIZ RIVERA MONICA GABRIELA</x:t>
  </x:si>
  <x:si>
    <x:t>RIOBAMBA</x:t>
  </x:si>
  <x:si>
    <x:t>02856C</x:t>
  </x:si>
  <x:si>
    <x:t>02857C</x:t>
  </x:si>
  <x:si>
    <x:t>02866C</x:t>
  </x:si>
  <x:si>
    <x:t>02874C</x:t>
  </x:si>
  <x:si>
    <x:t>02876C</x:t>
  </x:si>
  <x:si>
    <x:t>02877C</x:t>
  </x:si>
  <x:si>
    <x:t>02976C</x:t>
  </x:si>
  <x:si>
    <x:t>ROGER ESQUETINE T.</x:t>
  </x:si>
  <x:si>
    <x:t>PRODUBANCO CH#2646</x:t>
  </x:si>
  <x:si>
    <x:t>02800C</x:t>
  </x:si>
  <x:si>
    <x:t>PICHINCHA CH#6613</x:t>
  </x:si>
  <x:si>
    <x:t>02912C</x:t>
  </x:si>
  <x:si>
    <x:t>02918C</x:t>
  </x:si>
  <x:si>
    <x:t>02930C</x:t>
  </x:si>
  <x:si>
    <x:t>02726C</x:t>
  </x:si>
  <x:si>
    <x:t>02727C</x:t>
  </x:si>
  <x:si>
    <x:t>02733C</x:t>
  </x:si>
  <x:si>
    <x:t>02737C</x:t>
  </x:si>
  <x:si>
    <x:t>02740C</x:t>
  </x:si>
  <x:si>
    <x:t>PINCAY ROMERO LAURA EUGENIA</x:t>
  </x:si>
  <x:si>
    <x:t>DAULE</x:t>
  </x:si>
  <x:si>
    <x:t>02742C</x:t>
  </x:si>
  <x:si>
    <x:t>02750C</x:t>
  </x:si>
  <x:si>
    <x:t>02760C</x:t>
  </x:si>
  <x:si>
    <x:t>02776C</x:t>
  </x:si>
  <x:si>
    <x:t>02777C</x:t>
  </x:si>
  <x:si>
    <x:t>02788C</x:t>
  </x:si>
  <x:si>
    <x:t>02797C</x:t>
  </x:si>
  <x:si>
    <x:t>02805C</x:t>
  </x:si>
  <x:si>
    <x:t>02807C</x:t>
  </x:si>
  <x:si>
    <x:t>DEYSY MAGALY PINELA MANTUANO</x:t>
  </x:si>
  <x:si>
    <x:t>MANTA</x:t>
  </x:si>
  <x:si>
    <x:t>02814C</x:t>
  </x:si>
  <x:si>
    <x:t>MENDOZA SALTOS MARIANO NICASIO</x:t>
  </x:si>
  <x:si>
    <x:t>02809C</x:t>
  </x:si>
  <x:si>
    <x:t>SUMBA GARCIA MARCOS ANTONIO</x:t>
  </x:si>
  <x:si>
    <x:t>JIPIJAPA</x:t>
  </x:si>
  <x:si>
    <x:t>02810C</x:t>
  </x:si>
  <x:si>
    <x:t>02811C</x:t>
  </x:si>
  <x:si>
    <x:t>02813C</x:t>
  </x:si>
  <x:si>
    <x:t>LEONCIO SOLANO GAONA-LIB.GUAYAC0</x:t>
  </x:si>
  <x:si>
    <x:t>EL GUABO</x:t>
  </x:si>
  <x:si>
    <x:t>02834C</x:t>
  </x:si>
  <x:si>
    <x:t>OÑA DIAZ MIGUEL ANGEL MARIA</x:t>
  </x:si>
  <x:si>
    <x:t>SANTA ROSA</x:t>
  </x:si>
  <x:si>
    <x:t>02835C</x:t>
  </x:si>
  <x:si>
    <x:t>MORAYMA RAMIREZ ROMERO</x:t>
  </x:si>
  <x:si>
    <x:t>MACHALA</x:t>
  </x:si>
  <x:si>
    <x:t>02838C</x:t>
  </x:si>
  <x:si>
    <x:t>02839C</x:t>
  </x:si>
  <x:si>
    <x:t>LOAIZA ROMERO Y COMPAÑIA</x:t>
  </x:si>
  <x:si>
    <x:t>02840C</x:t>
  </x:si>
  <x:si>
    <x:t>02846C</x:t>
  </x:si>
  <x:si>
    <x:t>02878C</x:t>
  </x:si>
  <x:si>
    <x:t>ACUÑA AGUIRRE VIVIANA PAOLA</x:t>
  </x:si>
  <x:si>
    <x:t>PAJAN</x:t>
  </x:si>
  <x:si>
    <x:t>02883C</x:t>
  </x:si>
  <x:si>
    <x:t>02886C</x:t>
  </x:si>
  <x:si>
    <x:t>MEDRANDA CEDEÑO GEORGINA MARGARITA</x:t>
  </x:si>
  <x:si>
    <x:t>02891C</x:t>
  </x:si>
  <x:si>
    <x:t>LIBRERIA - JMM S.A.</x:t>
  </x:si>
  <x:si>
    <x:t>02896C</x:t>
  </x:si>
  <x:si>
    <x:t>02899C</x:t>
  </x:si>
  <x:si>
    <x:t>02898C</x:t>
  </x:si>
  <x:si>
    <x:t>02910C</x:t>
  </x:si>
  <x:si>
    <x:t>CEDEÑO MIELES IDALIA MIGDALIA</x:t>
  </x:si>
  <x:si>
    <x:t>02909C</x:t>
  </x:si>
  <x:si>
    <x:t>02911C</x:t>
  </x:si>
  <x:si>
    <x:t>02925C</x:t>
  </x:si>
  <x:si>
    <x:t>PUMA GUERRERO JUAN</x:t>
  </x:si>
  <x:si>
    <x:t>PROMO-003</x:t>
  </x:si>
  <x:si>
    <x:t>UNIDAD EDUCATIVA SAN JOSE LA SALLE</x:t>
  </x:si>
  <x:si>
    <x:t>02980C</x:t>
  </x:si>
  <x:si>
    <x:t>INTERNACIONAL CH#4592-4612</x:t>
  </x:si>
  <x:si>
    <x:t>02831C</x:t>
  </x:si>
  <x:si>
    <x:t>ESPINOZA CUENCA FANNY ADRIANA</x:t>
  </x:si>
  <x:si>
    <x:t>PACIFICO CH#838</x:t>
  </x:si>
  <x:si>
    <x:t>02833C</x:t>
  </x:si>
  <x:si>
    <x:t>BENALCAZAR RAMON MAYRA ALEJANDRA</x:t>
  </x:si>
  <x:si>
    <x:t>PICHINCHA CH#252</x:t>
  </x:si>
  <x:si>
    <x:t>02842C</x:t>
  </x:si>
  <x:si>
    <x:t>BOLIVARIANO CH#40044</x:t>
  </x:si>
  <x:si>
    <x:t>02881C</x:t>
  </x:si>
  <x:si>
    <x:t>BOLIVARIANO CH#40119</x:t>
  </x:si>
  <x:si>
    <x:t>02904C</x:t>
  </x:si>
  <x:si>
    <x:t>BOLIVARIANO CH#40192</x:t>
  </x:si>
  <x:si>
    <x:t>02920C</x:t>
  </x:si>
  <x:si>
    <x:t>AUSTRO CH#210</x:t>
  </x:si>
  <x:si>
    <x:t>02926C</x:t>
  </x:si>
  <x:si>
    <x:t>02929C</x:t>
  </x:si>
  <x:si>
    <x:t>MACHALA CH#14055</x:t>
  </x:si>
  <x:si>
    <x:t>02978C</x:t>
  </x:si>
  <x:si>
    <x:t>MACHALA CH#14061</x:t>
  </x:si>
  <x:si>
    <x:t>02981C</x:t>
  </x:si>
  <x:si>
    <x:t>Mes : JUNIO/2024</x:t>
  </x:si>
  <x:si>
    <x:t>02921C</x:t>
  </x:si>
  <x:si>
    <x:t>02937C</x:t>
  </x:si>
  <x:si>
    <x:t>LUBRIPERNOS S.A.</x:t>
  </x:si>
  <x:si>
    <x:t>03008C</x:t>
  </x:si>
  <x:si>
    <x:t>PICHINCHA CH#14007</x:t>
  </x:si>
  <x:si>
    <x:t>02854C</x:t>
  </x:si>
  <x:si>
    <x:t>PICHINCHA CH#4652</x:t>
  </x:si>
  <x:si>
    <x:t>02928C</x:t>
  </x:si>
  <x:si>
    <x:t>PICHINCHA CH#6621</x:t>
  </x:si>
  <x:si>
    <x:t>03022C</x:t>
  </x:si>
  <x:si>
    <x:t>03032C</x:t>
  </x:si>
  <x:si>
    <x:t>02796C</x:t>
  </x:si>
  <x:si>
    <x:t>02806C</x:t>
  </x:si>
  <x:si>
    <x:t>02821C</x:t>
  </x:si>
  <x:si>
    <x:t>02826C</x:t>
  </x:si>
  <x:si>
    <x:t>02832C</x:t>
  </x:si>
  <x:si>
    <x:t>GOMEZ ERAS JOSSELYN ANDREA</x:t>
  </x:si>
  <x:si>
    <x:t>HUAQUILLAS</x:t>
  </x:si>
  <x:si>
    <x:t>02836C</x:t>
  </x:si>
  <x:si>
    <x:t>02853C</x:t>
  </x:si>
  <x:si>
    <x:t>02858C</x:t>
  </x:si>
  <x:si>
    <x:t>02859C</x:t>
  </x:si>
  <x:si>
    <x:t>02864C</x:t>
  </x:si>
  <x:si>
    <x:t>02865C</x:t>
  </x:si>
  <x:si>
    <x:t>02867C</x:t>
  </x:si>
  <x:si>
    <x:t>02869C</x:t>
  </x:si>
  <x:si>
    <x:t>02872C</x:t>
  </x:si>
  <x:si>
    <x:t>02924C</x:t>
  </x:si>
  <x:si>
    <x:t>02931C</x:t>
  </x:si>
  <x:si>
    <x:t>02935C</x:t>
  </x:si>
  <x:si>
    <x:t>02948C</x:t>
  </x:si>
  <x:si>
    <x:t>02946C</x:t>
  </x:si>
  <x:si>
    <x:t>02957C</x:t>
  </x:si>
  <x:si>
    <x:t>PROMO-005</x:t>
  </x:si>
  <x:si>
    <x:t>02994C</x:t>
  </x:si>
  <x:si>
    <x:t>03010C</x:t>
  </x:si>
  <x:si>
    <x:t>03016C</x:t>
  </x:si>
  <x:si>
    <x:t>03017C</x:t>
  </x:si>
  <x:si>
    <x:t>IMPRENTA OCHOA LEON</x:t>
  </x:si>
  <x:si>
    <x:t>PRODUBANCO CH#25</x:t>
  </x:si>
  <x:si>
    <x:t>02968C</x:t>
  </x:si>
  <x:si>
    <x:t>BOLIVARIANO CH#40291</x:t>
  </x:si>
  <x:si>
    <x:t>03001C</x:t>
  </x:si>
  <x:si>
    <x:t>BOLIVARIANO CH#684</x:t>
  </x:si>
  <x:si>
    <x:t>03009C</x:t>
  </x:si>
  <x:si>
    <x:t>03015C</x:t>
  </x:si>
  <x:si>
    <x:t>COVERSA</x:t>
  </x:si>
  <x:si>
    <x:t>GUAYAQUIL CH#21283</x:t>
  </x:si>
  <x:si>
    <x:t>03021C</x:t>
  </x:si>
  <x:si>
    <x:t>MACHALA CH#14174</x:t>
  </x:si>
  <x:si>
    <x:t>03034C</x:t>
  </x:si>
  <x:si>
    <x:t>decimo</x:t>
  </x:si>
  <x:si>
    <x:t>vacaciones</x:t>
  </x:si>
  <x:si>
    <x:t>Mes : JULIO/2024</x:t>
  </x:si>
  <x:si>
    <x:t>02885C</x:t>
  </x:si>
  <x:si>
    <x:t>03007C</x:t>
  </x:si>
  <x:si>
    <x:t>JORGE CARRERA/DICAV</x:t>
  </x:si>
  <x:si>
    <x:t>PICHINCHA CH#1709</x:t>
  </x:si>
  <x:si>
    <x:t>PROMO-002</x:t>
  </x:si>
  <x:si>
    <x:t>PICHINCHA CH#1709-1710</x:t>
  </x:si>
  <x:si>
    <x:t>PROMO-006</x:t>
  </x:si>
  <x:si>
    <x:t>PICHINCHA CH#6630</x:t>
  </x:si>
  <x:si>
    <x:t>03040C</x:t>
  </x:si>
  <x:si>
    <x:t>PICHINCHA CH#1711</x:t>
  </x:si>
  <x:si>
    <x:t>PROMO-007</x:t>
  </x:si>
  <x:si>
    <x:t>03060C</x:t>
  </x:si>
  <x:si>
    <x:t>JOSE ROBERTO MERA MENENDEZ</x:t>
  </x:si>
  <x:si>
    <x:t>03068C</x:t>
  </x:si>
  <x:si>
    <x:t>CHIRIGUAYA RODRIGUEZ ANDREA GABRIELA</x:t>
  </x:si>
  <x:si>
    <x:t>03038C</x:t>
  </x:si>
  <x:si>
    <x:t>03048C</x:t>
  </x:si>
  <x:si>
    <x:t>03049C</x:t>
  </x:si>
  <x:si>
    <x:t>03050C</x:t>
  </x:si>
  <x:si>
    <x:t>PORRAS BENITEZ JONATHAN ANDRES</x:t>
  </x:si>
  <x:si>
    <x:t>LA LIBERTAD</x:t>
  </x:si>
  <x:si>
    <x:t>03063C</x:t>
  </x:si>
  <x:si>
    <x:t>CASTILLO QUEZADA JORGE EMILIO</x:t>
  </x:si>
  <x:si>
    <x:t>03029C</x:t>
  </x:si>
  <x:si>
    <x:t>MENDIETA DURAN NEPTALI MARTIN</x:t>
  </x:si>
  <x:si>
    <x:t>PASAJE</x:t>
  </x:si>
  <x:si>
    <x:t>02998C</x:t>
  </x:si>
  <x:si>
    <x:t>03023C</x:t>
  </x:si>
  <x:si>
    <x:t>03024C</x:t>
  </x:si>
  <x:si>
    <x:t>03025C</x:t>
  </x:si>
  <x:si>
    <x:t>02997C</x:t>
  </x:si>
  <x:si>
    <x:t>02975C</x:t>
  </x:si>
  <x:si>
    <x:t>02970C</x:t>
  </x:si>
  <x:si>
    <x:t>03000C</x:t>
  </x:si>
  <x:si>
    <x:t>03012C</x:t>
  </x:si>
  <x:si>
    <x:t>03013C</x:t>
  </x:si>
  <x:si>
    <x:t>ANGEL JAVIER NAULA CEPEDA</x:t>
  </x:si>
  <x:si>
    <x:t>PROMO-004</x:t>
  </x:si>
  <x:si>
    <x:t>02943C</x:t>
  </x:si>
  <x:si>
    <x:t>TIPAN BRITO CARLOS HUMBERTO</x:t>
  </x:si>
  <x:si>
    <x:t>MILAGRO</x:t>
  </x:si>
  <x:si>
    <x:t>02942C</x:t>
  </x:si>
  <x:si>
    <x:t>02973C</x:t>
  </x:si>
  <x:si>
    <x:t>02958C</x:t>
  </x:si>
  <x:si>
    <x:t>TIPAN BRITO ALEXANDRA</x:t>
  </x:si>
  <x:si>
    <x:t>02949C</x:t>
  </x:si>
  <x:si>
    <x:t>02873C</x:t>
  </x:si>
  <x:si>
    <x:t>JACOME SANMARTIN ORLANDO EDUARDO</x:t>
  </x:si>
  <x:si>
    <x:t>02897C</x:t>
  </x:si>
  <x:si>
    <x:t>02907C</x:t>
  </x:si>
  <x:si>
    <x:t>02908C</x:t>
  </x:si>
  <x:si>
    <x:t>02903C</x:t>
  </x:si>
  <x:si>
    <x:t>02894C</x:t>
  </x:si>
  <x:si>
    <x:t>CASTILLO PINTO MILTON IVAN</x:t>
  </x:si>
  <x:si>
    <x:t>ZAMORA</x:t>
  </x:si>
  <x:si>
    <x:t>02827C</x:t>
  </x:si>
  <x:si>
    <x:t>CEDEÑO CEDEÑO ROSA MARINA</x:t>
  </x:si>
  <x:si>
    <x:t>INTERNACIONAL CH#2452</x:t>
  </x:si>
  <x:si>
    <x:t>02815C</x:t>
  </x:si>
  <x:si>
    <x:t>02816C</x:t>
  </x:si>
  <x:si>
    <x:t>CEDEÑO CEDEÑO BETTY AZUCENA</x:t>
  </x:si>
  <x:si>
    <x:t>PRODUBANCO CH#914</x:t>
  </x:si>
  <x:si>
    <x:t>02955C</x:t>
  </x:si>
  <x:si>
    <x:t>PICHINCHA CH#5836</x:t>
  </x:si>
  <x:si>
    <x:t>02969C</x:t>
  </x:si>
  <x:si>
    <x:t>02971C</x:t>
  </x:si>
  <x:si>
    <x:t>02972C</x:t>
  </x:si>
  <x:si>
    <x:t>PRODUBANCO CH#915</x:t>
  </x:si>
  <x:si>
    <x:t>02977C</x:t>
  </x:si>
  <x:si>
    <x:t>PRODUBANCO CH#916-914</x:t>
  </x:si>
  <x:si>
    <x:t>02996C</x:t>
  </x:si>
  <x:si>
    <x:t>AUSTRO CH#256</x:t>
  </x:si>
  <x:si>
    <x:t>03026C</x:t>
  </x:si>
  <x:si>
    <x:t>BOLIVARIANO CH#40336</x:t>
  </x:si>
  <x:si>
    <x:t>03031C</x:t>
  </x:si>
  <x:si>
    <x:t>BOLIVARIANO CH#40337</x:t>
  </x:si>
  <x:si>
    <x:t>03035C</x:t>
  </x:si>
  <x:si>
    <x:t>03036C</x:t>
  </x:si>
  <x:si>
    <x:t>AUSTRO CH#257</x:t>
  </x:si>
  <x:si>
    <x:t>03039C</x:t>
  </x:si>
  <x:si>
    <x:t>03044C</x:t>
  </x:si>
  <x:si>
    <x:t>GUAYAQUIL CH#12136</x:t>
  </x:si>
  <x:si>
    <x:t>03059C</x:t>
  </x:si>
  <x:si>
    <x:t>Mes : AGOSTO/2024</x:t>
  </x:si>
  <x:si>
    <x:t>02913C</x:t>
  </x:si>
  <x:si>
    <x:t>UNIVERSIDAD CATOLICA DE SANTIAGO DE GUAYAQUIL</x:t>
  </x:si>
  <x:si>
    <x:t>02916C</x:t>
  </x:si>
  <x:si>
    <x:t>02951C</x:t>
  </x:si>
  <x:si>
    <x:t>02983C</x:t>
  </x:si>
  <x:si>
    <x:t>03046C</x:t>
  </x:si>
  <x:si>
    <x:t>03066C</x:t>
  </x:si>
  <x:si>
    <x:t>03106C</x:t>
  </x:si>
  <x:si>
    <x:t>PICHINCHA CH#6664</x:t>
  </x:si>
  <x:si>
    <x:t>03094C</x:t>
  </x:si>
  <x:si>
    <x:t>03105C</x:t>
  </x:si>
  <x:si>
    <x:t>PICHINCHA CH#6652</x:t>
  </x:si>
  <x:si>
    <x:t>03123C</x:t>
  </x:si>
  <x:si>
    <x:t>02900C</x:t>
  </x:si>
  <x:si>
    <x:t>02914C</x:t>
  </x:si>
  <x:si>
    <x:t>02915C</x:t>
  </x:si>
  <x:si>
    <x:t>02917C</x:t>
  </x:si>
  <x:si>
    <x:t>02922C</x:t>
  </x:si>
  <x:si>
    <x:t>02923C</x:t>
  </x:si>
  <x:si>
    <x:t>02939C</x:t>
  </x:si>
  <x:si>
    <x:t>MERO ESPINOZA DIANA ELIZABETH</x:t>
  </x:si>
  <x:si>
    <x:t>02953C</x:t>
  </x:si>
  <x:si>
    <x:t>02974C</x:t>
  </x:si>
  <x:si>
    <x:t>03042C</x:t>
  </x:si>
  <x:si>
    <x:t>03047C</x:t>
  </x:si>
  <x:si>
    <x:t>03071C</x:t>
  </x:si>
  <x:si>
    <x:t>03084C</x:t>
  </x:si>
  <x:si>
    <x:t>SANTACRUZ TERAN JANNETH EULALIA</x:t>
  </x:si>
  <x:si>
    <x:t>03087C</x:t>
  </x:si>
  <x:si>
    <x:t>03093C</x:t>
  </x:si>
  <x:si>
    <x:t>NIETO LOYOLA EMMA ESPERANZA</x:t>
  </x:si>
  <x:si>
    <x:t>03107C</x:t>
  </x:si>
  <x:si>
    <x:t>03121C</x:t>
  </x:si>
  <x:si>
    <x:t>BOLIVARIANO CH#4352</x:t>
  </x:si>
  <x:si>
    <x:t>03069C</x:t>
  </x:si>
  <x:si>
    <x:t>AUSTRO CH#275</x:t>
  </x:si>
  <x:si>
    <x:t>03092C</x:t>
  </x:si>
  <x:si>
    <x:t>BOLIVARIANO CH#40582</x:t>
  </x:si>
  <x:si>
    <x:t>03096C</x:t>
  </x:si>
  <x:si>
    <x:t>AUSTRO CH#274</x:t>
  </x:si>
  <x:si>
    <x:t>03100C</x:t>
  </x:si>
  <x:si>
    <x:t>03103C</x:t>
  </x:si>
  <x:si>
    <x:t>Mes : SEPTIEMBRE/2024</x:t>
  </x:si>
  <x:si>
    <x:t>SALVADOR VITERI SOFIA GABRIELA</x:t>
  </x:si>
  <x:si>
    <x:t>02919C</x:t>
  </x:si>
  <x:si>
    <x:t>02952C</x:t>
  </x:si>
  <x:si>
    <x:t>SALVADOR VITERI GABRIELA</x:t>
  </x:si>
  <x:si>
    <x:t>02985C</x:t>
  </x:si>
  <x:si>
    <x:t>02986C</x:t>
  </x:si>
  <x:si>
    <x:t>PROVESUM &amp; CIA</x:t>
  </x:si>
  <x:si>
    <x:t>02993C</x:t>
  </x:si>
  <x:si>
    <x:t>03067C</x:t>
  </x:si>
  <x:si>
    <x:t>MARIA LAURA MALES MORALES</x:t>
  </x:si>
  <x:si>
    <x:t>03076C</x:t>
  </x:si>
  <x:si>
    <x:t>03079C</x:t>
  </x:si>
  <x:si>
    <x:t>03102C</x:t>
  </x:si>
  <x:si>
    <x:t>03124C</x:t>
  </x:si>
  <x:si>
    <x:t>03127C</x:t>
  </x:si>
  <x:si>
    <x:t>INTERNACIONAL CH#4378-4379</x:t>
  </x:si>
  <x:si>
    <x:t>03091C</x:t>
  </x:si>
  <x:si>
    <x:t>03125C</x:t>
  </x:si>
  <x:si>
    <x:t>03142C</x:t>
  </x:si>
  <x:si>
    <x:t>CARDENAS HERRERA JUDITH ELIANA</x:t>
  </x:si>
  <x:si>
    <x:t>INTERNACIONAL CH#11989</x:t>
  </x:si>
  <x:si>
    <x:t>03080C</x:t>
  </x:si>
  <x:si>
    <x:t>03081C</x:t>
  </x:si>
  <x:si>
    <x:t>PICHINCHA CH#4782</x:t>
  </x:si>
  <x:si>
    <x:t>03108C</x:t>
  </x:si>
  <x:si>
    <x:t>PACIFICO CH#11281</x:t>
  </x:si>
  <x:si>
    <x:t>03141C</x:t>
  </x:si>
  <x:si>
    <x:t>doscientos cuarenta y nueve</x:t>
  </x:si>
  <x:si>
    <x:t>02843C</x:t>
  </x:si>
  <x:si>
    <x:t>02875C</x:t>
  </x:si>
  <x:si>
    <x:t>02888C</x:t>
  </x:si>
  <x:si>
    <x:t>02901C</x:t>
  </x:si>
  <x:si>
    <x:t>02902C</x:t>
  </x:si>
  <x:si>
    <x:t>02906C</x:t>
  </x:si>
  <x:si>
    <x:t>02934C</x:t>
  </x:si>
  <x:si>
    <x:t>02940C</x:t>
  </x:si>
  <x:si>
    <x:t>02941C</x:t>
  </x:si>
  <x:si>
    <x:t>02945C</x:t>
  </x:si>
  <x:si>
    <x:t>02947C</x:t>
  </x:si>
  <x:si>
    <x:t>02967C</x:t>
  </x:si>
  <x:si>
    <x:t>AGUIRRE ROSADO TATIANA MARICELA</x:t>
  </x:si>
  <x:si>
    <x:t>02991C</x:t>
  </x:si>
  <x:si>
    <x:t>02992C</x:t>
  </x:si>
  <x:si>
    <x:t>03004C</x:t>
  </x:si>
  <x:si>
    <x:t>03005C</x:t>
  </x:si>
  <x:si>
    <x:t>03014C</x:t>
  </x:si>
  <x:si>
    <x:t>03018C</x:t>
  </x:si>
  <x:si>
    <x:t>03020C</x:t>
  </x:si>
  <x:si>
    <x:t>CORDOVA HERRERA GALO ANTONIO</x:t>
  </x:si>
  <x:si>
    <x:t>03027C</x:t>
  </x:si>
  <x:si>
    <x:t>03028C</x:t>
  </x:si>
  <x:si>
    <x:t>03037C</x:t>
  </x:si>
  <x:si>
    <x:t>03045C</x:t>
  </x:si>
  <x:si>
    <x:t>03055C</x:t>
  </x:si>
  <x:si>
    <x:t>03070C</x:t>
  </x:si>
  <x:si>
    <x:t>03072C</x:t>
  </x:si>
  <x:si>
    <x:t>03077C</x:t>
  </x:si>
  <x:si>
    <x:t>03088C</x:t>
  </x:si>
  <x:si>
    <x:t>TAPIA OLVERA CRISTIAN FELIPE</x:t>
  </x:si>
  <x:si>
    <x:t>03132C</x:t>
  </x:si>
  <x:si>
    <x:t>UNIDAD EDUCATIVA FISCOMISIONAL ALICIA LOZA MENESES</x:t>
  </x:si>
  <x:si>
    <x:t>03133C</x:t>
  </x:si>
  <x:si>
    <x:t>LAINEZ LEON HECTOR LUIGGI</x:t>
  </x:si>
  <x:si>
    <x:t>03135C</x:t>
  </x:si>
  <x:si>
    <x:t>VILLALTA YUMBLA MARTHA ELOISA</x:t>
  </x:si>
  <x:si>
    <x:t>03136C</x:t>
  </x:si>
  <x:si>
    <x:t>03147C</x:t>
  </x:si>
  <x:si>
    <x:t>03160C</x:t>
  </x:si>
  <x:si>
    <x:t>03164C</x:t>
  </x:si>
  <x:si>
    <x:t>PICHINCHA CH#5875</x:t>
  </x:si>
  <x:si>
    <x:t>02999C</x:t>
  </x:si>
  <x:si>
    <x:t>BOLIVARIANO CH#40648 CTA.CTE.#085-500483-5</x:t>
  </x:si>
  <x:si>
    <x:t>03114C</x:t>
  </x:si>
  <x:si>
    <x:t>03122C</x:t>
  </x:si>
  <x:si>
    <x:t>BOLIVARIANO CH#40649</x:t>
  </x:si>
  <x:si>
    <x:t>03130C</x:t>
  </x:si>
  <x:si>
    <x:t>PICHINCHA CH#73</x:t>
  </x:si>
  <x:si>
    <x:t>03138C</x:t>
  </x:si>
  <x:si>
    <x:t>BOLIVARIANO CH#7961</x:t>
  </x:si>
  <x:si>
    <x:t>03139C</x:t>
  </x:si>
  <x:si>
    <x:t>MACHALA CH#14533</x:t>
  </x:si>
  <x:si>
    <x:t>03140C</x:t>
  </x:si>
  <x:si>
    <x:t>03143C</x:t>
  </x:si>
  <x:si>
    <x:t>MACHALA CH#14596</x:t>
  </x:si>
  <x:si>
    <x:t>03168C</x:t>
  </x:si>
  <x:si>
    <x:t>MACHALA CH#14597</x:t>
  </x:si>
  <x:si>
    <x:t>03172C</x:t>
  </x:si>
  <x:si>
    <x:t>MACHALA CH#26966</x:t>
  </x:si>
  <x:si>
    <x:t>03174C</x:t>
  </x:si>
  <x:si>
    <x:t>cuatrocientos cuarenta</x:t>
  </x:si>
  <x:si>
    <x:t>JOSE</x:t>
  </x:si>
  <x:si>
    <x:t>Mes : OCTUBRE/2024</x:t>
  </x:si>
  <x:si>
    <x:t>02984C</x:t>
  </x:si>
  <x:si>
    <x:t>03090C</x:t>
  </x:si>
  <x:si>
    <x:t>03165C</x:t>
  </x:si>
  <x:si>
    <x:t>03183C</x:t>
  </x:si>
  <x:si>
    <x:t>03204C</x:t>
  </x:si>
  <x:si>
    <x:t>03234C</x:t>
  </x:si>
  <x:si>
    <x:t>NOTEBOOK PAPELERIA S.A.S.</x:t>
  </x:si>
  <x:si>
    <x:t>03237C</x:t>
  </x:si>
  <x:si>
    <x:t>03238C</x:t>
  </x:si>
  <x:si>
    <x:t>03240C</x:t>
  </x:si>
  <x:si>
    <x:t>PACIFICO CH#11333</x:t>
  </x:si>
  <x:si>
    <x:t>03181C</x:t>
  </x:si>
  <x:si>
    <x:t>03184C</x:t>
  </x:si>
  <x:si>
    <x:t>PICHINCHA CH#6706</x:t>
  </x:si>
  <x:si>
    <x:t>03230C</x:t>
  </x:si>
  <x:si>
    <x:t>03242C</x:t>
  </x:si>
  <x:si>
    <x:t>PICHINCHA CH#6713</x:t>
  </x:si>
  <x:si>
    <x:t>03244C</x:t>
  </x:si>
  <x:si>
    <x:t>AGUILAR JAURA LUZ VICTORIA</x:t>
  </x:si>
  <x:si>
    <x:t>02936C</x:t>
  </x:si>
  <x:si>
    <x:t>03053C</x:t>
  </x:si>
  <x:si>
    <x:t>03051C</x:t>
  </x:si>
  <x:si>
    <x:t>03052C</x:t>
  </x:si>
  <x:si>
    <x:t>03064C</x:t>
  </x:si>
  <x:si>
    <x:t>03075C</x:t>
  </x:si>
  <x:si>
    <x:t>03104C</x:t>
  </x:si>
  <x:si>
    <x:t>GONZALEZ CONTRERAS JOSE VINICIO</x:t>
  </x:si>
  <x:si>
    <x:t>GUALACEO</x:t>
  </x:si>
  <x:si>
    <x:t>03112C</x:t>
  </x:si>
  <x:si>
    <x:t>PAPELERIA CENTRAL</x:t>
  </x:si>
  <x:si>
    <x:t>03115C</x:t>
  </x:si>
  <x:si>
    <x:t>03116C</x:t>
  </x:si>
  <x:si>
    <x:t>03119C</x:t>
  </x:si>
  <x:si>
    <x:t>RUBIO CABRERA CHRISTIAN MARCELO</x:t>
  </x:si>
  <x:si>
    <x:t>03137C</x:t>
  </x:si>
  <x:si>
    <x:t>03149C</x:t>
  </x:si>
  <x:si>
    <x:t>03148C</x:t>
  </x:si>
  <x:si>
    <x:t>SANCHEZ MALDONADO LUCIO REINERIO</x:t>
  </x:si>
  <x:si>
    <x:t>03150C</x:t>
  </x:si>
  <x:si>
    <x:t>03167C</x:t>
  </x:si>
  <x:si>
    <x:t>LUZUCAM S.A.S.</x:t>
  </x:si>
  <x:si>
    <x:t>03170C</x:t>
  </x:si>
  <x:si>
    <x:t>03166C</x:t>
  </x:si>
  <x:si>
    <x:t>JUAN FERNANDO FIGUEROA JADAN</x:t>
  </x:si>
  <x:si>
    <x:t>03177C</x:t>
  </x:si>
  <x:si>
    <x:t>03182C</x:t>
  </x:si>
  <x:si>
    <x:t>03186C</x:t>
  </x:si>
  <x:si>
    <x:t>03189C</x:t>
  </x:si>
  <x:si>
    <x:t>SANTISTEVAN AGUILAR CRUZ ANGELICA</x:t>
  </x:si>
  <x:si>
    <x:t>03207C</x:t>
  </x:si>
  <x:si>
    <x:t>03208C</x:t>
  </x:si>
  <x:si>
    <x:t>03216C</x:t>
  </x:si>
  <x:si>
    <x:t>03226C</x:t>
  </x:si>
  <x:si>
    <x:t>03233C</x:t>
  </x:si>
  <x:si>
    <x:t>CEDEÑO CEDEÑO LUZ MARIA</x:t>
  </x:si>
  <x:si>
    <x:t>PACIFICO#2911</x:t>
  </x:si>
  <x:si>
    <x:t>03095C</x:t>
  </x:si>
  <x:si>
    <x:t>PICHINCHA CH#710</x:t>
  </x:si>
  <x:si>
    <x:t>03153C</x:t>
  </x:si>
  <x:si>
    <x:t>GUAYAQUIL CH#12373</x:t>
  </x:si>
  <x:si>
    <x:t>03193C</x:t>
  </x:si>
  <x:si>
    <x:t>BOLIVARIANO CH#948</x:t>
  </x:si>
  <x:si>
    <x:t>03205C</x:t>
  </x:si>
  <x:si>
    <x:t>BOLIVARIANO CH#949</x:t>
  </x:si>
  <x:si>
    <x:t>03209C</x:t>
  </x:si>
  <x:si>
    <x:t>PICHINCHA CH#1953</x:t>
  </x:si>
  <x:si>
    <x:t>03210C</x:t>
  </x:si>
  <x:si>
    <x:t>BOLIVARIANO CH#951</x:t>
  </x:si>
  <x:si>
    <x:t>03212C</x:t>
  </x:si>
  <x:si>
    <x:t>BOLIVARIANO CH#8094</x:t>
  </x:si>
  <x:si>
    <x:t>03222C</x:t>
  </x:si>
  <x:si>
    <x:t>BOLIVARIANO CH#996</x:t>
  </x:si>
  <x:si>
    <x:t>03227C</x:t>
  </x:si>
  <x:si>
    <x:t>cuatrocientos cincuenta y dos</x:t>
  </x:si>
  <x:si>
    <x:t>Mes : NOVIEMBRE/2024</x:t>
  </x:si>
  <x:si>
    <x:t>03098C</x:t>
  </x:si>
  <x:si>
    <x:t>03126C</x:t>
  </x:si>
  <x:si>
    <x:t>SANGOLQUI</x:t>
  </x:si>
  <x:si>
    <x:t>03152C</x:t>
  </x:si>
  <x:si>
    <x:t>03158C</x:t>
  </x:si>
  <x:si>
    <x:t>03169C</x:t>
  </x:si>
  <x:si>
    <x:t>RUIZ MORENO MARIA JOSE</x:t>
  </x:si>
  <x:si>
    <x:t>03201C</x:t>
  </x:si>
  <x:si>
    <x:t>PICHINCHA CH#6724</x:t>
  </x:si>
  <x:si>
    <x:t>03254C</x:t>
  </x:si>
  <x:si>
    <x:t>03019C</x:t>
  </x:si>
  <x:si>
    <x:t>03043C</x:t>
  </x:si>
  <x:si>
    <x:t>03056C</x:t>
  </x:si>
  <x:si>
    <x:t>03065C</x:t>
  </x:si>
  <x:si>
    <x:t>03073C</x:t>
  </x:si>
  <x:si>
    <x:t>03074C</x:t>
  </x:si>
  <x:si>
    <x:t>03078C</x:t>
  </x:si>
  <x:si>
    <x:t>03109C</x:t>
  </x:si>
  <x:si>
    <x:t>03117C</x:t>
  </x:si>
  <x:si>
    <x:t>03120C</x:t>
  </x:si>
  <x:si>
    <x:t>03131C</x:t>
  </x:si>
  <x:si>
    <x:t>03134C</x:t>
  </x:si>
  <x:si>
    <x:t>03145C</x:t>
  </x:si>
  <x:si>
    <x:t>03146C</x:t>
  </x:si>
  <x:si>
    <x:t>03156C</x:t>
  </x:si>
  <x:si>
    <x:t>CAMPOVERDE BRAVO CORINA RENE</x:t>
  </x:si>
  <x:si>
    <x:t>03188C</x:t>
  </x:si>
  <x:si>
    <x:t>SAQUICELA ZHUNIO SANTIAGO DANILO</x:t>
  </x:si>
  <x:si>
    <x:t>03195C</x:t>
  </x:si>
  <x:si>
    <x:t>03198C</x:t>
  </x:si>
  <x:si>
    <x:t>03199C</x:t>
  </x:si>
  <x:si>
    <x:t>03220C</x:t>
  </x:si>
  <x:si>
    <x:t>03229C</x:t>
  </x:si>
  <x:si>
    <x:t>03231C</x:t>
  </x:si>
  <x:si>
    <x:t>03232C</x:t>
  </x:si>
  <x:si>
    <x:t>03248C</x:t>
  </x:si>
  <x:si>
    <x:t>03253C</x:t>
  </x:si>
  <x:si>
    <x:t>FA001-011-000000002</x:t>
  </x:si>
  <x:si>
    <x:t>INTERNACIONAL CH#2575</x:t>
  </x:si>
  <x:si>
    <x:t>02966C</x:t>
  </x:si>
  <x:si>
    <x:t>BOLIVARIANO CH#1078</x:t>
  </x:si>
  <x:si>
    <x:t>03262C</x:t>
  </x:si>
  <x:si>
    <x:t>Mes : DICIEMBRE/2024</x:t>
  </x:si>
  <x:si>
    <x:t>03033C</x:t>
  </x:si>
  <x:si>
    <x:t>03054C</x:t>
  </x:si>
  <x:si>
    <x:t>03097C</x:t>
  </x:si>
  <x:si>
    <x:t>03099C</x:t>
  </x:si>
  <x:si>
    <x:t>03101C</x:t>
  </x:si>
  <x:si>
    <x:t>03110C</x:t>
  </x:si>
  <x:si>
    <x:t>03111C</x:t>
  </x:si>
  <x:si>
    <x:t>03144C</x:t>
  </x:si>
  <x:si>
    <x:t>03154C</x:t>
  </x:si>
  <x:si>
    <x:t>03159C</x:t>
  </x:si>
  <x:si>
    <x:t>03175C</x:t>
  </x:si>
  <x:si>
    <x:t>03180C</x:t>
  </x:si>
  <x:si>
    <x:t>03187C</x:t>
  </x:si>
  <x:si>
    <x:t>03194C</x:t>
  </x:si>
  <x:si>
    <x:t>03196C</x:t>
  </x:si>
  <x:si>
    <x:t>PARROQUIA ECLESIASTICA DE PASAJE</x:t>
  </x:si>
  <x:si>
    <x:t>03197C</x:t>
  </x:si>
  <x:si>
    <x:t>03200C</x:t>
  </x:si>
  <x:si>
    <x:t>03211C</x:t>
  </x:si>
  <x:si>
    <x:t>03215C</x:t>
  </x:si>
  <x:si>
    <x:t>03243C</x:t>
  </x:si>
  <x:si>
    <x:t>03249C</x:t>
  </x:si>
  <x:si>
    <x:t>03264C</x:t>
  </x:si>
  <x:si>
    <x:t>03268C</x:t>
  </x:si>
  <x:si>
    <x:t>FA001-011-000000004</x:t>
  </x:si>
  <x:si>
    <x:t>FA001-011-000000013</x:t>
  </x:si>
  <x:si>
    <x:t>FA001-011-000000017</x:t>
  </x:si>
  <x:si>
    <x:t>FA001-011-000000025</x:t>
  </x:si>
  <x:si>
    <x:t>FA001-011-000000029</x:t>
  </x:si>
  <x:si>
    <x:t>FA001-011-000000033</x:t>
  </x:si>
  <x:si>
    <x:t>GAONA CUMBICOS SANTIAGO</x:t>
  </x:si>
  <x:si>
    <x:t>DURAN</x:t>
  </x:si>
  <x:si>
    <x:t>FA001-011-000000034</x:t>
  </x:si>
  <x:si>
    <x:t>FA001-011-000000035</x:t>
  </x:si>
  <x:si>
    <x:t>FA001-011-000000037</x:t>
  </x:si>
  <x:si>
    <x:t>SIERRA DORADO MARIA SUSANA</x:t>
  </x:si>
  <x:si>
    <x:t>FA001-011-000000042</x:t>
  </x:si>
  <x:si>
    <x:t>FA001-011-000000043</x:t>
  </x:si>
  <x:si>
    <x:t>FA001-011-000000051</x:t>
  </x:si>
  <x:si>
    <x:t>INTERNACIONAL CH#4929</x:t>
  </x:si>
  <x:si>
    <x:t>03252C</x:t>
  </x:si>
  <x:si>
    <x:t>BOLIVARIANO CH#152680</x:t>
  </x:si>
  <x:si>
    <x:t>03235C</x:t>
  </x:si>
  <x:si>
    <x:t>03251C</x:t>
  </x:si>
  <x:si>
    <x:t>03265C</x:t>
  </x:si>
  <x:si>
    <x:t>PICHINCHA CH#4933</x:t>
  </x:si>
  <x:si>
    <x:t>03257C</x:t>
  </x:si>
  <x:si>
    <x:t>CONVERTIDORA PAPELERIA PEÑA C.A.</x:t>
  </x:si>
  <x:si>
    <x:t>PICHINCHA CH#4934</x:t>
  </x:si>
  <x:si>
    <x:t>FA001-011-000000050</x:t>
  </x:si>
  <x:si>
    <x:t>MACHALA CH#14985</x:t>
  </x:si>
  <x:si>
    <x:t>FA001-011-000000026</x:t>
  </x:si>
  <x:si>
    <x:t>Mes : ENERO/2025</x:t>
  </x:si>
  <x:si>
    <x:t>03157C</x:t>
  </x:si>
  <x:si>
    <x:t>03176C</x:t>
  </x:si>
  <x:si>
    <x:t>03185C</x:t>
  </x:si>
  <x:si>
    <x:t>03202C</x:t>
  </x:si>
  <x:si>
    <x:t>03203C</x:t>
  </x:si>
  <x:si>
    <x:t>03213C</x:t>
  </x:si>
  <x:si>
    <x:t>03217C</x:t>
  </x:si>
  <x:si>
    <x:t>03218C</x:t>
  </x:si>
  <x:si>
    <x:t>03219C</x:t>
  </x:si>
  <x:si>
    <x:t>03236C</x:t>
  </x:si>
  <x:si>
    <x:t>03241C</x:t>
  </x:si>
  <x:si>
    <x:t>03250C</x:t>
  </x:si>
  <x:si>
    <x:t>03258C</x:t>
  </x:si>
  <x:si>
    <x:t>03261C</x:t>
  </x:si>
  <x:si>
    <x:t>03266C</x:t>
  </x:si>
  <x:si>
    <x:t>FA001-011-000000003</x:t>
  </x:si>
  <x:si>
    <x:t>FA001-011-000000007</x:t>
  </x:si>
  <x:si>
    <x:t>FA001-011-000000008</x:t>
  </x:si>
  <x:si>
    <x:t>FA001-011-000000011</x:t>
  </x:si>
  <x:si>
    <x:t>FA001-011-000000012</x:t>
  </x:si>
  <x:si>
    <x:t>FA001-011-000000054</x:t>
  </x:si>
  <x:si>
    <x:t>FA001-011-000000058</x:t>
  </x:si>
  <x:si>
    <x:t>FA001-011-000000061</x:t>
  </x:si>
  <x:si>
    <x:t>FA001-011-000000065</x:t>
  </x:si>
  <x:si>
    <x:t>FA001-011-000000067</x:t>
  </x:si>
  <x:si>
    <x:t>FA001-011-000000075</x:t>
  </x:si>
  <x:si>
    <x:t>FA001-011-000000076</x:t>
  </x:si>
  <x:si>
    <x:t>FA001-011-000000081</x:t>
  </x:si>
  <x:si>
    <x:t>FA001-011-000000082</x:t>
  </x:si>
  <x:si>
    <x:t>FA001-011-000000084</x:t>
  </x:si>
  <x:si>
    <x:t>FA001-011-000000086</x:t>
  </x:si>
  <x:si>
    <x:t>FA001-011-000000087</x:t>
  </x:si>
  <x:si>
    <x:t>MACHALA CH#15088</x:t>
  </x:si>
  <x:si>
    <x:t>FA001-011-000000055</x:t>
  </x:si>
  <x:si>
    <x:t>PICHINCHA CH#6756</x:t>
  </x:si>
  <x:si>
    <x:t>FA001-011-000000057</x:t>
  </x:si>
  <x:si>
    <x:t>GUAYAQUIL CH#12552</x:t>
  </x:si>
  <x:si>
    <x:t>FA001-011-000000059</x:t>
  </x:si>
  <x:si>
    <x:t>MACHALA CH#15114</x:t>
  </x:si>
  <x:si>
    <x:t>FA001-011-000000063</x:t>
  </x:si>
  <x:si>
    <x:t>BOLIVARIANO CH#1193</x:t>
  </x:si>
  <x:si>
    <x:t>FA001-011-000000064</x:t>
  </x:si>
  <x:si>
    <x:t xml:space="preserve">PICHINCHA CH#6760 </x:t>
  </x:si>
  <x:si>
    <x:t>FA001-011-000000074</x:t>
  </x:si>
  <x:si>
    <x:t>FA001-011-000000080</x:t>
  </x:si>
  <x:si>
    <x:t>BOLIVARIANO CH#6266</x:t>
  </x:si>
  <x:si>
    <x:t>FA001-011-000000083</x:t>
  </x:si>
  <x:si>
    <x:t>PICHINCHA CH#6767</x:t>
  </x:si>
  <x:si>
    <x:t>FA001-011-000000095</x:t>
  </x:si>
  <x:si>
    <x:t>BOLIVARIANO CH#1294</x:t>
  </x:si>
  <x:si>
    <x:t>FA001-011-000000096</x:t>
  </x:si>
  <x:si>
    <x:t>Mes : FEBRERO/2025</x:t>
  </x:si>
  <x:si>
    <x:t>02944C</x:t>
  </x:si>
  <x:si>
    <x:t>03113C</x:t>
  </x:si>
  <x:si>
    <x:t>03192C</x:t>
  </x:si>
  <x:si>
    <x:t>FA001-011-000000001</x:t>
  </x:si>
  <x:si>
    <x:t>FA001-011-000000005</x:t>
  </x:si>
  <x:si>
    <x:t>FA001-011-000000009</x:t>
  </x:si>
  <x:si>
    <x:t>FA001-011-000000010</x:t>
  </x:si>
  <x:si>
    <x:t>FA001-011-000000018</x:t>
  </x:si>
  <x:si>
    <x:t>FA001-011-000000028</x:t>
  </x:si>
  <x:si>
    <x:t>FA001-011-000000044</x:t>
  </x:si>
  <x:si>
    <x:t>FA001-011-000000045</x:t>
  </x:si>
  <x:si>
    <x:t>FA001-011-000000046</x:t>
  </x:si>
  <x:si>
    <x:t>FA001-011-000000047</x:t>
  </x:si>
  <x:si>
    <x:t>FA001-011-000000053</x:t>
  </x:si>
  <x:si>
    <x:t>FA001-011-000000069</x:t>
  </x:si>
  <x:si>
    <x:t>FA001-011-000000093</x:t>
  </x:si>
  <x:si>
    <x:t>FA001-011-000000094</x:t>
  </x:si>
  <x:si>
    <x:t>FA001-011-000000103</x:t>
  </x:si>
  <x:si>
    <x:t>Acaro Guamán Felicita Susana</x:t>
  </x:si>
  <x:si>
    <x:t>CATAMAYO</x:t>
  </x:si>
  <x:si>
    <x:t>FA001-011-000000106</x:t>
  </x:si>
  <x:si>
    <x:t>FA001-011-000000109</x:t>
  </x:si>
  <x:si>
    <x:t>FA001-011-000000124</x:t>
  </x:si>
  <x:si>
    <x:t>FA001-011-000000131</x:t>
  </x:si>
  <x:si>
    <x:t>CANDO TOBAR MARTHA PATRICIA</x:t>
  </x:si>
  <x:si>
    <x:t>FA001-011-000000134</x:t>
  </x:si>
  <x:si>
    <x:t>BOLIVARIANO CH#41445</x:t>
  </x:si>
  <x:si>
    <x:t>03214C</x:t>
  </x:si>
  <x:si>
    <x:t>03259C</x:t>
  </x:si>
  <x:si>
    <x:t>03263C</x:t>
  </x:si>
  <x:si>
    <x:t>FA001-011-000000020</x:t>
  </x:si>
  <x:si>
    <x:t>BOLIVARIANO CH#41446</x:t>
  </x:si>
  <x:si>
    <x:t>BOLIVARIANO CH#41445-41446</x:t>
  </x:si>
  <x:si>
    <x:t>FA001-011-000000031</x:t>
  </x:si>
  <x:si>
    <x:t>FA001-011-000000036</x:t>
  </x:si>
  <x:si>
    <x:t>BOLIVARIANO CH#1326</x:t>
  </x:si>
  <x:si>
    <x:t>FA001-011-000000108</x:t>
  </x:si>
  <x:si>
    <x:t>GUAYAQUIL CH#12564</x:t>
  </x:si>
  <x:si>
    <x:t>FA001-011-000000110</x:t>
  </x:si>
  <x:si>
    <x:t>BOLIVARIANO CH#41447</x:t>
  </x:si>
  <x:si>
    <x:t>FA001-011-000000128</x:t>
  </x:si>
  <x:si>
    <x:t>Mes : MARZO/2025</x:t>
  </x:si>
  <x:si>
    <x:t>03228C</x:t>
  </x:si>
  <x:si>
    <x:t>FA001-011-000000006</x:t>
  </x:si>
  <x:si>
    <x:t>HERVER DAVID MOREIRA CABRERA</x:t>
  </x:si>
  <x:si>
    <x:t>FA001-011-000000016</x:t>
  </x:si>
  <x:si>
    <x:t>FA001-011-000000030</x:t>
  </x:si>
  <x:si>
    <x:t>FA001-011-000000038</x:t>
  </x:si>
  <x:si>
    <x:t>FA001-011-000000048</x:t>
  </x:si>
  <x:si>
    <x:t>FA001-011-000000056</x:t>
  </x:si>
  <x:si>
    <x:t>FA001-011-000000066</x:t>
  </x:si>
  <x:si>
    <x:t>FA001-011-000000071</x:t>
  </x:si>
  <x:si>
    <x:t>FA001-011-000000077</x:t>
  </x:si>
  <x:si>
    <x:t>FA001-011-000000078</x:t>
  </x:si>
  <x:si>
    <x:t>FA001-011-000000092</x:t>
  </x:si>
  <x:si>
    <x:t>FA001-011-000000097</x:t>
  </x:si>
  <x:si>
    <x:t>FA001-011-000000100</x:t>
  </x:si>
  <x:si>
    <x:t>FA001-011-000000105</x:t>
  </x:si>
  <x:si>
    <x:t>FA001-011-000000117</x:t>
  </x:si>
  <x:si>
    <x:t>FA001-011-000000118</x:t>
  </x:si>
  <x:si>
    <x:t>FA001-011-000000125</x:t>
  </x:si>
  <x:si>
    <x:t>ZAMORA ACOSTA DAYANA JANINE</x:t>
  </x:si>
  <x:si>
    <x:t>FA001-011-000000149</x:t>
  </x:si>
  <x:si>
    <x:t>FA001-011-000000153</x:t>
  </x:si>
  <x:si>
    <x:t>FA001-011-000000162</x:t>
  </x:si>
  <x:si>
    <x:t>FA001-011-000000164</x:t>
  </x:si>
  <x:si>
    <x:t>CABRERA GUERRERO FREDY MANUEL</x:t>
  </x:si>
  <x:si>
    <x:t>FA001-011-000000189</x:t>
  </x:si>
  <x:si>
    <x:t>PICHINCHA CH#2625</x:t>
  </x:si>
  <x:si>
    <x:t>FA001-011-000000150</x:t>
  </x:si>
  <x:si>
    <x:t>BOLIVARIANO CH#41507</x:t>
  </x:si>
  <x:si>
    <x:t>FA001-011-000000151</x:t>
  </x:si>
  <x:si>
    <x:t>PICHINCHA CH#6792</x:t>
  </x:si>
  <x:si>
    <x:t>FA001-011-000000154</x:t>
  </x:si>
  <x:si>
    <x:t>PICHINCHA CH#2623</x:t>
  </x:si>
  <x:si>
    <x:t>FA001-011-000000079</x:t>
  </x:si>
  <x:si>
    <x:t>PACIFICO CH#11535</x:t>
  </x:si>
  <x:si>
    <x:t>FA001-011-000000101</x:t>
  </x:si>
  <x:si>
    <x:t>BOLIVARIANO CH#8387</x:t>
  </x:si>
  <x:si>
    <x:t>FA001-011-000000186</x:t>
  </x:si>
  <x:si>
    <x:t>MACHALA CH#15411</x:t>
  </x:si>
  <x:si>
    <x:t>FA001-011-000000156</x:t>
  </x:si>
  <x:si>
    <x:t>MACHALA CH#15432</x:t>
  </x:si>
  <x:si>
    <x:t>FA001-011-000000159</x:t>
  </x:si>
  <x:si>
    <x:t>MACHALA CH#15479</x:t>
  </x:si>
  <x:si>
    <x:t>FA001-011-000000169</x:t>
  </x:si>
  <x:si>
    <x:t>BOLIVARIANO CH#41629</x:t>
  </x:si>
  <x:si>
    <x:t>FA001-011-000000187</x:t>
  </x:si>
  <x:si>
    <x:t>Mes : ABRIL/2025</x:t>
  </x:si>
  <x:si>
    <x:t>FA001-011-000000019</x:t>
  </x:si>
  <x:si>
    <x:t>FA001-011-000000039</x:t>
  </x:si>
  <x:si>
    <x:t>FA001-011-000000049</x:t>
  </x:si>
  <x:si>
    <x:t>FA001-011-000000052</x:t>
  </x:si>
  <x:si>
    <x:t>FA001-011-000000072</x:t>
  </x:si>
  <x:si>
    <x:t>FA001-011-000000089</x:t>
  </x:si>
  <x:si>
    <x:t>DIANA GABRIELA LOJA PESANTEZ</x:t>
  </x:si>
  <x:si>
    <x:t>FA001-011-000000098</x:t>
  </x:si>
  <x:si>
    <x:t>FA001-011-000000104</x:t>
  </x:si>
  <x:si>
    <x:t>FA001-011-000000113</x:t>
  </x:si>
  <x:si>
    <x:t>FA001-011-000000114</x:t>
  </x:si>
  <x:si>
    <x:t>FA001-011-000000115</x:t>
  </x:si>
  <x:si>
    <x:t>FA001-011-000000116</x:t>
  </x:si>
  <x:si>
    <x:t>FA001-011-000000119</x:t>
  </x:si>
  <x:si>
    <x:t>FA001-011-000000135</x:t>
  </x:si>
  <x:si>
    <x:t>FA001-011-000000152</x:t>
  </x:si>
  <x:si>
    <x:t>FA001-011-000000157</x:t>
  </x:si>
  <x:si>
    <x:t>FA001-011-000000158</x:t>
  </x:si>
  <x:si>
    <x:t>FA001-011-000000165</x:t>
  </x:si>
  <x:si>
    <x:t>FA001-011-000000168</x:t>
  </x:si>
  <x:si>
    <x:t>FA001-011-000000170</x:t>
  </x:si>
  <x:si>
    <x:t>FA001-011-000000192</x:t>
  </x:si>
  <x:si>
    <x:t>FA001-011-000000195</x:t>
  </x:si>
  <x:si>
    <x:t>FA001-011-000000196</x:t>
  </x:si>
  <x:si>
    <x:t>FA001-011-000000198</x:t>
  </x:si>
  <x:si>
    <x:t>FA001-011-000000199</x:t>
  </x:si>
  <x:si>
    <x:t>CHIFLA LITUMA GIANELA NATALY</x:t>
  </x:si>
  <x:si>
    <x:t>FA001-011-000000201</x:t>
  </x:si>
  <x:si>
    <x:t>FA001-011-000000203</x:t>
  </x:si>
  <x:si>
    <x:t>UNIDAD EDUCATIVA SAN JOSE</x:t>
  </x:si>
  <x:si>
    <x:t>FA001-011-000000205</x:t>
  </x:si>
  <x:si>
    <x:t>FA001-011-000000209</x:t>
  </x:si>
  <x:si>
    <x:t>FA001-011-000000223</x:t>
  </x:si>
  <x:si>
    <x:t>FA001-011-000000234</x:t>
  </x:si>
  <x:si>
    <x:t>FA001-011-000000238</x:t>
  </x:si>
  <x:si>
    <x:t>PRODUBANCO CH# 957</x:t>
  </x:si>
  <x:si>
    <x:t>FA001-011-000000014</x:t>
  </x:si>
  <x:si>
    <x:t>PACIFICO CH#608-606-607</x:t>
  </x:si>
  <x:si>
    <x:t>FA001-011-000000136</x:t>
  </x:si>
  <x:si>
    <x:t>GUAYAQUIL CH#3209</x:t>
  </x:si>
  <x:si>
    <x:t>FA001-011-000000161</x:t>
  </x:si>
  <x:si>
    <x:t>PICHINCHA CH#6845</x:t>
  </x:si>
  <x:si>
    <x:t>FA001-011-000000180</x:t>
  </x:si>
  <x:si>
    <x:t>GUAYAQUIL CH#3209-3210</x:t>
  </x:si>
  <x:si>
    <x:t>FA001-011-000000190</x:t>
  </x:si>
  <x:si>
    <x:t>GUAYAQUIL CH#12662</x:t>
  </x:si>
  <x:si>
    <x:t>FA001-011-000000193</x:t>
  </x:si>
  <x:si>
    <x:t>BOLIVARIANO CH#41730</x:t>
  </x:si>
  <x:si>
    <x:t>FA001-011-000000197</x:t>
  </x:si>
  <x:si>
    <x:t>FA001-011-000000210</x:t>
  </x:si>
  <x:si>
    <x:t>MACHALA#15575</x:t>
  </x:si>
  <x:si>
    <x:t>FA001-011-000000218</x:t>
  </x:si>
  <x:si>
    <x:t>MACHALA CH#15590</x:t>
  </x:si>
  <x:si>
    <x:t>FA001-011-000000233</x:t>
  </x:si>
  <x:si>
    <x:t>LIBRERIA-JMM S.A.</x:t>
  </x:si>
  <x:si>
    <x:t>BOLIVARIANO CH#470</x:t>
  </x:si>
  <x:si>
    <x:t>FA001-011-000000236</x:t>
  </x:si>
  <x:si>
    <x:t>GUAYAQUIL CH#12679</x:t>
  </x:si>
  <x:si>
    <x:t>FA001-011-000000243</x:t>
  </x:si>
  <x:si>
    <x:t>GUAYAQUIL CH#666</x:t>
  </x:si>
  <x:si>
    <x:t>FA001-011-000000245</x:t>
  </x:si>
  <x:si>
    <x:t>MACHALA CH#15652</x:t>
  </x:si>
  <x:si>
    <x:t>FA001-011-000000249</x:t>
  </x:si>
  <x:si>
    <x:t>GUAYAQUIL CH#53</x:t>
  </x:si>
  <x:si>
    <x:t>FA001-011-000000263</x:t>
  </x:si>
  <x:si>
    <x:t>BOLIVARIANO CH#1586</x:t>
  </x:si>
  <x:si>
    <x:t>FA001-011-000000253</x:t>
  </x:si>
  <x:si>
    <x:t>Mes : MAY/2025</x:t>
  </x:si>
  <x:si>
    <x:t xml:space="preserve">TODOENPAPELERIA S.A. </x:t>
  </x:si>
  <x:si>
    <x:t>FA001-011-000000021</x:t>
  </x:si>
  <x:si>
    <x:t>FA001-011-000000022</x:t>
  </x:si>
  <x:si>
    <x:t>FA001-011-000000023</x:t>
  </x:si>
  <x:si>
    <x:t>FA001-011-000000024</x:t>
  </x:si>
  <x:si>
    <x:t>FA001-011-000000060</x:t>
  </x:si>
  <x:si>
    <x:t>FA001-011-000000062</x:t>
  </x:si>
  <x:si>
    <x:t>PYCCA S.A.</x:t>
  </x:si>
  <x:si>
    <x:t>FA001-011-000000111</x:t>
  </x:si>
  <x:si>
    <x:t>FA001-011-000000112</x:t>
  </x:si>
  <x:si>
    <x:t>FA001-011-000000122</x:t>
  </x:si>
  <x:si>
    <x:t>FA001-011-000000126</x:t>
  </x:si>
  <x:si>
    <x:t>PAZMIÑO ERAS SABRINA MARISOL</x:t>
  </x:si>
  <x:si>
    <x:t>FA001-011-000000127</x:t>
  </x:si>
  <x:si>
    <x:t>FA001-011-000000129</x:t>
  </x:si>
  <x:si>
    <x:t>LOAIZA ROMERO Y COMPAÑÍA</x:t>
  </x:si>
  <x:si>
    <x:t>FA001-011-000000133</x:t>
  </x:si>
  <x:si>
    <x:t>FA001-011-000000155</x:t>
  </x:si>
  <x:si>
    <x:t>FA001-011-000000160</x:t>
  </x:si>
  <x:si>
    <x:t>FA001-011-000000172</x:t>
  </x:si>
  <x:si>
    <x:t>FA001-011-000000179</x:t>
  </x:si>
  <x:si>
    <x:t>FA001-011-000000182</x:t>
  </x:si>
  <x:si>
    <x:t>FA001-011-000000185</x:t>
  </x:si>
  <x:si>
    <x:t>FA001-011-000000191</x:t>
  </x:si>
  <x:si>
    <x:t>FA001-011-000000202</x:t>
  </x:si>
  <x:si>
    <x:t>FA001-011-000000219</x:t>
  </x:si>
  <x:si>
    <x:t>FA001-011-000000226</x:t>
  </x:si>
  <x:si>
    <x:t>FA001-011-000000241</x:t>
  </x:si>
  <x:si>
    <x:t>FA001-011-000000250</x:t>
  </x:si>
  <x:si>
    <x:t>FA001-011-000000252</x:t>
  </x:si>
  <x:si>
    <x:t>FA001-011-000000255</x:t>
  </x:si>
  <x:si>
    <x:t>FA001-011-000000256</x:t>
  </x:si>
  <x:si>
    <x:t>FA001-011-000000266</x:t>
  </x:si>
  <x:si>
    <x:t>FA001-011-000000271</x:t>
  </x:si>
  <x:si>
    <x:t>FA001-011-000000273</x:t>
  </x:si>
  <x:si>
    <x:t>FA001-011-000000276</x:t>
  </x:si>
  <x:si>
    <x:t>FA001-011-000000285</x:t>
  </x:si>
  <x:si>
    <x:t>FA001-011-000000292</x:t>
  </x:si>
  <x:si>
    <x:t>FA001-011-000000299</x:t>
  </x:si>
  <x:si>
    <x:t>INTERNACIONAL CH#5024</x:t>
  </x:si>
  <x:si>
    <x:t>FA001-011-000000032</x:t>
  </x:si>
  <x:si>
    <x:t>PACIFICO CH#29819</x:t>
  </x:si>
  <x:si>
    <x:t>FA001-011-000000244</x:t>
  </x:si>
  <x:si>
    <x:t>FA001-011-000000260</x:t>
  </x:si>
  <x:si>
    <x:t>GUAYAQUIL CH#12911</x:t>
  </x:si>
  <x:si>
    <x:t>FA001-011-000000270</x:t>
  </x:si>
  <x:si>
    <x:t>BOLIVARIANO CH#8496</x:t>
  </x:si>
  <x:si>
    <x:t>FA001-011-000000282</x:t>
  </x:si>
  <x:si>
    <x:t>Mes : JUN/2025</x:t>
  </x:si>
  <x:si>
    <x:t>FA001-011-000000073</x:t>
  </x:si>
  <x:si>
    <x:t>FA001-011-000000107</x:t>
  </x:si>
  <x:si>
    <x:t>FA001-011-000000120</x:t>
  </x:si>
  <x:si>
    <x:t>FA001-011-000000121</x:t>
  </x:si>
  <x:si>
    <x:t>FA001-011-000000123</x:t>
  </x:si>
  <x:si>
    <x:t>FA001-011-000000163</x:t>
  </x:si>
  <x:si>
    <x:t>FA001-011-000000171</x:t>
  </x:si>
  <x:si>
    <x:t>ZAMBRANO CEDEÑO DIGNA MODESTA</x:t>
  </x:si>
  <x:si>
    <x:t>FA001-011-000000181</x:t>
  </x:si>
  <x:si>
    <x:t>FA001-011-000000194</x:t>
  </x:si>
  <x:si>
    <x:t>FA001-011-000000211</x:t>
  </x:si>
  <x:si>
    <x:t>FA001-011-000000224</x:t>
  </x:si>
  <x:si>
    <x:t>FA001-011-000000232</x:t>
  </x:si>
  <x:si>
    <x:t>FA001-011-000000242</x:t>
  </x:si>
  <x:si>
    <x:t>FA001-011-000000247</x:t>
  </x:si>
  <x:si>
    <x:t>FA001-011-000000259</x:t>
  </x:si>
  <x:si>
    <x:t>FA001-011-000000272</x:t>
  </x:si>
  <x:si>
    <x:t>FA001-011-000000277</x:t>
  </x:si>
  <x:si>
    <x:t>ALMACEN PATRICIA</x:t>
  </x:si>
  <x:si>
    <x:t>FA001-011-000000278</x:t>
  </x:si>
  <x:si>
    <x:t>FA001-011-000000279</x:t>
  </x:si>
  <x:si>
    <x:t>FA001-011-000000280</x:t>
  </x:si>
  <x:si>
    <x:t>FA001-011-000000283</x:t>
  </x:si>
  <x:si>
    <x:t>FA001-011-000000288</x:t>
  </x:si>
  <x:si>
    <x:t>FA001-011-000000291</x:t>
  </x:si>
  <x:si>
    <x:t>FA001-011-000000294</x:t>
  </x:si>
  <x:si>
    <x:t>FA001-011-000000301</x:t>
  </x:si>
  <x:si>
    <x:t>FA001-011-000000322</x:t>
  </x:si>
  <x:si>
    <x:t>FA001-011-000000324</x:t>
  </x:si>
  <x:si>
    <x:t>YANZA MALACATUS MARIA CAROLINA</x:t>
  </x:si>
  <x:si>
    <x:t>FA001-011-000000349</x:t>
  </x:si>
  <x:si>
    <x:t>INTERNACIONAL CH#2790</x:t>
  </x:si>
  <x:si>
    <x:t>FA001-011-000000184</x:t>
  </x:si>
  <x:si>
    <x:t>BOLIVARIANO CH#42049</x:t>
  </x:si>
  <x:si>
    <x:t>FA001-011-000000275</x:t>
  </x:si>
  <x:si>
    <x:t>FA001-011-000000305</x:t>
  </x:si>
  <x:si>
    <x:t>MACHALA CH#15842</x:t>
  </x:si>
  <x:si>
    <x:t>FA001-011-000000306</x:t>
  </x:si>
  <x:si>
    <x:t>BOLIVARIANO CH#42050</x:t>
  </x:si>
  <x:si>
    <x:t>FA001-011-000000317</x:t>
  </x:si>
  <x:si>
    <x:t>BOLIVARIANO CH#8561</x:t>
  </x:si>
  <x:si>
    <x:t>FA001-011-000000319</x:t>
  </x:si>
  <x:si>
    <x:t>MACHALA CH#15986</x:t>
  </x:si>
  <x:si>
    <x:t>FA001-011-000000340</x:t>
  </x:si>
  <x:si>
    <x:t>Mes : JUL/2025</x:t>
  </x:si>
  <x:si>
    <x:t>FA001-011-000000130</x:t>
  </x:si>
  <x:si>
    <x:t>FA001-011-000000138</x:t>
  </x:si>
  <x:si>
    <x:t>FA001-011-000000167</x:t>
  </x:si>
  <x:si>
    <x:t>FA001-011-000000204</x:t>
  </x:si>
  <x:si>
    <x:t>FA001-011-000000216</x:t>
  </x:si>
  <x:si>
    <x:t>FA001-011-000000235</x:t>
  </x:si>
  <x:si>
    <x:t>FA001-011-000000261</x:t>
  </x:si>
  <x:si>
    <x:t>FA001-011-000000293</x:t>
  </x:si>
  <x:si>
    <x:t>FA001-011-000000296</x:t>
  </x:si>
  <x:si>
    <x:t>FA001-011-000000314</x:t>
  </x:si>
  <x:si>
    <x:t>FA001-011-000000316</x:t>
  </x:si>
  <x:si>
    <x:t>FA001-011-000000321</x:t>
  </x:si>
  <x:si>
    <x:t>FA001-011-000000331</x:t>
  </x:si>
  <x:si>
    <x:t>FA001-011-000000358</x:t>
  </x:si>
  <x:si>
    <x:t>FA001-011-000000360</x:t>
  </x:si>
  <x:si>
    <x:t>FA001-011-000000369</x:t>
  </x:si>
  <x:si>
    <x:t>FA001-011-000000370</x:t>
  </x:si>
  <x:si>
    <x:t>FA001-011-000000371</x:t>
  </x:si>
  <x:si>
    <x:t>FA001-011-000000372</x:t>
  </x:si>
  <x:si>
    <x:t>FA001-011-000000374</x:t>
  </x:si>
  <x:si>
    <x:t>FA001-011-000000391</x:t>
  </x:si>
  <x:si>
    <x:t>FA001-011-000000394</x:t>
  </x:si>
  <x:si>
    <x:t>NELSON NJC S.A.S.</x:t>
  </x:si>
  <x:si>
    <x:t>BOLIVARIANO CH#185</x:t>
  </x:si>
  <x:si>
    <x:t>FA001-011-000000217</x:t>
  </x:si>
  <x:si>
    <x:t>BOLIVARIANO CH#313</x:t>
  </x:si>
  <x:si>
    <x:t>FA001-011-000000221</x:t>
  </x:si>
  <x:si>
    <x:t>NELJOSUPER S.A.</x:t>
  </x:si>
  <x:si>
    <x:t>BOLIVARIANO CH#9041</x:t>
  </x:si>
  <x:si>
    <x:t>FA001-011-000000225</x:t>
  </x:si>
  <x:si>
    <x:t>PICHINCHA CH#6388</x:t>
  </x:si>
  <x:si>
    <x:t>FA001-011-000000287</x:t>
  </x:si>
  <x:si>
    <x:t>FA001-011-000000289</x:t>
  </x:si>
  <x:si>
    <x:t>BOLIVARIANO CH#42210</x:t>
  </x:si>
  <x:si>
    <x:t>FA001-011-000000313</x:t>
  </x:si>
  <x:si>
    <x:t>BOLIVARIANO Ch#42211</x:t>
  </x:si>
  <x:si>
    <x:t>FA001-011-000000336</x:t>
  </x:si>
  <x:si>
    <x:t>FA001-011-000000338</x:t>
  </x:si>
  <x:si>
    <x:t>PICHINCHA CH#6843</x:t>
  </x:si>
  <x:si>
    <x:t>FA001-011-000000354</x:t>
  </x:si>
  <x:si>
    <x:t>PACIFICO CH#390</x:t>
  </x:si>
  <x:si>
    <x:t>FA001-011-000000357</x:t>
  </x:si>
  <x:si>
    <x:t>BOLIVARIANO CH#15028</x:t>
  </x:si>
  <x:si>
    <x:t>FA001-011-000000365</x:t>
  </x:si>
  <x:si>
    <x:t>BOLIVARIANO CH#8617</x:t>
  </x:si>
  <x:si>
    <x:t>FA001-011-000000366</x:t>
  </x:si>
  <x:si>
    <x:t>BOLIVARIANO CH#503</x:t>
  </x:si>
  <x:si>
    <x:t>FA001-011-000000376</x:t>
  </x:si>
  <x:si>
    <x:t>FA001-011-000000390</x:t>
  </x:si>
  <x:si>
    <x:t>CARLOS</x:t>
  </x:si>
  <x:si>
    <x:t>Vendedor : Marco Fabre Bonilla</x:t>
  </x:si>
  <x:si>
    <x:t>NARANJO SANPEDRO MARIA ELENA</x:t>
  </x:si>
  <x:si>
    <x:t>FA001-011-000000308</x:t>
  </x:si>
  <x:si>
    <x:t>MENDOZA ESTRELLA DAVID EDGARDO</x:t>
  </x:si>
  <x:si>
    <x:t>AMBATO</x:t>
  </x:si>
  <x:si>
    <x:t>FA001-011-000000332</x:t>
  </x:si>
  <x:si>
    <x:t>DOMINGUEZ MENA MARIA EUGENIA</x:t>
  </x:si>
  <x:si>
    <x:t>FA001-011-000000350</x:t>
  </x:si>
  <x:si>
    <x:t>NUÑEZ MANUEL ALFREDO</x:t>
  </x:si>
  <x:si>
    <x:t>GUARANDA</x:t>
  </x:si>
  <x:si>
    <x:t>FA001-011-000000362</x:t>
  </x:si>
  <x:si>
    <x:t>GONZALEZ JACOME JOHANA LORENA</x:t>
  </x:si>
  <x:si>
    <x:t>FA001-011-000000363</x:t>
  </x:si>
  <x:si>
    <x:t>JAIRO DAMIAN CANTOS NAVARRETE</x:t>
  </x:si>
  <x:si>
    <x:t>JUNIN</x:t>
  </x:si>
  <x:si>
    <x:t>FA001-011-000000367</x:t>
  </x:si>
  <x:si>
    <x:t>PRODUBANCO CH#8145</x:t>
  </x:si>
  <x:si>
    <x:t>FA001-011-000000298</x:t>
  </x:si>
  <x:si>
    <x:t>MARCO</x:t>
  </x:si>
  <x:si>
    <x:t>Mes : AGO/2025</x:t>
  </x:si>
  <x:si>
    <x:t>FA001-011-000000248</x:t>
  </x:si>
  <x:si>
    <x:t>FA001-011-000000254</x:t>
  </x:si>
  <x:si>
    <x:t>FA001-011-000000257</x:t>
  </x:si>
  <x:si>
    <x:t>FA001-011-000000265</x:t>
  </x:si>
  <x:si>
    <x:t>FA001-011-000000269</x:t>
  </x:si>
  <x:si>
    <x:t>FA001-011-000000281</x:t>
  </x:si>
  <x:si>
    <x:t>FA001-011-000000295</x:t>
  </x:si>
  <x:si>
    <x:t>FA001-011-000000302</x:t>
  </x:si>
  <x:si>
    <x:t>FA001-011-000000315</x:t>
  </x:si>
  <x:si>
    <x:t>FA001-011-000000323</x:t>
  </x:si>
  <x:si>
    <x:t>FA001-011-000000327</x:t>
  </x:si>
  <x:si>
    <x:t>FA001-011-000000328</x:t>
  </x:si>
  <x:si>
    <x:t>FA001-011-000000329</x:t>
  </x:si>
  <x:si>
    <x:t>FA001-011-000000339</x:t>
  </x:si>
  <x:si>
    <x:t>FA001-011-000000341</x:t>
  </x:si>
  <x:si>
    <x:t>FA001-011-000000351</x:t>
  </x:si>
  <x:si>
    <x:t>FA001-011-000000373</x:t>
  </x:si>
  <x:si>
    <x:t>MORQUECHO LOPEZ ELISABETH JEAKEINE</x:t>
  </x:si>
  <x:si>
    <x:t>FA001-011-000000381</x:t>
  </x:si>
  <x:si>
    <x:t>HIDALGO BRAVO RONAL XAVIER</x:t>
  </x:si>
  <x:si>
    <x:t>FA001-011-000000387</x:t>
  </x:si>
  <x:si>
    <x:t>FA001-011-000000397</x:t>
  </x:si>
  <x:si>
    <x:t>FA001-011-000000399</x:t>
  </x:si>
  <x:si>
    <x:t>FA001-011-000000403</x:t>
  </x:si>
  <x:si>
    <x:t>FA001-011-000000407</x:t>
  </x:si>
  <x:si>
    <x:t>FA001-011-000000422</x:t>
  </x:si>
  <x:si>
    <x:t>FA001-011-000000430</x:t>
  </x:si>
  <x:si>
    <x:t>FA001-011-000000432</x:t>
  </x:si>
  <x:si>
    <x:t>INTERNACIONAL CH#2906</x:t>
  </x:si>
  <x:si>
    <x:t>FA001-011-000000286</x:t>
  </x:si>
  <x:si>
    <x:t>GARCIA QUIROZ JESUS MIGUEL</x:t>
  </x:si>
  <x:si>
    <x:t>PRODUBANCO CH#1815</x:t>
  </x:si>
  <x:si>
    <x:t>FA001-011-000000290</x:t>
  </x:si>
  <x:si>
    <x:t>AUSTRO CH#13031</x:t>
  </x:si>
  <x:si>
    <x:t>FA001-011-000000300</x:t>
  </x:si>
  <x:si>
    <x:t>PICHINCHA CH#6423</x:t>
  </x:si>
  <x:si>
    <x:t>FA001-011-000000312</x:t>
  </x:si>
  <x:si>
    <x:t>PICHINCHA CH#1180</x:t>
  </x:si>
  <x:si>
    <x:t>FA001-011-000000334</x:t>
  </x:si>
  <x:si>
    <x:t>PICHINCHA CH#1180-1181</x:t>
  </x:si>
  <x:si>
    <x:t>PICHINCHA CH#1181-1182</x:t>
  </x:si>
  <x:si>
    <x:t>FA001-011-000000335</x:t>
  </x:si>
  <x:si>
    <x:t>PICHINCHA CH#1182</x:t>
  </x:si>
  <x:si>
    <x:t>PACIFICO CH#3023</x:t>
  </x:si>
  <x:si>
    <x:t>FA001-011-000000375</x:t>
  </x:si>
  <x:si>
    <x:t>BOLIVARIANO CH#1237</x:t>
  </x:si>
  <x:si>
    <x:t>FA001-011-000000415</x:t>
  </x:si>
  <x:si>
    <x:t>MACHALA CH#16242</x:t>
  </x:si>
  <x:si>
    <x:t>FA001-011-000000423</x:t>
  </x:si>
  <x:si>
    <x:t>MEGAPOPULAR S.A.S.</x:t>
  </x:si>
  <x:si>
    <x:t>LATACUNGA</x:t>
  </x:si>
  <x:si>
    <x:t>FA001-011-000000333</x:t>
  </x:si>
  <x:si>
    <x:t>CABAY CABAY SHARON MAYTE</x:t>
  </x:si>
  <x:si>
    <x:t>PASCUALES</x:t>
  </x:si>
  <x:si>
    <x:t>FA001-011-000000412</x:t>
  </x:si>
  <x:si>
    <x:t>FA001-011-000000418</x:t>
  </x:si>
  <x:si>
    <x:t>MORALES TOBAR ARCESIO</x:t>
  </x:si>
  <x:si>
    <x:t>PICHINCHA CH#8052</x:t>
  </x:si>
  <x:si>
    <x:t>FA001-011-000000385</x:t>
  </x:si>
  <x:si>
    <x:t>Mes : SEP/2025</x:t>
  </x:si>
  <x:si>
    <x:t>JORGE CARRERA VALENCIA</x:t>
  </x:si>
  <x:si>
    <x:t>FA001-011-000000452</x:t>
  </x:si>
  <x:si>
    <x:t>FA001-011-000000464</x:t>
  </x:si>
  <x:si>
    <x:t>FA001-011-000000481</x:t>
  </x:si>
  <x:si>
    <x:t>FA001-011-000000486</x:t>
  </x:si>
  <x:si>
    <x:t>FA001-011-000000463</x:t>
  </x:si>
  <x:si>
    <x:t>FA001-011-000000465</x:t>
  </x:si>
  <x:si>
    <x:t>FA001-011-000000480</x:t>
  </x:si>
  <x:si>
    <x:t>FA001-011-000000477</x:t>
  </x:si>
  <x:si>
    <x:t>FA001-011-000000436</x:t>
  </x:si>
  <x:si>
    <x:t>UNIVERSIDAD POLITECNICA SALESIANA</x:t>
  </x:si>
  <x:si>
    <x:t>FA001-011-000000474</x:t>
  </x:si>
  <x:si>
    <x:t>FA001-011-000000457</x:t>
  </x:si>
  <x:si>
    <x:t>FA001-011-000000448</x:t>
  </x:si>
  <x:si>
    <x:t>FA001-011-000000447</x:t>
  </x:si>
  <x:si>
    <x:t>FA001-011-000000445</x:t>
  </x:si>
  <x:si>
    <x:t>FA001-011-000000441</x:t>
  </x:si>
  <x:si>
    <x:t>FA001-011-000000439</x:t>
  </x:si>
  <x:si>
    <x:t>FA001-011-000000414</x:t>
  </x:si>
  <x:si>
    <x:t>FA001-011-000000427</x:t>
  </x:si>
  <x:si>
    <x:t>FA001-011-000000395</x:t>
  </x:si>
  <x:si>
    <x:t>FA001-011-000000364</x:t>
  </x:si>
  <x:si>
    <x:t>FA001-011-000000380</x:t>
  </x:si>
  <x:si>
    <x:t>FA001-011-000000330</x:t>
  </x:si>
  <x:si>
    <x:t>FA001-011-000000326</x:t>
  </x:si>
  <x:si>
    <x:t>FA001-011-000000318</x:t>
  </x:si>
  <x:si>
    <x:t>FA001-011-000000304</x:t>
  </x:si>
  <x:si>
    <x:t>FA001-011-000000309</x:t>
  </x:si>
  <x:si>
    <x:t>FA001-011-000000320</x:t>
  </x:si>
  <x:si>
    <x:t>FA001-011-000000303</x:t>
  </x:si>
  <x:si>
    <x:t>FA001-011-000000310</x:t>
  </x:si>
  <x:si>
    <x:t>FA001-011-000000227</x:t>
  </x:si>
  <x:si>
    <x:t>FA001-011-000000228</x:t>
  </x:si>
  <x:si>
    <x:t>FA001-011-000000208</x:t>
  </x:si>
  <x:si>
    <x:t>FA001-011-000000137</x:t>
  </x:si>
  <x:si>
    <x:t>PACIFICO CH#9323</x:t>
  </x:si>
  <x:si>
    <x:t>FA001-011-000000311</x:t>
  </x:si>
  <x:si>
    <x:t>PICHINCHA CH#6862</x:t>
  </x:si>
  <x:si>
    <x:t>FA001-011-000000419</x:t>
  </x:si>
  <x:si>
    <x:t>PACIFICO CH#30002</x:t>
  </x:si>
  <x:si>
    <x:t>FA001-011-000000421</x:t>
  </x:si>
  <x:si>
    <x:t>MACHALA CH#16278</x:t>
  </x:si>
  <x:si>
    <x:t>FA001-011-000000451</x:t>
  </x:si>
  <x:si>
    <x:t>PICHINCHA CH#6874</x:t>
  </x:si>
  <x:si>
    <x:t>FA001-011-000000454</x:t>
  </x:si>
  <x:si>
    <x:t>MACHALA CH#16328</x:t>
  </x:si>
  <x:si>
    <x:t>FA001-011-000000473</x:t>
  </x:si>
  <x:si>
    <x:t>MOROCHO JANETA RAUL OSWALDO</x:t>
  </x:si>
  <x:si>
    <x:t>FA001-011-000000307</x:t>
  </x:si>
  <x:si>
    <x:t>JOSE LUIS ITURRALDE LOZADA</x:t>
  </x:si>
  <x:si>
    <x:t>FA001-011-000000353</x:t>
  </x:si>
  <x:si>
    <x:t>VEGA RAZO MARIA AUGUSTA</x:t>
  </x:si>
  <x:si>
    <x:t>FA001-011-000000384</x:t>
  </x:si>
  <x:si>
    <x:t>CORDOVA OÑATE JULIA PAULINA</x:t>
  </x:si>
  <x:si>
    <x:t>FA001-011-000000383</x:t>
  </x:si>
  <x:si>
    <x:t>YAGUACHI HIPO NOE JESUS</x:t>
  </x:si>
  <x:si>
    <x:t>FA001-011-000000386</x:t>
  </x:si>
  <x:si>
    <x:t>TIBAN JOSE HERMEL</x:t>
  </x:si>
  <x:si>
    <x:t>FA001-011-000000442</x:t>
  </x:si>
  <x:si>
    <x:t>ALAJO GUEVARA PATRICIA ISABEL</x:t>
  </x:si>
  <x:si>
    <x:t>FA001-011-000000443</x:t>
  </x:si>
  <x:si>
    <x:t>Mes : OCT/2025</x:t>
  </x:si>
  <x:si>
    <x:t>001-011-000000171</x:t>
  </x:si>
  <x:si>
    <x:t>001-011-000000183</x:t>
  </x:si>
  <x:si>
    <x:t>001-011-000000181</x:t>
  </x:si>
  <x:si>
    <x:t>001-011-000000208</x:t>
  </x:si>
  <x:si>
    <x:t>001-011-000000302</x:t>
  </x:si>
  <x:si>
    <x:t>001-011-000000315</x:t>
  </x:si>
  <x:si>
    <x:t>001-011-000000337</x:t>
  </x:si>
  <x:si>
    <x:t>001-011-000000379</x:t>
  </x:si>
  <x:si>
    <x:t>VEGA ROSALES XIMENA ALEXANDRA</x:t>
  </x:si>
  <x:si>
    <x:t>001-011-000000377</x:t>
  </x:si>
  <x:si>
    <x:t>001-011-000000392</x:t>
  </x:si>
  <x:si>
    <x:t>001-011-000000406</x:t>
  </x:si>
  <x:si>
    <x:t>001-011-000000413</x:t>
  </x:si>
  <x:si>
    <x:t>ZAMORACHINCHIPE</x:t>
  </x:si>
  <x:si>
    <x:t>001-011-000000426</x:t>
  </x:si>
  <x:si>
    <x:t>001-011-000000435</x:t>
  </x:si>
  <x:si>
    <x:t>001-011-000000445</x:t>
  </x:si>
  <x:si>
    <x:t>001-011-000000456</x:t>
  </x:si>
  <x:si>
    <x:t>001-011-000000466</x:t>
  </x:si>
  <x:si>
    <x:t>001-011-000000468</x:t>
  </x:si>
  <x:si>
    <x:t>001-011-000000476</x:t>
  </x:si>
  <x:si>
    <x:t>001-011-000000479</x:t>
  </x:si>
  <x:si>
    <x:t>001-011-000000484</x:t>
  </x:si>
  <x:si>
    <x:t>001-011-000000490</x:t>
  </x:si>
  <x:si>
    <x:t>001-011-000000501</x:t>
  </x:si>
  <x:si>
    <x:t>001-011-000000507</x:t>
  </x:si>
  <x:si>
    <x:t>001-011-000000511</x:t>
  </x:si>
  <x:si>
    <x:t>001-011-000000512</x:t>
  </x:si>
  <x:si>
    <x:t>PICHINCHA CH#2400</x:t>
  </x:si>
  <x:si>
    <x:t>001-011-000000492</x:t>
  </x:si>
  <x:si>
    <x:t>PICHINCHA CH#6876</x:t>
  </x:si>
  <x:si>
    <x:t>001-011-000000478</x:t>
  </x:si>
  <x:si>
    <x:t>BOLIVARIANO CH#8789</x:t>
  </x:si>
  <x:si>
    <x:t>001-011-000000505</x:t>
  </x:si>
  <x:si>
    <x:t>PACIFICO CH#6503</x:t>
  </x:si>
  <x:si>
    <x:t>001-011-000000524</x:t>
  </x:si>
  <x:si>
    <x:t>PICHINCHA CH#6886</x:t>
  </x:si>
  <x:si>
    <x:t>001-011-000000500</x:t>
  </x:si>
  <x:si>
    <x:t>VIZCAINO HERRERA JANETH ELIZABETH</x:t>
  </x:si>
  <x:si>
    <x:t>IBARRA</x:t>
  </x:si>
  <x:si>
    <x:t>001-011-000000402</x:t>
  </x:si>
  <x:si>
    <x:t>CHICAIZA DELGADO STEEB ALBERTO</x:t>
  </x:si>
  <x:si>
    <x:t>001-011-000000401</x:t>
  </x:si>
  <x:si>
    <x:t>001-011-000000424</x:t>
  </x:si>
  <x:si>
    <x:t>001-011-000000469</x:t>
  </x:si>
  <x:si>
    <x:t>OFFICE SUMOFF S. A. S.</x:t>
  </x:si>
  <x:si>
    <x:t>001-011-000000497</x:t>
  </x:si>
  <x:si>
    <x:t>Mes : NOV/2025</x:t>
  </x:si>
  <x:si>
    <x:t>001-011-000000528</x:t>
  </x:si>
  <x:si>
    <x:t>001-011-000000537</x:t>
  </x:si>
  <x:si>
    <x:t>001-011-000000535</x:t>
  </x:si>
  <x:si>
    <x:t>001-011-000000533</x:t>
  </x:si>
  <x:si>
    <x:t>001-011-000000525</x:t>
  </x:si>
  <x:si>
    <x:t>001-011-000000510</x:t>
  </x:si>
  <x:si>
    <x:t>001-011-000000496</x:t>
  </x:si>
  <x:si>
    <x:t>001-011-000000494</x:t>
  </x:si>
  <x:si>
    <x:t>001-011-000000487</x:t>
  </x:si>
  <x:si>
    <x:t>001-011-000000489</x:t>
  </x:si>
  <x:si>
    <x:t>001-011-000000485</x:t>
  </x:si>
  <x:si>
    <x:t>001-011-000000462</x:t>
  </x:si>
  <x:si>
    <x:t>001-011-000000404</x:t>
  </x:si>
  <x:si>
    <x:t>001-011-000000539</x:t>
  </x:si>
  <x:si>
    <x:t>CH#8806 BOLIVARIANO</x:t>
  </x:si>
  <x:si>
    <x:t>001-011-000000531</x:t>
  </x:si>
  <x:si>
    <x:t>CH#8810 BOLIVARIANO</x:t>
  </x:si>
  <x:si>
    <x:t>001-011-000000536</x:t>
  </x:si>
  <x:si>
    <x:t>CH#13043 GUAYAQUIL</x:t>
  </x:si>
  <x:si>
    <x:t>001-011-000000523</x:t>
  </x:si>
  <x:si>
    <x:t>CH#8812 BOLIVARIANO</x:t>
  </x:si>
  <x:si>
    <x:t>001-011-000000540</x:t>
  </x:si>
  <x:si>
    <x:t>CH#2767 PICHINCHA</x:t>
  </x:si>
  <x:si>
    <x:t>001-011-000000472</x:t>
  </x:si>
  <x:si>
    <x:t>CH#2158 PICHINCHA</x:t>
  </x:si>
  <x:si>
    <x:t>001-011-000000470</x:t>
  </x:si>
  <x:si>
    <x:t>001-011-000000417</x:t>
  </x:si>
  <x:si>
    <x:t>001-011-000000541</x:t>
  </x:si>
  <x:si>
    <x:t>001-011-000000431</x:t>
  </x:si>
  <x:si>
    <x:t>PAREDES HEREDIA HILDA CONSUELO</x:t>
  </x:si>
  <x:si>
    <x:t>PUJILI</x:t>
  </x:si>
  <x:si>
    <x:t>001-011-000000450</x:t>
  </x:si>
  <x:si>
    <x:t>Mes : DIC/2025</x:t>
  </x:si>
  <x:si>
    <x:t>001-010-000002842</x:t>
  </x:si>
  <x:si>
    <x:t>001-010-000003128</x:t>
  </x:si>
  <x:si>
    <x:t>001-010-000003129</x:t>
  </x:si>
  <x:si>
    <x:t>001-011-000000303</x:t>
  </x:si>
  <x:si>
    <x:t>001-011-000000356</x:t>
  </x:si>
  <x:si>
    <x:t>001-011-000000382</x:t>
  </x:si>
  <x:si>
    <x:t>001-011-000000398</x:t>
  </x:si>
  <x:si>
    <x:t>001-011-000000420</x:t>
  </x:si>
  <x:si>
    <x:t>001-011-000000434</x:t>
  </x:si>
  <x:si>
    <x:t>001-011-000000437</x:t>
  </x:si>
  <x:si>
    <x:t>001-011-000000440</x:t>
  </x:si>
  <x:si>
    <x:t>001-011-000000446</x:t>
  </x:si>
  <x:si>
    <x:t>001-011-000000449</x:t>
  </x:si>
  <x:si>
    <x:t>001-011-000000458</x:t>
  </x:si>
  <x:si>
    <x:t>001-011-000000459</x:t>
  </x:si>
  <x:si>
    <x:t>001-011-000000467</x:t>
  </x:si>
  <x:si>
    <x:t>001-011-000000475</x:t>
  </x:si>
  <x:si>
    <x:t>001-011-000000482</x:t>
  </x:si>
  <x:si>
    <x:t>001-011-000000488</x:t>
  </x:si>
  <x:si>
    <x:t>001-011-000000495</x:t>
  </x:si>
  <x:si>
    <x:t>001-011-000000504</x:t>
  </x:si>
  <x:si>
    <x:t>001-011-000000514</x:t>
  </x:si>
  <x:si>
    <x:t>001-011-000000516</x:t>
  </x:si>
  <x:si>
    <x:t>001-011-000000522</x:t>
  </x:si>
  <x:si>
    <x:t>001-011-000000526</x:t>
  </x:si>
  <x:si>
    <x:t>001-011-000000527</x:t>
  </x:si>
  <x:si>
    <x:t>001-011-000000538</x:t>
  </x:si>
  <x:si>
    <x:t>001-011-000000544</x:t>
  </x:si>
  <x:si>
    <x:t>001-011-000000546</x:t>
  </x:si>
  <x:si>
    <x:t>001-011-000000547</x:t>
  </x:si>
  <x:si>
    <x:t>001-011-000000549</x:t>
  </x:si>
  <x:si>
    <x:t>001-011-000000550</x:t>
  </x:si>
  <x:si>
    <x:t>001-011-000000562</x:t>
  </x:si>
  <x:si>
    <x:t>001-011-000000563</x:t>
  </x:si>
  <x:si>
    <x:t>001-011-000000567</x:t>
  </x:si>
  <x:si>
    <x:t>001-011-000000569</x:t>
  </x:si>
  <x:si>
    <x:t>CH#6919 PICHINCHA</x:t>
  </x:si>
  <x:si>
    <x:t>001-011-000000553</x:t>
  </x:si>
  <x:si>
    <x:t>CH#6908 PICHINCHA</x:t>
  </x:si>
  <x:si>
    <x:t>001-011-000000542</x:t>
  </x:si>
  <x:si>
    <x:t>CH#1361 PICHINCHA</x:t>
  </x:si>
  <x:si>
    <x:t>001-011-000000444</x:t>
  </x:si>
  <x:si>
    <x:t>CH#8849 BOLIVARIANO</x:t>
  </x:si>
  <x:si>
    <x:t>001-011-000000561</x:t>
  </x:si>
  <x:si>
    <x:t>CH#6921 PICHINCHA</x:t>
  </x:si>
  <x:si>
    <x:t>001-011-000000558</x:t>
  </x:si>
  <x:si>
    <x:t>CH#1362 PICHINCHA</x:t>
  </x:si>
  <x:si>
    <x:t>001-011-000000555</x:t>
  </x:si>
  <x:si>
    <x:t>Mera Aguas Carlos Armando</x:t>
  </x:si>
  <x:si>
    <x:t>001-011-000000400</x:t>
  </x:si>
  <x:si>
    <x:t>001-011-000000453</x:t>
  </x:si>
  <x:si>
    <x:t>001-011-000000508</x:t>
  </x:si>
  <x:si>
    <x:t>QUITO</x:t>
  </x:si>
  <x:si>
    <x:t>001-011-000000513</x:t>
  </x:si>
  <x:si>
    <x:t>001-011-000000534</x:t>
  </x:si>
  <x:si>
    <x:t>Mes : ENE/2026</x:t>
  </x:si>
  <x:si>
    <x:t>001-011-000000224</x:t>
  </x:si>
  <x:si>
    <x:t>001-011-000000455</x:t>
  </x:si>
  <x:si>
    <x:t>001-011-000000461</x:t>
  </x:si>
  <x:si>
    <x:t>001-011-000000498</x:t>
  </x:si>
  <x:si>
    <x:t>001-011-000000515</x:t>
  </x:si>
  <x:si>
    <x:t>001-011-000000519</x:t>
  </x:si>
  <x:si>
    <x:t>MEDRANDA CEDEÑO MAYRA ALEJANDRA</x:t>
  </x:si>
  <x:si>
    <x:t>001-011-000000520</x:t>
  </x:si>
  <x:si>
    <x:t>001-011-000000521</x:t>
  </x:si>
  <x:si>
    <x:t>001-011-000000532</x:t>
  </x:si>
  <x:si>
    <x:t>001-011-000000551</x:t>
  </x:si>
  <x:si>
    <x:t>001-011-000000552</x:t>
  </x:si>
  <x:si>
    <x:t>001-011-000000559</x:t>
  </x:si>
  <x:si>
    <x:t>001-011-000000565</x:t>
  </x:si>
  <x:si>
    <x:t>001-011-000000568</x:t>
  </x:si>
  <x:si>
    <x:t>001-011-000000570</x:t>
  </x:si>
  <x:si>
    <x:t>001-011-000000571</x:t>
  </x:si>
  <x:si>
    <x:t>001-011-000000574</x:t>
  </x:si>
  <x:si>
    <x:t>001-011-000000576</x:t>
  </x:si>
  <x:si>
    <x:t>001-011-000000578</x:t>
  </x:si>
  <x:si>
    <x:t>001-011-000000582</x:t>
  </x:si>
  <x:si>
    <x:t>001-011-000000585</x:t>
  </x:si>
  <x:si>
    <x:t>001-011-000000586</x:t>
  </x:si>
  <x:si>
    <x:t>001-011-000000587</x:t>
  </x:si>
  <x:si>
    <x:t>VALENCIA GOMEZ LEONEL ENRIQUE</x:t>
  </x:si>
  <x:si>
    <x:t>001-011-000000595</x:t>
  </x:si>
  <x:si>
    <x:t>001-011-000000598</x:t>
  </x:si>
  <x:si>
    <x:t>CH#8926 BOLIVARIANO</x:t>
  </x:si>
  <x:si>
    <x:t>001-011-000000602</x:t>
  </x:si>
  <x:si>
    <x:t>CH#6942 PICHINCHA</x:t>
  </x:si>
  <x:si>
    <x:t>001-011-000000577</x:t>
  </x:si>
  <x:si>
    <x:t>001-011-000000579</x:t>
  </x:si>
  <x:si>
    <x:t>001-011-000000608</x:t>
  </x:si>
  <x:si>
    <x:t>TODOENPAPELERIA</x:t>
  </x:si>
  <x:si>
    <x:t>CH#2688 PRODUBANCO</x:t>
  </x:si>
  <x:si>
    <x:t>001-011-000000518</x:t>
  </x:si>
  <x:si>
    <x:t>001-011-000000442</x:t>
  </x:si>
  <x:si>
    <x:t>001-011-000000471</x:t>
  </x:si>
  <x:si>
    <x:t>001-011-000000543</x:t>
  </x:si>
  <x:si>
    <x:t>001-011-000000600</x:t>
  </x:si>
  <x:si>
    <x:t>VERONICA ALEXANDRA EGAS CORDOVA</x:t>
  </x:si>
  <x:si>
    <x:t>001-011-000000601</x:t>
  </x:si>
  <x:si>
    <x:t>001-011-000000605</x:t>
  </x:si>
  <x:si>
    <x:t>DISTRIBUIDORA GAMA CIA. LTDA.</x:t>
  </x:si>
  <x:si>
    <x:t>CH#17343 PRODUBANCO</x:t>
  </x:si>
  <x:si>
    <x:t>001-011-000000612</x:t>
  </x:si>
  <x:si>
    <x:t>Mes : FEB/2026</x:t>
  </x:si>
  <x:si>
    <x:t>001-011-000000615</x:t>
  </x:si>
  <x:si>
    <x:t>ZAMORA CHINCHIPE</x:t>
  </x:si>
  <x:si>
    <x:t>001-011-000000557</x:t>
  </x:si>
  <x:si>
    <x:t>001-011-000000618</x:t>
  </x:si>
  <x:si>
    <x:t>001-011-000000581</x:t>
  </x:si>
  <x:si>
    <x:t>NAULA RODRIGUEZ DOLORES ALICIA</x:t>
  </x:si>
  <x:si>
    <x:t>001-011-000000603</x:t>
  </x:si>
  <x:si>
    <x:t>001-011-000000610</x:t>
  </x:si>
  <x:si>
    <x:t>001-011-000000548</x:t>
  </x:si>
  <x:si>
    <x:t>001-011-000000554</x:t>
  </x:si>
  <x:si>
    <x:t>001-011-000000564</x:t>
  </x:si>
  <x:si>
    <x:t>001-011-000000593</x:t>
  </x:si>
  <x:si>
    <x:t>001-011-000000627</x:t>
  </x:si>
  <x:si>
    <x:t>001-011-000000583</x:t>
  </x:si>
  <x:si>
    <x:t>001-011-000000588</x:t>
  </x:si>
  <x:si>
    <x:t>001-011-000000591</x:t>
  </x:si>
  <x:si>
    <x:t>001-011-000000611</x:t>
  </x:si>
  <x:si>
    <x:t>001-011-000000556</x:t>
  </x:si>
  <x:si>
    <x:t>001-011-000000621</x:t>
  </x:si>
  <x:si>
    <x:t>SAMBORONDON</x:t>
  </x:si>
  <x:si>
    <x:t>001-011-000000529</x:t>
  </x:si>
  <x:si>
    <x:t>001-011-000000560</x:t>
  </x:si>
  <x:si>
    <x:t>CH#16833 MACHALA</x:t>
  </x:si>
  <x:si>
    <x:t>001-011-000000616</x:t>
  </x:si>
  <x:si>
    <x:t>CH#13367 GUAYAQUIL</x:t>
  </x:si>
  <x:si>
    <x:t>001-011-000000630</x:t>
  </x:si>
  <x:si>
    <x:t>CH#6957 PICHINCHA</x:t>
  </x:si>
  <x:si>
    <x:t>001-011-000000628</x:t>
  </x:si>
  <x:si>
    <x:t>CH#225 BOLIVARIANO</x:t>
  </x:si>
  <x:si>
    <x:t>001-011-000000530</x:t>
  </x:si>
  <x:si>
    <x:t>CH#2774 PRODUBANCO</x:t>
  </x:si>
  <x:si>
    <x:t>001-011-000000573</x:t>
  </x:si>
  <x:si>
    <x:t>001-011-000000609</x:t>
  </x:si>
  <x:si>
    <x:t>PEÑAFIEL DIAZ MARIA DE LOURDES</x:t>
  </x:si>
  <x:si>
    <x:t>001-011-000000606</x:t>
  </x:si>
  <x:si>
    <x:t>DISTRIBUIDORA GAMA CIA LTDA</x:t>
  </x:si>
  <x:si>
    <x:t>001-011-000000575</x:t>
  </x:si>
  <x:si>
    <x:t>001-011-000000617</x:t>
  </x:si>
  <x:si>
    <x:t>Mes : MAR/2026</x:t>
  </x:si>
  <x:si>
    <x:t>001-011-000000697</x:t>
  </x:si>
  <x:si>
    <x:t>001-011-000000675</x:t>
  </x:si>
  <x:si>
    <x:t>001-011-000000649</x:t>
  </x:si>
  <x:si>
    <x:t>001-011-000000681</x:t>
  </x:si>
  <x:si>
    <x:t>VERGARA SANCHEZ COLOMBIA DE JESUS</x:t>
  </x:si>
  <x:si>
    <x:t>001-011-000000663</x:t>
  </x:si>
  <x:si>
    <x:t>001-011-000000664</x:t>
  </x:si>
  <x:si>
    <x:t>001-011-000000657</x:t>
  </x:si>
  <x:si>
    <x:t>001-011-000000632</x:t>
  </x:si>
  <x:si>
    <x:t>001-011-000000634</x:t>
  </x:si>
  <x:si>
    <x:t>001-011-000000631</x:t>
  </x:si>
  <x:si>
    <x:t>001-011-000000620</x:t>
  </x:si>
  <x:si>
    <x:t>001-011-000000629</x:t>
  </x:si>
  <x:si>
    <x:t>001-011-000000597</x:t>
  </x:si>
  <x:si>
    <x:t>001-011-000000589</x:t>
  </x:si>
  <x:si>
    <x:t>001-011-000000622</x:t>
  </x:si>
  <x:si>
    <x:t>001-011-000000590</x:t>
  </x:si>
  <x:si>
    <x:t>001-011-000000640</x:t>
  </x:si>
  <x:si>
    <x:t>CH#16973 MACHALA</x:t>
  </x:si>
  <x:si>
    <x:t>001-011-000000646</x:t>
  </x:si>
  <x:si>
    <x:t>CH#17094 MACHALA</x:t>
  </x:si>
  <x:si>
    <x:t>001-011-000000661</x:t>
  </x:si>
  <x:si>
    <x:t>CH#342 PRODUBANCO</x:t>
  </x:si>
  <x:si>
    <x:t>001-011-000000652</x:t>
  </x:si>
  <x:si>
    <x:t>CH#946 PACIFICO</x:t>
  </x:si>
  <x:si>
    <x:t>001-011-000000584</x:t>
  </x:si>
  <x:si>
    <x:t>CH#43289 BOLIVARIANO</x:t>
  </x:si>
  <x:si>
    <x:t>001-011-000000639</x:t>
  </x:si>
  <x:si>
    <x:t>CH#43290 BOLIVARIANO</x:t>
  </x:si>
  <x:si>
    <x:t>001-011-000000641</x:t>
  </x:si>
  <x:si>
    <x:t>001-011-000000643</x:t>
  </x:si>
  <x:si>
    <x:t>001-011-000000644</x:t>
  </x:si>
  <x:si>
    <x:t>CH#13214 GUAYAQUIL</x:t>
  </x:si>
  <x:si>
    <x:t>001-011-000000660</x:t>
  </x:si>
  <x:si>
    <x:t>TECHINSPIRE S.A.S.</x:t>
  </x:si>
  <x:si>
    <x:t>001-011-000000705</x:t>
  </x:si>
  <x:si>
    <x:t>DISTRIBUCIONES Y COMERCIALIZADORA DISTRICOMVEGA CIA. LTDA.</x:t>
  </x:si>
  <x:si>
    <x:t>SUCUMBIOS</x:t>
  </x:si>
  <x:si>
    <x:t>001-011-000000662</x:t>
  </x:si>
  <x:si>
    <x:t>001-011-000000614</x:t>
  </x:si>
  <x:si>
    <x:t>001-011-000000651</x:t>
  </x:si>
  <x:si>
    <x:t>Mes : ABR/2026</x:t>
  </x:si>
  <x:si>
    <x:t>NOTEBOOK PAPELERÍA S.A.S.</x:t>
  </x:si>
  <x:si>
    <x:t>001-011-000000768</x:t>
  </x:si>
  <x:si>
    <x:t>001-011-000000775</x:t>
  </x:si>
  <x:si>
    <x:t>001-011-000000720</x:t>
  </x:si>
  <x:si>
    <x:t>001-011-000000759</x:t>
  </x:si>
  <x:si>
    <x:t>001-011-000000710</x:t>
  </x:si>
  <x:si>
    <x:t>001-011-000000711</x:t>
  </x:si>
  <x:si>
    <x:t>001-011-000000668</x:t>
  </x:si>
  <x:si>
    <x:t>001-011-000000761</x:t>
  </x:si>
  <x:si>
    <x:t>001-011-000000737</x:t>
  </x:si>
  <x:si>
    <x:t>001-011-000000728</x:t>
  </x:si>
  <x:si>
    <x:t>001-011-000000732</x:t>
  </x:si>
  <x:si>
    <x:t>001-011-000000735</x:t>
  </x:si>
  <x:si>
    <x:t>001-011-000000676</x:t>
  </x:si>
  <x:si>
    <x:t>001-011-000000666</x:t>
  </x:si>
  <x:si>
    <x:t>001-011-000000667</x:t>
  </x:si>
  <x:si>
    <x:t>001-011-000000685</x:t>
  </x:si>
  <x:si>
    <x:t>001-011-000000638</x:t>
  </x:si>
  <x:si>
    <x:t>001-011-000000654</x:t>
  </x:si>
  <x:si>
    <x:t>001-011-000000636</x:t>
  </x:si>
  <x:si>
    <x:t>001-011-000000633</x:t>
  </x:si>
  <x:si>
    <x:t>001-011-000000637</x:t>
  </x:si>
  <x:si>
    <x:t>001-011-000000635</x:t>
  </x:si>
  <x:si>
    <x:t>001-011-000000368</x:t>
  </x:si>
  <x:si>
    <x:t>CH#810 GUAYAQUIL</x:t>
  </x:si>
  <x:si>
    <x:t>001-011-000000738</x:t>
  </x:si>
  <x:si>
    <x:t>CH#317 AUSTRO</x:t>
  </x:si>
  <x:si>
    <x:t>001-011-000000594</x:t>
  </x:si>
  <x:si>
    <x:t>001-011-000000599</x:t>
  </x:si>
  <x:si>
    <x:t>CH#6974 PICHINCHA</x:t>
  </x:si>
  <x:si>
    <x:t>001-011-000000704</x:t>
  </x:si>
  <x:si>
    <x:t>CH#17145 MACHALA</x:t>
  </x:si>
  <x:si>
    <x:t>001-011-000000747</x:t>
  </x:si>
  <x:si>
    <x:t>CH#9048 BOLIVARIANO</x:t>
  </x:si>
  <x:si>
    <x:t>001-011-000000731</x:t>
  </x:si>
  <x:si>
    <x:t>CH#17181 MACHALA</x:t>
  </x:si>
  <x:si>
    <x:t>001-011-000000774</x:t>
  </x:si>
  <x:si>
    <x:t>LOWNDES MORILLO ROBERTO JAVIER</x:t>
  </x:si>
  <x:si>
    <x:t>ESMERALDAS</x:t>
  </x:si>
  <x:si>
    <x:t>001-011-000000772</x:t>
  </x:si>
  <x:si>
    <x:t>001-011-000000623</x:t>
  </x:si>
  <x:si>
    <x:t>Mes : MAY/2026</x:t>
  </x:si>
  <x:si>
    <x:t>001-011-000000750</x:t>
  </x:si>
  <x:si>
    <x:t>001-011-000000713</x:t>
  </x:si>
  <x:si>
    <x:t>001-011-000000680</x:t>
  </x:si>
  <x:si>
    <x:t>001-011-000000592</x:t>
  </x:si>
  <x:si>
    <x:t>001-011-000000709</x:t>
  </x:si>
  <x:si>
    <x:t>001-011-000000642</x:t>
  </x:si>
  <x:si>
    <x:t>001-011-000000650</x:t>
  </x:si>
  <x:si>
    <x:t>001-011-000000672</x:t>
  </x:si>
  <x:si>
    <x:t>001-011-000000673</x:t>
  </x:si>
  <x:si>
    <x:t>001-011-000000674</x:t>
  </x:si>
  <x:si>
    <x:t>001-011-000000679</x:t>
  </x:si>
  <x:si>
    <x:t>001-011-000000702</x:t>
  </x:si>
  <x:si>
    <x:t>001-011-000000729</x:t>
  </x:si>
  <x:si>
    <x:t>001-011-000000753</x:t>
  </x:si>
  <x:si>
    <x:t>001-011-000000769</x:t>
  </x:si>
  <x:si>
    <x:t>001-011-000000783</x:t>
  </x:si>
  <x:si>
    <x:t>001-011-000000811</x:t>
  </x:si>
  <x:si>
    <x:t>001-011-000000647</x:t>
  </x:si>
  <x:si>
    <x:t>001-011-000000715</x:t>
  </x:si>
  <x:si>
    <x:t>001-011-000000758</x:t>
  </x:si>
  <x:si>
    <x:t>001-011-000000656</x:t>
  </x:si>
  <x:si>
    <x:t>001-011-000000684</x:t>
  </x:si>
  <x:si>
    <x:t>001-011-000000752</x:t>
  </x:si>
  <x:si>
    <x:t>001-011-000000718</x:t>
  </x:si>
  <x:si>
    <x:t>001-011-000000773</x:t>
  </x:si>
  <x:si>
    <x:t>001-011-000000653</x:t>
  </x:si>
  <x:si>
    <x:t>001-011-000000734</x:t>
  </x:si>
  <x:si>
    <x:t>001-011-000000748</x:t>
  </x:si>
  <x:si>
    <x:t>001-011-000000749</x:t>
  </x:si>
  <x:si>
    <x:t>001-011-000000787</x:t>
  </x:si>
  <x:si>
    <x:t>001-011-000000719</x:t>
  </x:si>
  <x:si>
    <x:t>001-011-000000823</x:t>
  </x:si>
  <x:si>
    <x:t>001-011-000000648</x:t>
  </x:si>
  <x:si>
    <x:t>001-011-000000763</x:t>
  </x:si>
  <x:si>
    <x:t>001-011-000000803</x:t>
  </x:si>
  <x:si>
    <x:t>001-011-000000678</x:t>
  </x:si>
  <x:si>
    <x:t>001-011-000000682</x:t>
  </x:si>
  <x:si>
    <x:t>001-011-000000765</x:t>
  </x:si>
  <x:si>
    <x:t>001-011-000000721</x:t>
  </x:si>
  <x:si>
    <x:t>001-011-000000756</x:t>
  </x:si>
  <x:si>
    <x:t>001-011-000000782</x:t>
  </x:si>
  <x:si>
    <x:t>001-011-000000829</x:t>
  </x:si>
  <x:si>
    <x:t>001-011-000000717</x:t>
  </x:si>
  <x:si>
    <x:t>001-011-000000843</x:t>
  </x:si>
  <x:si>
    <x:t>001-011-000000712</x:t>
  </x:si>
  <x:si>
    <x:t>001-011-000000755</x:t>
  </x:si>
  <x:si>
    <x:t>001-011-000000794</x:t>
  </x:si>
  <x:si>
    <x:t>001-011-000000818</x:t>
  </x:si>
  <x:si>
    <x:t>001-011-000000847</x:t>
  </x:si>
  <x:si>
    <x:t>CH#3800 PICHINCHA</x:t>
  </x:si>
  <x:si>
    <x:t>001-011-000000687</x:t>
  </x:si>
  <x:si>
    <x:t>CH#9062 BOLIVARIANO</x:t>
  </x:si>
  <x:si>
    <x:t>001-011-000000798</x:t>
  </x:si>
  <x:si>
    <x:t>CH#43529 BOLIVARIANO</x:t>
  </x:si>
  <x:si>
    <x:t>001-011-000000655</x:t>
  </x:si>
  <x:si>
    <x:t>001-011-000000665</x:t>
  </x:si>
  <x:si>
    <x:t>CH#318 PRODUBANCO</x:t>
  </x:si>
  <x:si>
    <x:t>001-011-000000714</x:t>
  </x:si>
  <x:si>
    <x:t>CH#43532 BOLIVARIANO</x:t>
  </x:si>
  <x:si>
    <x:t>001-011-000000826</x:t>
  </x:si>
  <x:si>
    <x:t>CH#43530 BOLIVARIANO</x:t>
  </x:si>
  <x:si>
    <x:t>001-011-000000733</x:t>
  </x:si>
  <x:si>
    <x:t>001-011-000000739</x:t>
  </x:si>
  <x:si>
    <x:t>001-011-000000740</x:t>
  </x:si>
  <x:si>
    <x:t>CH#349 PRODUBANCO</x:t>
  </x:si>
  <x:si>
    <x:t>CH#387 AUSTRO</x:t>
  </x:si>
  <x:si>
    <x:t>001-011-000000625</x:t>
  </x:si>
  <x:si>
    <x:t>CH#43531 BOLIVARIANO</x:t>
  </x:si>
  <x:si>
    <x:t>001-011-000000804</x:t>
  </x:si>
  <x:si>
    <x:t>001-011-000000806</x:t>
  </x:si>
  <x:si>
    <x:t>CH#6979 PICHINCHA</x:t>
  </x:si>
  <x:si>
    <x:t>001-011-000000743</x:t>
  </x:si>
  <x:si>
    <x:t>001-011-000000766</x:t>
  </x:si>
  <x:si>
    <x:t>001-011-000000767</x:t>
  </x:si>
  <x:si>
    <x:t>CH#6983 PICHINCHA</x:t>
  </x:si>
  <x:si>
    <x:t>001-011-000000791</x:t>
  </x:si>
  <x:si>
    <x:t>001-011-000000846</x:t>
  </x:si>
  <x:si>
    <x:t>CH#2839 PRODUBANCO</x:t>
  </x:si>
  <x:si>
    <x:t>001-011-000000645</x:t>
  </x:si>
  <x:si>
    <x:t>001-011-000000701</x:t>
  </x:si>
  <x:si>
    <x:t>CH#2840 PRODUBANCO</x:t>
  </x:si>
  <x:si>
    <x:t>CH#397 AUSTRO</x:t>
  </x:si>
  <x:si>
    <x:t>001-011-000000624</x:t>
  </x:si>
  <x:si>
    <x:t>001-011-000000626</x:t>
  </x:si>
  <x:si>
    <x:t>001-011-000000796</x:t>
  </x:si>
  <x:si>
    <x:t>001-011-000000792</x:t>
  </x:si>
  <x:si>
    <x:t>001-011-000000815</x:t>
  </x:si>
  <x:si>
    <x:t>TUPAPEL S.A.S.</x:t>
  </x:si>
  <x:si>
    <x:t>001-011-000000822</x:t>
  </x:si>
  <x:si>
    <x:t>CALLE RODRIGUEZ JESSENIA ELIZABETH</x:t>
  </x:si>
  <x:si>
    <x:t>CH#140 PICHINCHA</x:t>
  </x:si>
  <x:si>
    <x:t>001-011-000000751</x:t>
  </x:si>
  <x:si>
    <x:t>Mes : JUN/2026</x:t>
  </x:si>
  <x:si>
    <x:t>001-011-000000789</x:t>
  </x:si>
  <x:si>
    <x:t>001-011-000000778</x:t>
  </x:si>
  <x:si>
    <x:t>001-011-000000771</x:t>
  </x:si>
  <x:si>
    <x:t>001-011-000000860</x:t>
  </x:si>
  <x:si>
    <x:t>001-011-000000857</x:t>
  </x:si>
  <x:si>
    <x:t>001-011-000000833</x:t>
  </x:si>
  <x:si>
    <x:t>001-011-000000754</x:t>
  </x:si>
  <x:si>
    <x:t>001-011-000000742</x:t>
  </x:si>
  <x:si>
    <x:t>001-011-000000824</x:t>
  </x:si>
  <x:si>
    <x:t>001-011-000000809</x:t>
  </x:si>
  <x:si>
    <x:t>001-011-000000786</x:t>
  </x:si>
  <x:si>
    <x:t>001-011-000000784</x:t>
  </x:si>
  <x:si>
    <x:t>001-011-000000736</x:t>
  </x:si>
  <x:si>
    <x:t>YAMBAY ALVARO ELISA</x:t>
  </x:si>
  <x:si>
    <x:t>001-011-000000873</x:t>
  </x:si>
  <x:si>
    <x:t>001-011-000000874</x:t>
  </x:si>
  <x:si>
    <x:t>001-011-000000858</x:t>
  </x:si>
  <x:si>
    <x:t>001-011-000000813</x:t>
  </x:si>
  <x:si>
    <x:t>001-011-000000690</x:t>
  </x:si>
  <x:si>
    <x:t>001-011-000000837</x:t>
  </x:si>
  <x:si>
    <x:t>001-011-000000871</x:t>
  </x:si>
  <x:si>
    <x:t>SAMANIEGO CARDENAS LOURDES MELISSA</x:t>
  </x:si>
  <x:si>
    <x:t>001-011-000000877</x:t>
  </x:si>
  <x:si>
    <x:t>001-011-000000814</x:t>
  </x:si>
  <x:si>
    <x:t>001-011-000000845</x:t>
  </x:si>
  <x:si>
    <x:t>001-011-000000832</x:t>
  </x:si>
  <x:si>
    <x:t>001-011-000000834</x:t>
  </x:si>
  <x:si>
    <x:t>001-011-000000716</x:t>
  </x:si>
  <x:si>
    <x:t>001-011-000000689</x:t>
  </x:si>
  <x:si>
    <x:t>001-011-000000703</x:t>
  </x:si>
  <x:si>
    <x:t>001-011-000000693</x:t>
  </x:si>
  <x:si>
    <x:t>001-011-000000688</x:t>
  </x:si>
  <x:si>
    <x:t>001-011-000000686</x:t>
  </x:si>
  <x:si>
    <x:t>CH#17353 MACHALA</x:t>
  </x:si>
  <x:si>
    <x:t>001-011-000000865</x:t>
  </x:si>
  <x:si>
    <x:t>CH#618 BOLIVARIANO</x:t>
  </x:si>
  <x:si>
    <x:t>001-011-000000883</x:t>
  </x:si>
  <x:si>
    <x:t>CH#22639 PACIFICO</x:t>
  </x:si>
  <x:si>
    <x:t>001-011-000000864</x:t>
  </x:si>
  <x:si>
    <x:t>001-011-000000859</x:t>
  </x:si>
  <x:si>
    <x:t>BASANTES BANDERAS DIEGO FERNANDO</x:t>
  </x:si>
  <x:si>
    <x:t>001-011-000000797</x:t>
  </x:si>
  <x:si>
    <x:t>CRIOLLO MAYORGA SANDRA JACQUELINE</x:t>
  </x:si>
  <x:si>
    <x:t>001-011-000000830</x:t>
  </x:si>
  <x:si>
    <x:t>QUEVEDO</x:t>
  </x:si>
  <x:si>
    <x:t>QUISPE CAYO VICTOR HUGO</x:t>
  </x:si>
  <x:si>
    <x:t>001-011-000000876</x:t>
  </x:si>
  <x:si>
    <x:t>001-011-000000790</x:t>
  </x:si>
  <x:si>
    <x:t>ERROR</x:t>
  </x:si>
  <x:si>
    <x:t>Mes : JUL/2026</x:t>
  </x:si>
  <x:si>
    <x:t>001-011-000000580</x:t>
  </x:si>
  <x:si>
    <x:t>001-011-000000669</x:t>
  </x:si>
  <x:si>
    <x:t>001-011-000000670</x:t>
  </x:si>
  <x:si>
    <x:t>001-011-000000671</x:t>
  </x:si>
  <x:si>
    <x:t>001-011-000000706</x:t>
  </x:si>
  <x:si>
    <x:t>001-011-000000708</x:t>
  </x:si>
  <x:si>
    <x:t>001-011-000000724</x:t>
  </x:si>
  <x:si>
    <x:t>001-011-000000770</x:t>
  </x:si>
  <x:si>
    <x:t>001-011-000000776</x:t>
  </x:si>
  <x:si>
    <x:t>001-011-000000777</x:t>
  </x:si>
  <x:si>
    <x:t>001-011-000000780</x:t>
  </x:si>
  <x:si>
    <x:t>001-011-000000781</x:t>
  </x:si>
  <x:si>
    <x:t>001-011-000000795</x:t>
  </x:si>
  <x:si>
    <x:t>001-011-000000817</x:t>
  </x:si>
  <x:si>
    <x:t>001-011-000000820</x:t>
  </x:si>
  <x:si>
    <x:t>001-011-000000821</x:t>
  </x:si>
  <x:si>
    <x:t>001-011-000000828</x:t>
  </x:si>
  <x:si>
    <x:t>001-011-000000838</x:t>
  </x:si>
  <x:si>
    <x:t>001-011-000000839</x:t>
  </x:si>
  <x:si>
    <x:t>001-011-000000841</x:t>
  </x:si>
  <x:si>
    <x:t>001-011-000000850</x:t>
  </x:si>
  <x:si>
    <x:t>001-011-000000855</x:t>
  </x:si>
  <x:si>
    <x:t>001-011-000000862</x:t>
  </x:si>
  <x:si>
    <x:t>001-011-000000867</x:t>
  </x:si>
  <x:si>
    <x:t>001-011-000000868</x:t>
  </x:si>
  <x:si>
    <x:t>001-011-000000869</x:t>
  </x:si>
  <x:si>
    <x:t>001-011-000000875</x:t>
  </x:si>
  <x:si>
    <x:t>001-011-000000903</x:t>
  </x:si>
  <x:si>
    <x:t>001-011-000000949</x:t>
  </x:si>
  <x:si>
    <x:t>CH#9167 BOLIVARIANO</x:t>
  </x:si>
  <x:si>
    <x:t>001-011-000000946</x:t>
  </x:si>
  <x:si>
    <x:t>CH#5322 INTERNACIONAL</x:t>
  </x:si>
  <x:si>
    <x:t>001-011-000000793</x:t>
  </x:si>
  <x:si>
    <x:t>CH#8125 PICHINCHA</x:t>
  </x:si>
  <x:si>
    <x:t>CH#3240 INTERNACIONAL</x:t>
  </x:si>
  <x:si>
    <x:t>001-011-000000825</x:t>
  </x:si>
  <x:si>
    <x:t>CH#23375 PICHINCHA</x:t>
  </x:si>
  <x:si>
    <x:t>001-011-000000788</x:t>
  </x:si>
  <x:si>
    <x:t>001-011-000000760</x:t>
  </x:si>
  <x:si>
    <x:t>CH#17477 MACHALA</x:t>
  </x:si>
  <x:si>
    <x:t>001-011-000000930</x:t>
  </x:si>
  <x:si>
    <x:t>CH#7009 PICHINCHA</x:t>
  </x:si>
  <x:si>
    <x:t>001-011-000000886</x:t>
  </x:si>
  <x:si>
    <x:t>001-011-000000890</x:t>
  </x:si>
  <x:si>
    <x:t>CH#13447 GUAYAQUIL</x:t>
  </x:si>
  <x:si>
    <x:t>001-011-000000939</x:t>
  </x:si>
  <x:si>
    <x:t>001-011-000000726</x:t>
  </x:si>
  <x:si>
    <x:t>001-011-000000812</x:t>
  </x:si>
  <x:si>
    <x:t>001-011-000000816</x:t>
  </x:si>
  <x:si>
    <x:t>001-011-000000827</x:t>
  </x:si>
  <x:si>
    <x:t>GUEVARA DELGADO MANUEL</x:t>
  </x:si>
  <x:si>
    <x:t>001-011-000000880</x:t>
  </x:si>
  <x:si>
    <x:t>001-011-000000889</x:t>
  </x:si>
  <x:si>
    <x:t>001-011-000000910</x:t>
  </x:si>
  <x:si>
    <x:t>001-011-000000913</x:t>
  </x:si>
  <x:si>
    <x:t>Mes : AGO/2026</x:t>
  </x:si>
  <x:si>
    <x:t>001-011-000000979</x:t>
  </x:si>
  <x:si>
    <x:t>001-011-000000978</x:t>
  </x:si>
  <x:si>
    <x:t>001-011-000000997</x:t>
  </x:si>
  <x:si>
    <x:t>001-011-000000945</x:t>
  </x:si>
  <x:si>
    <x:t>001-011-000000908</x:t>
  </x:si>
  <x:si>
    <x:t>001-011-000000897</x:t>
  </x:si>
  <x:si>
    <x:t>001-011-000000943</x:t>
  </x:si>
  <x:si>
    <x:t>001-011-000000931</x:t>
  </x:si>
  <x:si>
    <x:t>001-011-000000882</x:t>
  </x:si>
  <x:si>
    <x:t>CORPORATION AYDCOR'S S.A.S.</x:t>
  </x:si>
  <x:si>
    <x:t>001-011-000000898</x:t>
  </x:si>
  <x:si>
    <x:t>001-011-000000892</x:t>
  </x:si>
  <x:si>
    <x:t>001-011-000000852</x:t>
  </x:si>
  <x:si>
    <x:t>001-011-000000854</x:t>
  </x:si>
  <x:si>
    <x:t>MONJE RODAS MARCO FABIAN</x:t>
  </x:si>
  <x:si>
    <x:t>001-011-000000888</x:t>
  </x:si>
  <x:si>
    <x:t>001-011-000000881</x:t>
  </x:si>
  <x:si>
    <x:t>001-011-000000835</x:t>
  </x:si>
  <x:si>
    <x:t>001-011-000000836</x:t>
  </x:si>
  <x:si>
    <x:t>001-011-000000840</x:t>
  </x:si>
  <x:si>
    <x:t>001-011-000000844</x:t>
  </x:si>
  <x:si>
    <x:t>001-011-000000677</x:t>
  </x:si>
  <x:si>
    <x:t>001-011-000000722</x:t>
  </x:si>
  <x:si>
    <x:t>001-011-000000723</x:t>
  </x:si>
  <x:si>
    <x:t>CH#17612 DE MACHALA</x:t>
  </x:si>
  <x:si>
    <x:t>001-011-000000973</x:t>
  </x:si>
  <x:si>
    <x:t>CH#43817 DE BOLIVARIANO</x:t>
  </x:si>
  <x:si>
    <x:t>001-011-000000938</x:t>
  </x:si>
  <x:si>
    <x:t>001-011-000000940</x:t>
  </x:si>
  <x:si>
    <x:t>CH#43818 DE BOLIVARIANO</x:t>
  </x:si>
  <x:si>
    <x:t>001-011-000000955</x:t>
  </x:si>
  <x:si>
    <x:t>001-011-000000956</x:t>
  </x:si>
  <x:si>
    <x:t>CH#9214 DE BOLIVARIANO</x:t>
  </x:si>
  <x:si>
    <x:t>001-011-000000986</x:t>
  </x:si>
  <x:si>
    <x:t>CH#30342 DE BOLIVARIANO</x:t>
  </x:si>
  <x:si>
    <x:t>001-011-000000948</x:t>
  </x:si>
  <x:si>
    <x:t>CH#3159 DE PACIFICO</x:t>
  </x:si>
  <x:si>
    <x:t>001-011-000000866</x:t>
  </x:si>
  <x:si>
    <x:t>CH#7039 DE PICHINCHA</x:t>
  </x:si>
  <x:si>
    <x:t>001-011-000000941</x:t>
  </x:si>
  <x:si>
    <x:t>CH#7048 DE PICHINCHA</x:t>
  </x:si>
  <x:si>
    <x:t>001-011-000000966</x:t>
  </x:si>
  <x:si>
    <x:t>CH#7055 DE PICHINCHA</x:t>
  </x:si>
  <x:si>
    <x:t>001-011-000000994</x:t>
  </x:si>
  <x:si>
    <x:t>CH#43884 DE BOLIVARIANO</x:t>
  </x:si>
  <x:si>
    <x:t>001-011-000000909</x:t>
  </x:si>
  <x:si>
    <x:t>001-011-000000914</x:t>
  </x:si>
  <x:si>
    <x:t>001-011-000000929</x:t>
  </x:si>
  <x:si>
    <x:t>CH#43874 DE BOLIVARIANO</x:t>
  </x:si>
  <x:si>
    <x:t>001-011-000000967</x:t>
  </x:si>
  <x:si>
    <x:t>CH#43875 DE BOLIVARIANO</x:t>
  </x:si>
  <x:si>
    <x:t>001-011-000000976</x:t>
  </x:si>
  <x:si>
    <x:t>CH#43876 DE BOLIVARIANO</x:t>
  </x:si>
  <x:si>
    <x:t>001-011-000000989</x:t>
  </x:si>
  <x:si>
    <x:t>001-011-000000990</x:t>
  </x:si>
  <x:si>
    <x:t>CH#17689 DE MACHALA</x:t>
  </x:si>
  <x:si>
    <x:t>001-011-000001014</x:t>
  </x:si>
  <x:si>
    <x:t>CH#16188 DE</x:t>
  </x:si>
  <x:si>
    <x:t>001-011-000001016</x:t>
  </x:si>
  <x:si>
    <x:t>Mes : SEPT/2026</x:t>
  </x:si>
  <x:si>
    <x:t>001-011-000000810</x:t>
  </x:si>
  <x:si>
    <x:t>001-011-000000819</x:t>
  </x:si>
  <x:si>
    <x:t>001-011-000000861</x:t>
  </x:si>
  <x:si>
    <x:t>001-011-000000863</x:t>
  </x:si>
  <x:si>
    <x:t>001-011-000000872</x:t>
  </x:si>
  <x:si>
    <x:t>001-011-000000896</x:t>
  </x:si>
  <x:si>
    <x:t>001-011-000000902</x:t>
  </x:si>
  <x:si>
    <x:t>001-011-000000904</x:t>
  </x:si>
  <x:si>
    <x:t>001-011-000000905</x:t>
  </x:si>
  <x:si>
    <x:t>001-011-000000932</x:t>
  </x:si>
  <x:si>
    <x:t>001-011-000000935</x:t>
  </x:si>
  <x:si>
    <x:t>001-011-000000947</x:t>
  </x:si>
  <x:si>
    <x:t>001-011-000000958</x:t>
  </x:si>
  <x:si>
    <x:t>001-011-000000959</x:t>
  </x:si>
  <x:si>
    <x:t>001-011-000000961</x:t>
  </x:si>
  <x:si>
    <x:t>001-011-000000969</x:t>
  </x:si>
  <x:si>
    <x:t>001-011-000000975</x:t>
  </x:si>
  <x:si>
    <x:t>001-011-000000998</x:t>
  </x:si>
  <x:si>
    <x:t>001-011-000001001</x:t>
  </x:si>
  <x:si>
    <x:t>001-011-000001006</x:t>
  </x:si>
  <x:si>
    <x:t>001-011-000001019</x:t>
  </x:si>
  <x:si>
    <x:t>001-011-000001020</x:t>
  </x:si>
  <x:si>
    <x:t>001-011-000001023</x:t>
  </x:si>
  <x:si>
    <x:t>001-011-000001026</x:t>
  </x:si>
  <x:si>
    <x:t>001-011-000001045</x:t>
  </x:si>
  <x:si>
    <x:t>CHEQUE #017774 DE MACHALA</x:t>
  </x:si>
  <x:si>
    <x:t>001-011-000001050</x:t>
  </x:si>
  <x:si>
    <x:t>001-011-000001051</x:t>
  </x:si>
  <x:si>
    <x:t>CHEQUE #017719 DE MACHALA</x:t>
  </x:si>
  <x:si>
    <x:t>001-011-000001028</x:t>
  </x:si>
  <x:si>
    <x:t>CHEQUE #0009278 DE BOLIVARIANO</x:t>
  </x:si>
  <x:si>
    <x:t>001-011-000001058</x:t>
  </x:si>
  <x:si>
    <x:t>001-011-000000762</x:t>
  </x:si>
  <x:si>
    <x:t>001-011-000000848</x:t>
  </x:si>
  <x:si>
    <x:t>MARCILLO BORJA ZOILA GEORGINA</x:t>
  </x:si>
  <x:si>
    <x:t>001-011-000000878</x:t>
  </x:si>
  <x:si>
    <x:t>REPREMARVA CIA. LTDA.</x:t>
  </x:si>
  <x:si>
    <x:t>001-011-000000885</x:t>
  </x:si>
  <x:si>
    <x:t>CABRERA ORDOÑEZ LUIS ALBERTO</x:t>
  </x:si>
  <x:si>
    <x:t>001-011-000000952</x:t>
  </x:si>
  <x:si>
    <x:t>001-011-000000962</x:t>
  </x:si>
  <x:si>
    <x:t>MAYA ESPINOSA ANGEL PATRICIO</x:t>
  </x:si>
  <x:si>
    <x:t>001-011-000000981</x:t>
  </x:si>
  <x:si>
    <x:t>IMPORTADORA SAGAR IMSAGAR CIA.LTDA.</x:t>
  </x:si>
  <x:si>
    <x:t>001-011-000000982</x:t>
  </x:si>
  <x:si>
    <x:t>001-011-000000988</x:t>
  </x:si>
  <x:si>
    <x:t>AGUIRRE MARTINEZ MILTON JAVIER</x:t>
  </x:si>
  <x:si>
    <x:t>TULCAN</x:t>
  </x:si>
  <x:si>
    <x:t>001-011-000001002</x:t>
  </x:si>
  <x:si>
    <x:t>FLOR GAVILANES JUAN JOSE</x:t>
  </x:si>
  <x:si>
    <x:t>001-011-000001018</x:t>
  </x:si>
  <x:si>
    <x:t>PROVEEDOR INDUSTRIAL DE ACEROS, PLASTICOS Y EJES CROMADOS PROVEIN S.A.S.</x:t>
  </x:si>
  <x:si>
    <x:t>001-011-000001053</x:t>
  </x:si>
  <x:si>
    <x:t>CHEQUE #010415 DE PICHINCHA</x:t>
  </x:si>
  <x:si>
    <x:t>001-011-0000001042</x:t>
  </x:si>
  <x:si>
    <x:t>Vendedor : CONSTANTE DOMINGUEZ CARLOS DARWIN</x:t>
  </x:si>
  <x:si>
    <x:t>CLIENTE</x:t>
  </x:si>
  <x:si>
    <x:t>001-011-000001012</x:t>
  </x:si>
  <x:si>
    <x:t>001-011-000001021</x:t>
  </x:si>
  <x:si>
    <x:t>001-011-000001032</x:t>
  </x:si>
  <x:si>
    <x:t>001-011-000001030</x:t>
  </x:si>
  <x:si>
    <x:t>001-011-000001031</x:t>
  </x:si>
  <x:si>
    <x:t>001-011-000001034</x:t>
  </x:si>
  <x:si>
    <x:t>001-011-000001035</x:t>
  </x:si>
  <x:si>
    <x:t>001-011-000001037</x:t>
  </x:si>
  <x:si>
    <x:t>001-011-000001029</x:t>
  </x:si>
  <x:si>
    <x:t>TOTALES</x:t>
  </x:si>
  <x:si>
    <x:t>Vendedor : IVETTE ANAHY CASCANTE LAMILLA</x:t>
  </x:si>
  <x:si>
    <x:t>COMERCIAL KYWI S.A.</x:t>
  </x:si>
  <x:si>
    <x:t>PRINCIPAL</x:t>
  </x:si>
  <x:si>
    <x:t>001-011-000001017</x:t>
  </x:si>
  <x:si>
    <x:t>CORPORACIÓN EL ROSADO S.A. (HIPER 6 DE DICIEMBRE)</x:t>
  </x:si>
  <x:si>
    <x:t>001-011-000001015</x:t>
  </x:si>
  <x:si>
    <x:t>Vendedor : MARCO FABRE BONILLA</x:t>
  </x:si>
  <x:si>
    <x:t>001-011-000001022</x:t>
  </x:si>
  <x:si>
    <x:t>001-011-000001033</x:t>
  </x:si>
  <x:si>
    <x:t>Mes : OCT/2026</x:t>
  </x:si>
  <x:si>
    <x:t>001-011-000000842</x:t>
  </x:si>
  <x:si>
    <x:t>001-011-000000895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</x:si>
</x:sst>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9">
    <x:numFmt numFmtId="164" formatCode="0.0%"/>
    <x:numFmt numFmtId="165" formatCode="dd/mm/yy;@"/>
    <x:numFmt numFmtId="166" formatCode="#,##0.00_ ;[Red]\-#,##0.00\ "/>
    <x:numFmt numFmtId="167" formatCode="0.00_ ;[Red]\-0.00\ "/>
    <x:numFmt numFmtId="168" formatCode="dd/mm/yyyy;@"/>
    <x:numFmt numFmtId="169" formatCode="d/m/yy;@"/>
    <x:numFmt numFmtId="170" formatCode="dd/mm/yy"/>
    <x:numFmt numFmtId="171" formatCode="$#,##0.00"/>
    <x:numFmt numFmtId="172" formatCode="0"/>
  </x:numFmts>
  <x:fonts count="33" x14ac:knownFonts="1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Arial"/>
      <x:family val="2"/>
    </x:font>
    <x:font>
      <x:sz val="11"/>
      <x:name val="Arial"/>
      <x:family val="2"/>
    </x:font>
    <x:font>
      <x:sz val="9"/>
      <x:name val="Arial"/>
      <x:family val="2"/>
    </x:font>
    <x:font>
      <x:sz val="11"/>
      <x:color theme="1"/>
      <x:name val="Arial"/>
      <x:family val="2"/>
    </x:font>
    <x:font>
      <x:b/>
      <x:sz val="9"/>
      <x:name val="Arial"/>
      <x:family val="2"/>
    </x:font>
    <x:font>
      <x:b/>
      <x:sz val="10"/>
      <x:name val="Arial"/>
      <x:family val="2"/>
    </x:font>
    <x:font>
      <x:b/>
      <x:sz val="12"/>
      <x:color rgb="FFFF0000"/>
      <x:name val="Bookman Old Style"/>
      <x:family val="1"/>
    </x:font>
    <x:font>
      <x:b/>
      <x:sz val="12"/>
      <x:name val="Bookman Old Style"/>
      <x:family val="1"/>
    </x:font>
    <x:font>
      <x:sz val="12"/>
      <x:name val="Bookman Old Style"/>
      <x:family val="1"/>
    </x:font>
    <x:font>
      <x:sz val="12"/>
      <x:name val="Arial"/>
      <x:family val="2"/>
    </x:font>
    <x:font>
      <x:b/>
      <x:sz val="12"/>
      <x:name val="Arial"/>
      <x:family val="2"/>
    </x:font>
    <x:font>
      <x:sz val="12"/>
      <x:color theme="1"/>
      <x:name val="Arial"/>
      <x:family val="2"/>
    </x:font>
    <x:font>
      <x:sz val="10.5"/>
      <x:color rgb="FF222222"/>
      <x:name val="Arial"/>
      <x:family val="2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sz val="12"/>
      <x:color theme="1"/>
      <x:name val="Bookman Old Style"/>
      <x:family val="1"/>
    </x:font>
    <x:font>
      <x:b/>
      <x:sz val="11"/>
      <x:color theme="1"/>
      <x:name val="Bookman Old Style"/>
      <x:family val="1"/>
    </x:font>
    <x:font>
      <x:b/>
      <x:sz val="11"/>
      <x:color theme="1"/>
      <x:name val="Arial"/>
      <x:family val="2"/>
    </x:font>
    <x:font>
      <x:sz val="12"/>
      <x:color rgb="FF000000"/>
      <x:name val="Arial"/>
      <x:family val="2"/>
    </x:font>
    <x:font>
      <x:sz val="10"/>
      <x:color rgb="FF000000"/>
      <x:name val="Arial"/>
      <x:family val="2"/>
    </x:font>
    <x:font>
      <x:b/>
      <x:sz val="9"/>
      <x:color theme="1"/>
      <x:name val="Arial"/>
      <x:family val="2"/>
    </x:font>
    <x:font>
      <x:sz val="12"/>
      <x:name val="Arial"/>
      <x:family val="2"/>
      <x:charset val="1"/>
    </x:font>
    <x:font>
      <x:sz val="12"/>
      <x:color theme="1"/>
      <x:name val="Arial"/>
      <x:family val="2"/>
      <x:charset val="1"/>
    </x:font>
    <x:font>
      <x:sz val="10"/>
      <x:name val="Arial"/>
      <x:family val="2"/>
      <x:charset val="1"/>
    </x:font>
    <x:font>
      <x:sz val="10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9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Calibri"/>
      <x:family val="2"/>
      <x:scheme val="minor"/>
    </x:font>
    <x:font>
      <x:b/>
      <x:vertAlign val="baseline"/>
      <x:sz val="11"/>
      <x:color theme="1"/>
      <x:name val="Calibri"/>
      <x:family val="2"/>
      <x:scheme val="minor"/>
    </x:font>
    <x:font>
      <x:b/>
      <x:vertAlign val="baseline"/>
      <x:sz val="11"/>
      <x:color rgb="FFFFFFFF"/>
      <x:name val="Calibri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E3B85B"/>
      </x:patternFill>
    </x:fill>
    <x:fill>
      <x:patternFill patternType="solid">
        <x:fgColor rgb="FF24534E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65">
    <x:xf numFmtId="0" fontId="0" fillId="0" borderId="0"/>
    <x:xf numFmtId="0" fontId="1" fillId="0" borderId="0"/>
    <x:xf numFmtId="0" fontId="1" fillId="0" borderId="0"/>
    <x:xf numFmtId="0" fontId="1" fillId="0" borderId="0"/>
    <x:xf numFmtId="0" fontId="25" fillId="0" borderId="0"/>
    <x:xf numFmtId="0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3" fontId="1" fillId="2" borderId="0" applyNumberFormat="1" applyFill="0" applyBorder="0" applyAlignment="1" applyProtection="1">
      <x:protection locked="1" hidden="0"/>
    </x:xf>
    <x:xf numFmtId="4" fontId="16" fillId="2" borderId="0" applyNumberFormat="1" applyFill="0" applyBorder="0" applyAlignment="1" applyProtection="1">
      <x:protection locked="1" hidden="0"/>
    </x:xf>
    <x:xf numFmtId="4" fontId="16" fillId="2" borderId="3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4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" fontId="2" fillId="2" borderId="0" applyNumberFormat="1" applyFill="0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4" fontId="3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4" fontId="2" fillId="2" borderId="1" applyNumberFormat="1" applyFill="0" applyBorder="1" applyAlignment="1" applyProtection="1">
      <x:protection locked="1" hidden="0"/>
    </x:xf>
    <x:xf numFmtId="4" fontId="2" fillId="2" borderId="2" applyNumberFormat="1" applyFill="0" applyBorder="1" applyAlignment="1" applyProtection="1">
      <x:protection locked="1" hidden="0"/>
    </x:xf>
    <x:xf numFmtId="3" fontId="2" fillId="2" borderId="2" applyNumberFormat="1" applyFill="0" applyBorder="1" applyAlignment="1" applyProtection="1">
      <x:protection locked="1" hidden="0"/>
    </x:xf>
    <x:xf numFmtId="164" fontId="2" fillId="2" borderId="2" applyNumberFormat="1" applyFill="0" applyBorder="1" applyAlignment="1" applyProtection="1">
      <x:protection locked="1" hidden="0"/>
    </x:xf>
    <x:xf numFmtId="0" fontId="7" fillId="2" borderId="3" applyNumberFormat="1" applyFill="0" applyBorder="1" applyAlignment="1" applyProtection="1">
      <x:protection locked="1" hidden="0"/>
    </x:xf>
    <x:xf numFmtId="165" fontId="7" fillId="2" borderId="3" applyNumberFormat="1" applyFill="0" applyBorder="1" applyAlignment="1" applyProtection="1">
      <x:protection locked="1" hidden="0"/>
    </x:xf>
    <x:xf numFmtId="0" fontId="7" fillId="2" borderId="4" applyNumberFormat="1" applyFill="0" applyBorder="1" applyAlignment="1" applyProtection="1">
      <x:protection locked="1" hidden="0"/>
    </x:xf>
    <x:xf numFmtId="4" fontId="7" fillId="2" borderId="5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165" fontId="6" fillId="2" borderId="3" applyNumberFormat="1" applyFill="0" applyBorder="1" applyAlignment="1" applyProtection="1">
      <x:protection locked="1" hidden="0"/>
    </x:xf>
    <x:xf numFmtId="4" fontId="7" fillId="2" borderId="7" applyNumberFormat="1" applyFill="0" applyBorder="1" applyAlignment="1" applyProtection="1">
      <x:protection locked="1" hidden="0"/>
    </x:xf>
    <x:xf numFmtId="3" fontId="7" fillId="2" borderId="7" applyNumberFormat="1" applyFill="0" applyBorder="1" applyAlignment="1" applyProtection="1">
      <x:protection locked="1" hidden="0"/>
    </x:xf>
    <x:xf numFmtId="164" fontId="7" fillId="2" borderId="7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0" fontId="13" fillId="2" borderId="3" applyNumberFormat="1" applyFill="0" applyBorder="1" applyAlignment="1" applyProtection="1">
      <x:protection locked="1" hidden="0"/>
    </x:xf>
    <x:xf numFmtId="165" fontId="11" fillId="2" borderId="3" applyNumberFormat="1" applyFill="0" applyBorder="1" applyAlignment="1" applyProtection="1">
      <x:protection locked="1" hidden="0"/>
    </x:xf>
    <x:xf numFmtId="4" fontId="11" fillId="2" borderId="3" applyNumberFormat="1" applyFill="0" applyBorder="1" applyAlignment="1" applyProtection="1">
      <x:protection locked="1" hidden="0"/>
    </x:xf>
    <x:xf numFmtId="4" fontId="11" fillId="2" borderId="7" applyNumberFormat="1" applyFill="0" applyBorder="1" applyAlignment="1" applyProtection="1">
      <x:protection locked="1" hidden="0"/>
    </x:xf>
    <x:xf numFmtId="165" fontId="13" fillId="2" borderId="7" applyNumberFormat="1" applyFill="0" applyBorder="1" applyAlignment="1" applyProtection="1">
      <x:protection locked="1" hidden="0"/>
    </x:xf>
    <x:xf numFmtId="3" fontId="16" fillId="2" borderId="3" applyNumberFormat="1" applyFill="0" applyBorder="1" applyAlignment="1" applyProtection="1">
      <x:protection locked="1" hidden="0"/>
    </x:xf>
    <x:xf numFmtId="164" fontId="16" fillId="2" borderId="3" applyNumberFormat="1" applyFill="0" applyBorder="1" applyAlignment="1" applyProtection="1">
      <x:protection locked="1" hidden="0"/>
    </x:xf>
    <x:xf numFmtId="3" fontId="16" fillId="2" borderId="0" applyNumberFormat="1" applyFill="0" applyBorder="0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165" fontId="17" fillId="2" borderId="3" applyNumberFormat="1" applyFill="0" applyBorder="1" applyAlignment="1" applyProtection="1">
      <x:protection locked="1" hidden="0"/>
    </x:xf>
    <x:xf numFmtId="4" fontId="17" fillId="2" borderId="3" applyNumberFormat="1" applyFill="0" applyBorder="1" applyAlignment="1" applyProtection="1">
      <x:protection locked="1" hidden="0"/>
    </x:xf>
    <x:xf numFmtId="4" fontId="17" fillId="2" borderId="7" applyNumberFormat="1" applyFill="0" applyBorder="1" applyAlignment="1" applyProtection="1">
      <x:protection locked="1" hidden="0"/>
    </x:xf>
    <x:xf numFmtId="165" fontId="17" fillId="2" borderId="7" applyNumberFormat="1" applyFill="0" applyBorder="1" applyAlignment="1" applyProtection="1">
      <x:protection locked="1" hidden="0"/>
    </x:xf>
    <x:xf numFmtId="0" fontId="16" fillId="2" borderId="9" applyNumberFormat="1" applyFill="0" applyBorder="1" applyAlignment="1" applyProtection="1">
      <x:protection locked="1" hidden="0"/>
    </x:xf>
    <x:xf numFmtId="4" fontId="18" fillId="2" borderId="9" applyNumberFormat="1" applyFill="0" applyBorder="1" applyAlignment="1" applyProtection="1">
      <x:protection locked="1" hidden="0"/>
    </x:xf>
    <x:xf numFmtId="0" fontId="19" fillId="2" borderId="9" applyNumberFormat="1" applyFill="0" applyBorder="1" applyAlignment="1" applyProtection="1">
      <x:protection locked="1" hidden="0"/>
    </x:xf>
    <x:xf numFmtId="165" fontId="19" fillId="2" borderId="9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165" fontId="16" fillId="2" borderId="0" applyNumberFormat="1" applyFill="0" applyBorder="0" applyAlignment="1" applyProtection="1">
      <x:protection locked="1" hidden="0"/>
    </x:xf>
    <x:xf numFmtId="165" fontId="13" fillId="2" borderId="3" applyNumberFormat="1" applyFill="0" applyBorder="1" applyAlignment="1" applyProtection="1">
      <x:protection locked="1" hidden="0"/>
    </x:xf>
    <x:xf numFmtId="4" fontId="13" fillId="2" borderId="3" applyNumberFormat="1" applyFill="0" applyBorder="1" applyAlignment="1" applyProtection="1">
      <x:protection locked="1" hidden="0"/>
    </x:xf>
    <x:xf numFmtId="0" fontId="15" fillId="2" borderId="9" applyNumberFormat="1" applyFill="0" applyBorder="1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64" fontId="4" fillId="2" borderId="0" applyNumberFormat="1" applyFill="0" applyBorder="0" applyAlignment="1" applyProtection="1">
      <x:protection locked="1" hidden="0"/>
    </x:xf>
    <x:xf numFmtId="4" fontId="9" fillId="2" borderId="12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165" fontId="14" fillId="2" borderId="0" applyNumberFormat="1" applyFill="0" applyBorder="0" applyAlignment="1" applyProtection="1">
      <x:protection locked="1" hidden="0"/>
    </x:xf>
    <x:xf numFmtId="4" fontId="7" fillId="2" borderId="3" applyNumberFormat="1" applyFill="0" applyBorder="1" applyAlignment="1" applyProtection="1">
      <x:protection locked="1" hidden="0"/>
    </x:xf>
    <x:xf numFmtId="4" fontId="13" fillId="2" borderId="7" applyNumberFormat="1" applyFill="0" applyBorder="1" applyAlignment="1" applyProtection="1">
      <x:protection locked="1" hidden="0"/>
    </x:xf>
    <x:xf numFmtId="164" fontId="1" fillId="2" borderId="3" applyNumberFormat="1" applyFill="0" applyBorder="1" applyAlignment="1" applyProtection="1">
      <x:protection locked="1" hidden="0"/>
    </x:xf>
    <x:xf numFmtId="4" fontId="1" fillId="2" borderId="3" applyNumberFormat="1" applyFill="0" applyBorder="1" applyAlignment="1" applyProtection="1">
      <x:protection locked="1" hidden="0"/>
    </x:xf>
    <x:xf numFmtId="0" fontId="13" fillId="2" borderId="8" applyNumberFormat="1" applyFill="0" applyBorder="1" applyAlignment="1" applyProtection="1">
      <x:protection locked="1" hidden="0"/>
    </x:xf>
    <x:xf numFmtId="0" fontId="13" fillId="2" borderId="6" applyNumberFormat="1" applyFill="0" applyBorder="1" applyAlignment="1" applyProtection="1">
      <x:protection locked="1" hidden="0"/>
    </x:xf>
    <x:xf numFmtId="0" fontId="11" fillId="2" borderId="8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165" fontId="10" fillId="2" borderId="3" applyNumberFormat="1" applyFill="0" applyBorder="1" applyAlignment="1" applyProtection="1">
      <x:protection locked="1" hidden="0"/>
    </x:xf>
    <x:xf numFmtId="4" fontId="10" fillId="2" borderId="3" applyNumberFormat="1" applyFill="0" applyBorder="1" applyAlignment="1" applyProtection="1">
      <x:protection locked="1" hidden="0"/>
    </x:xf>
    <x:xf numFmtId="4" fontId="10" fillId="2" borderId="7" applyNumberFormat="1" applyFill="0" applyBorder="1" applyAlignment="1" applyProtection="1">
      <x:protection locked="1" hidden="0"/>
    </x:xf>
    <x:xf numFmtId="165" fontId="10" fillId="2" borderId="7" applyNumberFormat="1" applyFill="0" applyBorder="1" applyAlignment="1" applyProtection="1">
      <x:protection locked="1" hidden="0"/>
    </x:xf>
    <x:xf numFmtId="2" fontId="1" fillId="2" borderId="0" applyNumberFormat="1" applyFill="0" applyBorder="0" applyAlignment="1" applyProtection="1">
      <x:protection locked="1" hidden="0"/>
    </x:xf>
    <x:xf numFmtId="4" fontId="12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4" fontId="12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165" fontId="11" fillId="2" borderId="7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6" fillId="2" borderId="3" applyNumberFormat="1" applyFill="0" applyBorder="1" applyAlignment="1" applyProtection="1">
      <x:protection locked="1" hidden="0"/>
    </x:xf>
    <x:xf numFmtId="165" fontId="1" fillId="2" borderId="3" applyNumberFormat="1" applyFill="0" applyBorder="1" applyAlignment="1" applyProtection="1">
      <x:protection locked="1" hidden="0"/>
    </x:xf>
    <x:xf numFmtId="4" fontId="1" fillId="2" borderId="7" applyNumberFormat="1" applyFill="0" applyBorder="1" applyAlignment="1" applyProtection="1">
      <x:protection locked="1" hidden="0"/>
    </x:xf>
    <x:xf numFmtId="165" fontId="16" fillId="2" borderId="3" applyNumberFormat="1" applyFill="0" applyBorder="1" applyAlignment="1" applyProtection="1">
      <x:protection locked="1" hidden="0"/>
    </x:xf>
    <x:xf numFmtId="4" fontId="16" fillId="2" borderId="7" applyNumberFormat="1" applyFill="0" applyBorder="1" applyAlignment="1" applyProtection="1">
      <x:protection locked="1" hidden="0"/>
    </x:xf>
    <x:xf numFmtId="165" fontId="16" fillId="2" borderId="7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165" fontId="1" fillId="3" borderId="3" applyNumberFormat="1" applyFill="0" applyBorder="1" applyAlignment="1" applyProtection="1">
      <x:protection locked="1" hidden="0"/>
    </x:xf>
    <x:xf numFmtId="4" fontId="1" fillId="3" borderId="3" applyNumberFormat="1" applyFill="0" applyBorder="1" applyAlignment="1" applyProtection="1">
      <x:protection locked="1" hidden="0"/>
    </x:xf>
    <x:xf numFmtId="165" fontId="16" fillId="3" borderId="7" applyNumberFormat="1" applyFill="0" applyBorder="1" applyAlignment="1" applyProtection="1">
      <x:protection locked="1" hidden="0"/>
    </x:xf>
    <x:xf numFmtId="165" fontId="1" fillId="3" borderId="7" applyNumberFormat="1" applyFill="0" applyBorder="1" applyAlignment="1" applyProtection="1">
      <x:protection locked="1" hidden="0"/>
    </x:xf>
    <x:xf numFmtId="0" fontId="16" fillId="2" borderId="8" applyNumberFormat="1" applyFill="0" applyBorder="1" applyAlignment="1" applyProtection="1">
      <x:protection locked="1" hidden="0"/>
    </x:xf>
    <x:xf numFmtId="165" fontId="16" fillId="3" borderId="3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165" fontId="1" fillId="2" borderId="7" applyNumberFormat="1" applyFill="0" applyBorder="1" applyAlignment="1" applyProtection="1">
      <x:protection locked="1" hidden="0"/>
    </x:xf>
    <x:xf numFmtId="0" fontId="13" fillId="2" borderId="2" applyNumberFormat="1" applyFill="0" applyBorder="1" applyAlignment="1" applyProtection="1">
      <x:protection locked="1" hidden="0"/>
    </x:xf>
    <x:xf numFmtId="165" fontId="13" fillId="2" borderId="2" applyNumberFormat="1" applyFill="0" applyBorder="1" applyAlignment="1" applyProtection="1">
      <x:protection locked="1" hidden="0"/>
    </x:xf>
    <x:xf numFmtId="4" fontId="13" fillId="2" borderId="2" applyNumberFormat="1" applyFill="0" applyBorder="1" applyAlignment="1" applyProtection="1">
      <x:protection locked="1" hidden="0"/>
    </x:xf>
    <x:xf numFmtId="4" fontId="16" fillId="2" borderId="2" applyNumberFormat="1" applyFill="0" applyBorder="1" applyAlignment="1" applyProtection="1">
      <x:protection locked="1" hidden="0"/>
    </x:xf>
    <x:xf numFmtId="4" fontId="12" fillId="2" borderId="12" applyNumberFormat="1" applyFill="0" applyBorder="1" applyAlignment="1" applyProtection="1">
      <x:protection locked="1" hidden="0"/>
    </x:xf>
    <x:xf numFmtId="4" fontId="1" fillId="4" borderId="0" applyNumberFormat="1" applyFill="0" applyBorder="0" applyAlignment="1" applyProtection="1">
      <x:protection locked="1" hidden="0"/>
    </x:xf>
    <x:xf numFmtId="3" fontId="1" fillId="4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65" fontId="11" fillId="2" borderId="6" applyNumberFormat="1" applyFill="0" applyBorder="1" applyAlignment="1" applyProtection="1">
      <x:protection locked="1" hidden="0"/>
    </x:xf>
    <x:xf numFmtId="0" fontId="13" fillId="2" borderId="7" applyNumberFormat="1" applyFill="0" applyBorder="1" applyAlignment="1" applyProtection="1">
      <x:protection locked="1" hidden="0"/>
    </x:xf>
    <x:xf numFmtId="0" fontId="13" fillId="2" borderId="10" applyNumberFormat="1" applyFill="0" applyBorder="1" applyAlignment="1" applyProtection="1">
      <x:protection locked="1" hidden="0"/>
    </x:xf>
    <x:xf numFmtId="4" fontId="16" fillId="4" borderId="3" applyNumberFormat="1" applyFill="0" applyBorder="1" applyAlignment="1" applyProtection="1">
      <x:protection locked="1" hidden="0"/>
    </x:xf>
    <x:xf numFmtId="0" fontId="11" fillId="4" borderId="3" applyNumberFormat="1" applyFill="0" applyBorder="1" applyAlignment="1" applyProtection="1">
      <x:protection locked="1" hidden="0"/>
    </x:xf>
    <x:xf numFmtId="0" fontId="13" fillId="4" borderId="3" applyNumberFormat="1" applyFill="0" applyBorder="1" applyAlignment="1" applyProtection="1">
      <x:protection locked="1" hidden="0"/>
    </x:xf>
    <x:xf numFmtId="165" fontId="11" fillId="4" borderId="3" applyNumberFormat="1" applyFill="0" applyBorder="1" applyAlignment="1" applyProtection="1">
      <x:protection locked="1" hidden="0"/>
    </x:xf>
    <x:xf numFmtId="4" fontId="11" fillId="4" borderId="3" applyNumberFormat="1" applyFill="0" applyBorder="1" applyAlignment="1" applyProtection="1">
      <x:protection locked="1" hidden="0"/>
    </x:xf>
    <x:xf numFmtId="4" fontId="11" fillId="4" borderId="7" applyNumberFormat="1" applyFill="0" applyBorder="1" applyAlignment="1" applyProtection="1">
      <x:protection locked="1" hidden="0"/>
    </x:xf>
    <x:xf numFmtId="165" fontId="13" fillId="4" borderId="7" applyNumberFormat="1" applyFill="0" applyBorder="1" applyAlignment="1" applyProtection="1">
      <x:protection locked="1" hidden="0"/>
    </x:xf>
    <x:xf numFmtId="3" fontId="16" fillId="4" borderId="3" applyNumberFormat="1" applyFill="0" applyBorder="1" applyAlignment="1" applyProtection="1">
      <x:protection locked="1" hidden="0"/>
    </x:xf>
    <x:xf numFmtId="164" fontId="16" fillId="4" borderId="3" applyNumberFormat="1" applyFill="0" applyBorder="1" applyAlignment="1" applyProtection="1">
      <x:protection locked="1" hidden="0"/>
    </x:xf>
    <x:xf numFmtId="3" fontId="16" fillId="4" borderId="0" applyNumberFormat="1" applyFill="0" applyBorder="0" applyAlignment="1" applyProtection="1">
      <x:protection locked="1" hidden="0"/>
    </x:xf>
    <x:xf numFmtId="4" fontId="16" fillId="4" borderId="0" applyNumberFormat="1" applyFill="0" applyBorder="0" applyAlignment="1" applyProtection="1">
      <x:protection locked="1" hidden="0"/>
    </x:xf>
    <x:xf numFmtId="0" fontId="13" fillId="2" borderId="11" applyNumberFormat="1" applyFill="0" applyBorder="1" applyAlignment="1" applyProtection="1">
      <x:protection locked="1" hidden="0"/>
    </x:xf>
    <x:xf numFmtId="0" fontId="15" fillId="2" borderId="3" applyNumberFormat="1" applyFill="0" applyBorder="1" applyAlignment="1" applyProtection="1">
      <x:protection locked="1" hidden="0"/>
    </x:xf>
    <x:xf numFmtId="165" fontId="15" fillId="2" borderId="3" applyNumberFormat="1" applyFill="0" applyBorder="1" applyAlignment="1" applyProtection="1">
      <x:protection locked="1" hidden="0"/>
    </x:xf>
    <x:xf numFmtId="0" fontId="15" fillId="2" borderId="4" applyNumberFormat="1" applyFill="0" applyBorder="1" applyAlignment="1" applyProtection="1">
      <x:protection locked="1" hidden="0"/>
    </x:xf>
    <x:xf numFmtId="4" fontId="15" fillId="2" borderId="5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165" fontId="22" fillId="2" borderId="3" applyNumberFormat="1" applyFill="0" applyBorder="1" applyAlignment="1" applyProtection="1">
      <x:protection locked="1" hidden="0"/>
    </x:xf>
    <x:xf numFmtId="4" fontId="15" fillId="2" borderId="7" applyNumberFormat="1" applyFill="0" applyBorder="1" applyAlignment="1" applyProtection="1">
      <x:protection locked="1" hidden="0"/>
    </x:xf>
    <x:xf numFmtId="3" fontId="15" fillId="2" borderId="7" applyNumberFormat="1" applyFill="0" applyBorder="1" applyAlignment="1" applyProtection="1">
      <x:protection locked="1" hidden="0"/>
    </x:xf>
    <x:xf numFmtId="164" fontId="15" fillId="2" borderId="7" applyNumberFormat="1" applyFill="0" applyBorder="1" applyAlignment="1" applyProtection="1">
      <x:protection locked="1" hidden="0"/>
    </x:xf>
    <x:xf numFmtId="0" fontId="11" fillId="3" borderId="3" applyNumberFormat="1" applyFill="0" applyBorder="1" applyAlignment="1" applyProtection="1">
      <x:protection locked="1" hidden="0"/>
    </x:xf>
    <x:xf numFmtId="165" fontId="11" fillId="3" borderId="3" applyNumberFormat="1" applyFill="0" applyBorder="1" applyAlignment="1" applyProtection="1">
      <x:protection locked="1" hidden="0"/>
    </x:xf>
    <x:xf numFmtId="4" fontId="11" fillId="3" borderId="3" applyNumberFormat="1" applyFill="0" applyBorder="1" applyAlignment="1" applyProtection="1">
      <x:protection locked="1" hidden="0"/>
    </x:xf>
    <x:xf numFmtId="165" fontId="13" fillId="3" borderId="7" applyNumberFormat="1" applyFill="0" applyBorder="1" applyAlignment="1" applyProtection="1">
      <x:protection locked="1" hidden="0"/>
    </x:xf>
    <x:xf numFmtId="165" fontId="13" fillId="4" borderId="3" applyNumberFormat="1" applyFill="0" applyBorder="1" applyAlignment="1" applyProtection="1">
      <x:protection locked="1" hidden="0"/>
    </x:xf>
    <x:xf numFmtId="4" fontId="13" fillId="4" borderId="3" applyNumberFormat="1" applyFill="0" applyBorder="1" applyAlignment="1" applyProtection="1">
      <x:protection locked="1" hidden="0"/>
    </x:xf>
    <x:xf numFmtId="4" fontId="13" fillId="4" borderId="7" applyNumberFormat="1" applyFill="0" applyBorder="1" applyAlignment="1" applyProtection="1">
      <x:protection locked="1" hidden="0"/>
    </x:xf>
    <x:xf numFmtId="2" fontId="13" fillId="2" borderId="3" applyNumberFormat="1" applyFill="0" applyBorder="1" applyAlignment="1" applyProtection="1">
      <x:protection locked="1" hidden="0"/>
    </x:xf>
    <x:xf numFmtId="2" fontId="16" fillId="2" borderId="3" applyNumberFormat="1" applyFill="0" applyBorder="1" applyAlignment="1" applyProtection="1">
      <x:protection locked="1" hidden="0"/>
    </x:xf>
    <x:xf numFmtId="166" fontId="11" fillId="2" borderId="3" applyNumberFormat="1" applyFill="0" applyBorder="1" applyAlignment="1" applyProtection="1">
      <x:protection locked="1" hidden="0"/>
    </x:xf>
    <x:xf numFmtId="166" fontId="13" fillId="2" borderId="3" applyNumberFormat="1" applyFill="0" applyBorder="1" applyAlignment="1" applyProtection="1">
      <x:protection locked="1" hidden="0"/>
    </x:xf>
    <x:xf numFmtId="167" fontId="11" fillId="2" borderId="3" applyNumberFormat="1" applyFill="0" applyBorder="1" applyAlignment="1" applyProtection="1">
      <x:protection locked="1" hidden="0"/>
    </x:xf>
    <x:xf numFmtId="167" fontId="13" fillId="2" borderId="3" applyNumberFormat="1" applyFill="0" applyBorder="1" applyAlignment="1" applyProtection="1">
      <x:protection locked="1" hidden="0"/>
    </x:xf>
    <x:xf numFmtId="167" fontId="11" fillId="2" borderId="7" applyNumberFormat="1" applyFill="0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165" fontId="11" fillId="0" borderId="3" applyNumberFormat="1" applyFill="1" applyBorder="1" applyAlignment="1" applyProtection="1">
      <x:protection locked="1" hidden="0"/>
    </x:xf>
    <x:xf numFmtId="4" fontId="11" fillId="3" borderId="7" applyNumberFormat="1" applyFill="0" applyBorder="1" applyAlignment="1" applyProtection="1">
      <x:protection locked="1" hidden="0"/>
    </x:xf>
    <x:xf numFmtId="165" fontId="13" fillId="3" borderId="3" applyNumberFormat="1" applyFill="0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4" fontId="13" fillId="0" borderId="7" applyNumberFormat="1" applyFill="1" applyBorder="1" applyAlignment="1" applyProtection="1">
      <x:protection locked="1" hidden="0"/>
    </x:xf>
    <x:xf numFmtId="165" fontId="13" fillId="0" borderId="7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4" fontId="13" fillId="0" borderId="3" applyNumberFormat="1" applyFill="1" applyBorder="1" applyAlignment="1" applyProtection="1">
      <x:protection locked="1" hidden="0"/>
    </x:xf>
    <x:xf numFmtId="165" fontId="13" fillId="0" borderId="3" applyNumberFormat="1" applyFill="1" applyBorder="1" applyAlignment="1" applyProtection="1">
      <x:protection locked="1" hidden="0"/>
    </x:xf>
    <x:xf numFmtId="2" fontId="13" fillId="2" borderId="7" applyNumberFormat="1" applyFill="0" applyBorder="1" applyAlignment="1" applyProtection="1">
      <x:protection locked="1" hidden="0"/>
    </x:xf>
    <x:xf numFmtId="169" fontId="1" fillId="2" borderId="0" applyNumberFormat="1" applyFill="0" applyBorder="0" applyAlignment="1" applyProtection="1">
      <x:protection locked="1" hidden="0"/>
    </x:xf>
    <x:xf numFmtId="169" fontId="3" fillId="2" borderId="0" applyNumberFormat="1" applyFill="0" applyBorder="0" applyAlignment="1" applyProtection="1">
      <x:protection locked="1" hidden="0"/>
    </x:xf>
    <x:xf numFmtId="169" fontId="2" fillId="2" borderId="0" applyNumberFormat="1" applyFill="0" applyBorder="0" applyAlignment="1" applyProtection="1">
      <x:protection locked="1" hidden="0"/>
    </x:xf>
    <x:xf numFmtId="169" fontId="6" fillId="2" borderId="3" applyNumberFormat="1" applyFill="0" applyBorder="1" applyAlignment="1" applyProtection="1">
      <x:protection locked="1" hidden="0"/>
    </x:xf>
    <x:xf numFmtId="0" fontId="1" fillId="2" borderId="3" quotePrefix="1" applyNumberFormat="1" applyFill="0" applyBorder="1" applyAlignment="1" applyProtection="1">
      <x:protection locked="1" hidden="0"/>
    </x:xf>
    <x:xf numFmtId="168" fontId="1" fillId="2" borderId="3" applyNumberFormat="1" applyFill="0" applyBorder="1" applyAlignment="1" applyProtection="1">
      <x:protection locked="1" hidden="0"/>
    </x:xf>
    <x:xf numFmtId="169" fontId="1" fillId="2" borderId="3" applyNumberFormat="1" applyFill="0" applyBorder="1" applyAlignment="1" applyProtection="1">
      <x:protection locked="1" hidden="0"/>
    </x:xf>
    <x:xf numFmtId="168" fontId="1" fillId="2" borderId="3" quotePrefix="1" applyNumberFormat="1" applyFill="0" applyBorder="1" applyAlignment="1" applyProtection="1">
      <x:protection locked="1" hidden="0"/>
    </x:xf>
    <x:xf numFmtId="4" fontId="1" fillId="2" borderId="3" quotePrefix="1" applyNumberFormat="1" applyFill="0" applyBorder="1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2" fontId="16" fillId="2" borderId="7" applyNumberFormat="1" applyFill="0" applyBorder="1" applyAlignment="1" applyProtection="1">
      <x:protection locked="1" hidden="0"/>
    </x:xf>
    <x:xf numFmtId="169" fontId="13" fillId="2" borderId="7" applyNumberFormat="1" applyFill="0" applyBorder="1" applyAlignment="1" applyProtection="1">
      <x:protection locked="1" hidden="0"/>
    </x:xf>
    <x:xf numFmtId="169" fontId="13" fillId="2" borderId="3" applyNumberFormat="1" applyFill="0" applyBorder="1" applyAlignment="1" applyProtection="1">
      <x:protection locked="1" hidden="0"/>
    </x:xf>
    <x:xf numFmtId="169" fontId="17" fillId="2" borderId="7" applyNumberFormat="1" applyFill="0" applyBorder="1" applyAlignment="1" applyProtection="1">
      <x:protection locked="1" hidden="0"/>
    </x:xf>
    <x:xf numFmtId="169" fontId="19" fillId="2" borderId="9" applyNumberFormat="1" applyFill="0" applyBorder="1" applyAlignment="1" applyProtection="1">
      <x:protection locked="1" hidden="0"/>
    </x:xf>
    <x:xf numFmtId="169" fontId="16" fillId="2" borderId="0" applyNumberFormat="1" applyFill="0" applyBorder="0" applyAlignment="1" applyProtection="1">
      <x:protection locked="1" hidden="0"/>
    </x:xf>
    <x:xf numFmtId="0" fontId="1" fillId="2" borderId="7" quotePrefix="1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4" fontId="0" fillId="2" borderId="3" applyNumberFormat="1" applyFill="0" applyBorder="1" applyAlignment="1" applyProtection="1">
      <x:protection locked="1" hidden="0"/>
    </x:xf>
    <x:xf numFmtId="165" fontId="0" fillId="2" borderId="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9" fontId="0" fillId="2" borderId="3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2" quotePrefix="1" applyNumberFormat="1" applyFill="0" applyBorder="1" applyAlignment="1" applyProtection="1">
      <x:protection locked="1" hidden="0"/>
    </x:xf>
    <x:xf numFmtId="165" fontId="0" fillId="2" borderId="2" applyNumberFormat="1" applyFill="0" applyBorder="1" applyAlignment="1" applyProtection="1">
      <x:protection locked="1" hidden="0"/>
    </x:xf>
    <x:xf numFmtId="4" fontId="0" fillId="2" borderId="2" applyNumberFormat="1" applyFill="0" applyBorder="1" applyAlignment="1" applyProtection="1">
      <x:protection locked="1" hidden="0"/>
    </x:xf>
    <x:xf numFmtId="169" fontId="0" fillId="2" borderId="2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26" fillId="2" borderId="3" applyNumberFormat="1" applyFill="0" applyBorder="1" applyAlignment="1" applyProtection="1">
      <x:protection locked="1" hidden="0"/>
    </x:xf>
    <x:xf numFmtId="169" fontId="26" fillId="2" borderId="3" applyNumberFormat="1" applyFill="0" applyBorder="1" applyAlignment="1" applyProtection="1">
      <x:protection locked="1" hidden="0"/>
    </x:xf>
    <x:xf numFmtId="2" fontId="16" fillId="2" borderId="0" applyNumberFormat="1" applyFill="0" applyBorder="0" applyAlignment="1" applyProtection="1">
      <x:protection locked="1" hidden="0"/>
    </x:xf>
    <x:xf numFmtId="14" fontId="0" fillId="2" borderId="3" applyNumberFormat="1" applyFill="0" applyBorder="1" applyAlignment="1" applyProtection="1">
      <x:protection locked="1" hidden="0"/>
    </x:xf>
    <x:xf numFmtId="0" fontId="1" fillId="2" borderId="13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4" fontId="0" fillId="2" borderId="7" applyNumberFormat="1" applyFill="0" applyBorder="1" applyAlignment="1" applyProtection="1">
      <x:protection locked="1" hidden="0"/>
    </x:xf>
    <x:xf numFmtId="165" fontId="0" fillId="2" borderId="7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4" fontId="6" fillId="2" borderId="3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4" fontId="6" fillId="2" borderId="7" applyNumberFormat="1" applyFill="0" applyBorder="1" applyAlignment="1" applyProtection="1">
      <x:protection locked="1" hidden="0"/>
    </x:xf>
    <x:xf numFmtId="3" fontId="6" fillId="2" borderId="7" applyNumberFormat="1" applyFill="0" applyBorder="1" applyAlignment="1" applyProtection="1">
      <x:protection locked="1" hidden="0"/>
    </x:xf>
    <x:xf numFmtId="164" fontId="6" fillId="2" borderId="7" applyNumberFormat="1" applyFill="0" applyBorder="1" applyAlignment="1" applyProtection="1">
      <x:protection locked="1" hidden="0"/>
    </x:xf>
    <x:xf numFmtId="3" fontId="4" fillId="2" borderId="0" applyNumberFormat="1" applyFill="0" applyBorder="0" applyAlignment="1" applyProtection="1">
      <x:protection locked="1" hidden="0"/>
    </x:xf>
    <x:xf numFmtId="4" fontId="4" fillId="2" borderId="0" applyNumberFormat="1" applyFill="0" applyBorder="0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4" fontId="6" fillId="2" borderId="5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65" fontId="6" fillId="0" borderId="3" applyNumberFormat="1" applyFill="1" applyBorder="1" applyAlignment="1" applyProtection="1">
      <x:protection locked="1" hidden="0"/>
    </x:xf>
    <x:xf numFmtId="4" fontId="6" fillId="0" borderId="3" applyNumberFormat="1" applyFill="1" applyBorder="1" applyAlignment="1" applyProtection="1">
      <x:protection locked="1" hidden="0"/>
    </x:xf>
    <x:xf numFmtId="4" fontId="6" fillId="0" borderId="4" applyNumberFormat="1" applyFill="1" applyBorder="1" applyAlignment="1" applyProtection="1">
      <x:protection locked="1" hidden="0"/>
    </x:xf>
    <x:xf numFmtId="4" fontId="6" fillId="0" borderId="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4" fontId="16" fillId="0" borderId="3" applyNumberFormat="1" applyFill="1" applyBorder="1" applyAlignment="1" applyProtection="1">
      <x:protection locked="1" hidden="0"/>
    </x:xf>
    <x:xf numFmtId="3" fontId="16" fillId="0" borderId="3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4" fontId="1" fillId="0" borderId="3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4" fontId="16" fillId="0" borderId="0" applyNumberFormat="1" applyFill="1" applyBorder="0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165" fontId="7" fillId="2" borderId="2" applyNumberFormat="1" applyFill="0" applyBorder="1" applyAlignment="1" applyProtection="1">
      <x:protection locked="1" hidden="0"/>
    </x:xf>
    <x:xf numFmtId="4" fontId="6" fillId="2" borderId="2" applyNumberFormat="1" applyFill="0" applyBorder="1" applyAlignment="1" applyProtection="1">
      <x:protection locked="1" hidden="0"/>
    </x:xf>
    <x:xf numFmtId="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6" fillId="2" borderId="16" applyNumberFormat="1" applyFill="0" applyBorder="1" applyAlignment="1" applyProtection="1">
      <x:protection locked="1" hidden="0"/>
    </x:xf>
    <x:xf numFmtId="165" fontId="26" fillId="0" borderId="3" applyNumberFormat="1" applyFill="1" applyBorder="1" applyAlignment="1" applyProtection="1">
      <x:protection locked="1" hidden="0"/>
    </x:xf>
    <x:xf numFmtId="4" fontId="4" fillId="0" borderId="7" applyNumberFormat="1" applyFill="1" applyBorder="1" applyAlignment="1" applyProtection="1">
      <x:protection locked="1" hidden="0"/>
    </x:xf>
    <x:xf numFmtId="1" fontId="6" fillId="0" borderId="7" applyNumberFormat="1" applyFill="1" applyBorder="1" applyAlignment="1" applyProtection="1">
      <x:protection locked="1" hidden="0"/>
    </x:xf>
    <x:xf numFmtId="164" fontId="16" fillId="0" borderId="3" applyNumberFormat="1" applyFill="1" applyBorder="1" applyAlignment="1" applyProtection="1">
      <x:protection locked="1" hidden="0"/>
    </x:xf>
    <x:xf numFmtId="4" fontId="4" fillId="2" borderId="7" applyNumberFormat="1" applyFill="0" applyBorder="1" applyAlignment="1" applyProtection="1">
      <x:protection locked="1" hidden="0"/>
    </x:xf>
    <x:xf numFmtId="1" fontId="6" fillId="2" borderId="7" applyNumberFormat="1" applyFill="0" applyBorder="1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4" fontId="4" fillId="0" borderId="0" applyNumberFormat="1" applyFill="1" applyBorder="0" applyAlignment="1" applyProtection="1">
      <x:protection locked="1" hidden="0"/>
    </x:xf>
    <x:xf numFmtId="14" fontId="1" fillId="0" borderId="3" applyNumberFormat="1" applyFill="1" applyBorder="1" applyAlignment="1" applyProtection="1">
      <x:protection locked="1" hidden="0"/>
    </x:xf>
    <x:xf numFmtId="165" fontId="1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26" fillId="0" borderId="2" applyNumberFormat="1" applyFill="1" applyBorder="1" applyAlignment="1" applyProtection="1">
      <x:protection locked="1" hidden="0"/>
    </x:xf>
    <x:xf numFmtId="4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4" fontId="4" fillId="2" borderId="13" applyNumberFormat="1" applyFill="0" applyBorder="1" applyAlignment="1" applyProtection="1">
      <x:protection locked="1" hidden="0"/>
    </x:xf>
    <x:xf numFmtId="1" fontId="6" fillId="2" borderId="3" applyNumberFormat="1" applyFill="0" applyBorder="1" applyAlignment="1" applyProtection="1">
      <x:protection locked="1" hidden="0"/>
    </x:xf>
    <x:xf numFmtId="4" fontId="4" fillId="2" borderId="3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164" fontId="16" fillId="2" borderId="7" applyNumberFormat="1" applyFill="0" applyBorder="1" applyAlignment="1" applyProtection="1">
      <x:protection locked="1" hidden="0"/>
    </x:xf>
    <x:xf numFmtId="4" fontId="12" fillId="2" borderId="3" applyNumberFormat="1" applyFill="0" applyBorder="1" applyAlignment="1" applyProtection="1">
      <x:protection locked="1" hidden="0"/>
    </x:xf>
    <x:xf numFmtId="4" fontId="19" fillId="2" borderId="3" applyNumberFormat="1" applyFill="0" applyBorder="1" applyAlignment="1" applyProtection="1">
      <x:protection locked="1" hidden="0"/>
    </x:xf>
    <x:xf numFmtId="165" fontId="19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3" fontId="6" fillId="2" borderId="3" applyNumberFormat="1" applyFill="0" applyBorder="1" applyAlignment="1" applyProtection="1">
      <x:protection locked="1" hidden="0"/>
    </x:xf>
    <x:xf numFmtId="0" fontId="19" fillId="2" borderId="3" applyNumberFormat="1" applyFill="0" applyBorder="1" applyAlignment="1" applyProtection="1">
      <x:protection locked="1" hidden="0"/>
    </x:xf>
    <x:xf numFmtId="3" fontId="6" fillId="2" borderId="0" applyNumberFormat="1" applyFill="0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4" fontId="15" fillId="2" borderId="9" applyNumberFormat="1" applyFill="0" applyBorder="1" applyAlignment="1" applyProtection="1">
      <x:protection locked="1" hidden="0"/>
    </x:xf>
    <x:xf numFmtId="0" fontId="30" fillId="5" borderId="0" applyNumberFormat="1" applyFill="0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6" borderId="17" applyNumberFormat="1" applyFill="0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70" fontId="0" fillId="0" borderId="18" applyNumberFormat="1" applyFill="1" applyBorder="1" applyAlignment="1" applyProtection="1">
      <x:protection locked="1" hidden="0"/>
    </x:xf>
    <x:xf numFmtId="171" fontId="0" fillId="0" borderId="18" applyNumberFormat="1" applyFill="1" applyBorder="1" applyAlignment="1" applyProtection="1">
      <x:protection locked="1" hidden="0"/>
    </x:xf>
    <x:xf numFmtId="172" fontId="0" fillId="0" borderId="18" applyNumberFormat="1" applyFill="1" applyBorder="1" applyAlignment="1" applyProtection="1">
      <x:protection locked="1" hidden="0"/>
    </x:xf>
    <x:xf numFmtId="164" fontId="0" fillId="0" borderId="18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</x:cellStyleXfs>
  <x:cellXfs count="748">
    <x:xf numFmtId="0" fontId="0" fillId="0" borderId="0" xfId="0"/>
    <x:xf numFmtId="4" fontId="16" fillId="2" borderId="0" xfId="0" applyNumberFormat="1" applyFont="1" applyFill="1"/>
    <x:xf numFmtId="0" fontId="10" fillId="2" borderId="3" xfId="1" applyFont="1" applyFill="1" applyBorder="1"/>
    <x:xf numFmtId="0" fontId="10" fillId="2" borderId="3" xfId="1" applyFont="1" applyFill="1" applyBorder="1" applyAlignment="1">
      <x:alignment horizontal="center"/>
    </x:xf>
    <x:xf numFmtId="4" fontId="10" fillId="2" borderId="3" xfId="1" applyNumberFormat="1" applyFont="1" applyFill="1" applyBorder="1" applyAlignment="1">
      <x:alignment horizontal="right"/>
    </x:xf>
    <x:xf numFmtId="164" fontId="1" fillId="2" borderId="3" xfId="0" applyNumberFormat="1" applyFont="1" applyFill="1" applyBorder="1"/>
    <x:xf numFmtId="4" fontId="1" fillId="2" borderId="3" xfId="0" applyNumberFormat="1" applyFont="1" applyFill="1" applyBorder="1"/>
    <x:xf numFmtId="0" fontId="1" fillId="2" borderId="0" xfId="1" applyFill="1"/>
    <x:xf numFmtId="4" fontId="1" fillId="2" borderId="0" xfId="1" applyNumberFormat="1" applyFill="1"/>
    <x:xf numFmtId="4" fontId="10" fillId="2" borderId="7" xfId="1" applyNumberFormat="1" applyFont="1" applyFill="1" applyBorder="1"/>
    <x:xf numFmtId="4" fontId="10" fillId="2" borderId="7" xfId="1" applyNumberFormat="1" applyFont="1" applyFill="1" applyBorder="1" applyAlignment="1">
      <x:alignment horizontal="right"/>
    </x:xf>
    <x:xf numFmtId="0" fontId="7" fillId="2" borderId="3" xfId="0" applyFont="1" applyFill="1" applyBorder="1" applyAlignment="1">
      <x:alignment horizontal="center"/>
    </x:xf>
    <x:xf numFmtId="4" fontId="7" fillId="2" borderId="5" xfId="0" applyNumberFormat="1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center"/>
    </x:xf>
    <x:xf numFmtId="4" fontId="7" fillId="2" borderId="7" xfId="0" applyNumberFormat="1" applyFont="1" applyFill="1" applyBorder="1" applyAlignment="1">
      <x:alignment horizontal="center"/>
    </x:xf>
    <x:xf numFmtId="2" fontId="1" fillId="2" borderId="0" xfId="1" applyNumberFormat="1" applyFill="1"/>
    <x:xf numFmtId="4" fontId="12" fillId="2" borderId="0" xfId="1" applyNumberFormat="1" applyFont="1" applyFill="1"/>
    <x:xf numFmtId="0" fontId="7" fillId="2" borderId="0" xfId="1" applyFont="1" applyFill="1"/>
    <x:xf numFmtId="0" fontId="7" fillId="2" borderId="0" xfId="1" applyFont="1" applyFill="1" applyAlignment="1">
      <x:alignment horizontal="center"/>
    </x:xf>
    <x:xf numFmtId="0" fontId="1" fillId="2" borderId="0" xfId="1" applyFill="1" applyAlignment="1">
      <x:alignment horizontal="center"/>
    </x:xf>
    <x:xf numFmtId="164" fontId="4" fillId="2" borderId="0" xfId="0" applyNumberFormat="1" applyFont="1" applyFill="1"/>
    <x:xf numFmtId="4" fontId="12" fillId="2" borderId="12" xfId="1" applyNumberFormat="1" applyFont="1" applyFill="1" applyBorder="1"/>
    <x:xf numFmtId="0" fontId="9" fillId="2" borderId="0" xfId="1" applyFont="1" applyFill="1"/>
    <x:xf numFmtId="4" fontId="12" fillId="2" borderId="5" xfId="1" applyNumberFormat="1" applyFont="1" applyFill="1" applyBorder="1"/>
    <x:xf numFmtId="4" fontId="2" fillId="2" borderId="0" xfId="0" applyNumberFormat="1" applyFont="1" applyFill="1"/>
    <x:xf numFmtId="0" fontId="2" fillId="2" borderId="0" xfId="0" applyFont="1" applyFill="1"/>
    <x:xf numFmtId="0" fontId="3" fillId="2" borderId="0" xfId="1" applyFont="1" applyFill="1" applyAlignment="1">
      <x:alignment horizontal="right"/>
    </x:xf>
    <x:xf numFmtId="0" fontId="3" fillId="2" borderId="0" xfId="1" applyFont="1" applyFill="1"/>
    <x:xf numFmtId="164" fontId="3" fillId="2" borderId="0" xfId="1" applyNumberFormat="1" applyFont="1" applyFill="1"/>
    <x:xf numFmtId="4" fontId="3" fillId="2" borderId="0" xfId="1" applyNumberFormat="1" applyFont="1" applyFill="1"/>
    <x:xf numFmtId="0" fontId="2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left"/>
    </x:xf>
    <x:xf numFmtId="4" fontId="3" fillId="2" borderId="0" xfId="0" applyNumberFormat="1" applyFont="1" applyFill="1"/>
    <x:xf numFmtId="0" fontId="3" fillId="2" borderId="0" xfId="0" applyFont="1" applyFill="1"/>
    <x:xf numFmtId="0" fontId="5" fillId="2" borderId="0" xfId="0" applyFont="1" applyFill="1"/>
    <x:xf numFmtId="4" fontId="2" fillId="2" borderId="1" xfId="0" applyNumberFormat="1" applyFont="1" applyFill="1" applyBorder="1" applyAlignment="1">
      <x:alignment horizontal="center"/>
    </x:xf>
    <x:xf numFmtId="4" fontId="2" fillId="2" borderId="2" xfId="0" applyNumberFormat="1" applyFont="1" applyFill="1" applyBorder="1" applyAlignment="1">
      <x:alignment horizontal="center"/>
    </x:xf>
    <x:xf numFmtId="4" fontId="9" fillId="2" borderId="0" xfId="1" applyNumberFormat="1" applyFont="1" applyFill="1"/>
    <x:xf numFmtId="4" fontId="9" fillId="2" borderId="12" xfId="1" applyNumberFormat="1" applyFont="1" applyFill="1" applyBorder="1"/>
    <x:xf numFmtId="0" fontId="8" fillId="2" borderId="0" xfId="1" applyFont="1" applyFill="1"/>
    <x:xf numFmtId="164" fontId="2" fillId="2" borderId="2" xfId="0" applyNumberFormat="1" applyFont="1" applyFill="1" applyBorder="1" applyAlignment="1">
      <x:alignment horizontal="center"/>
    </x:xf>
    <x:xf numFmtId="0" fontId="1" fillId="2" borderId="3" xfId="1" applyFill="1" applyBorder="1"/>
    <x:xf numFmtId="0" fontId="17" fillId="2" borderId="3" xfId="1" applyFont="1" applyFill="1" applyBorder="1"/>
    <x:xf numFmtId="0" fontId="17" fillId="2" borderId="3" xfId="1" applyFont="1" applyFill="1" applyBorder="1" applyAlignment="1">
      <x:alignment horizontal="center"/>
    </x:xf>
    <x:xf numFmtId="4" fontId="17" fillId="2" borderId="3" xfId="1" applyNumberFormat="1" applyFont="1" applyFill="1" applyBorder="1" applyAlignment="1">
      <x:alignment horizontal="right"/>
    </x:xf>
    <x:xf numFmtId="4" fontId="17" fillId="2" borderId="7" xfId="1" applyNumberFormat="1" applyFont="1" applyFill="1" applyBorder="1"/>
    <x:xf numFmtId="4" fontId="17" fillId="2" borderId="7" xfId="1" applyNumberFormat="1" applyFont="1" applyFill="1" applyBorder="1" applyAlignment="1">
      <x:alignment horizontal="right"/>
    </x:xf>
    <x:xf numFmtId="3" fontId="16" fillId="2" borderId="3" xfId="0" applyNumberFormat="1" applyFont="1" applyFill="1" applyBorder="1"/>
    <x:xf numFmtId="164" fontId="16" fillId="2" borderId="3" xfId="0" applyNumberFormat="1" applyFont="1" applyFill="1" applyBorder="1"/>
    <x:xf numFmtId="4" fontId="16" fillId="2" borderId="3" xfId="0" applyNumberFormat="1" applyFont="1" applyFill="1" applyBorder="1"/>
    <x:xf numFmtId="4" fontId="16" fillId="2" borderId="3" xfId="1" applyNumberFormat="1" applyFont="1" applyFill="1" applyBorder="1"/>
    <x:xf numFmtId="0" fontId="16" fillId="2" borderId="3" xfId="1" applyFont="1" applyFill="1" applyBorder="1"/>
    <x:xf numFmtId="0" fontId="16" fillId="2" borderId="0" xfId="1" applyFont="1" applyFill="1"/>
    <x:xf numFmtId="4" fontId="16" fillId="2" borderId="2" xfId="0" applyNumberFormat="1" applyFont="1" applyFill="1" applyBorder="1"/>
    <x:xf numFmtId="0" fontId="7" fillId="2" borderId="4" xfId="0" applyFont="1" applyFill="1" applyBorder="1" applyAlignment="1">
      <x:alignment horizontal="center"/>
    </x:xf>
    <x:xf numFmtId="0" fontId="13" fillId="2" borderId="3" xfId="1" applyFont="1" applyFill="1" applyBorder="1" applyAlignment="1">
      <x:alignment horizontal="center"/>
    </x:xf>
    <x:xf numFmtId="3" fontId="2" fillId="2" borderId="2" xfId="0" applyNumberFormat="1" applyFont="1" applyFill="1" applyBorder="1" applyAlignment="1">
      <x:alignment horizontal="center"/>
    </x:xf>
    <x:xf numFmtId="3" fontId="7" fillId="2" borderId="7" xfId="0" applyNumberFormat="1" applyFont="1" applyFill="1" applyBorder="1" applyAlignment="1">
      <x:alignment horizontal="center"/>
    </x:xf>
    <x:xf numFmtId="164" fontId="7" fillId="2" borderId="7" xfId="0" applyNumberFormat="1" applyFont="1" applyFill="1" applyBorder="1" applyAlignment="1">
      <x:alignment horizontal="center"/>
    </x:xf>
    <x:xf numFmtId="3" fontId="1" fillId="2" borderId="0" xfId="1" applyNumberFormat="1" applyFill="1" applyAlignment="1">
      <x:alignment horizontal="right"/>
    </x:xf>
    <x:xf numFmtId="3" fontId="16" fillId="2" borderId="0" xfId="1" applyNumberFormat="1" applyFont="1" applyFill="1" applyAlignment="1">
      <x:alignment horizontal="right"/>
    </x:xf>
    <x:xf numFmtId="165" fontId="10" fillId="2" borderId="3" xfId="1" applyNumberFormat="1" applyFont="1" applyFill="1" applyBorder="1" applyAlignment="1">
      <x:alignment horizontal="center"/>
    </x:xf>
    <x:xf numFmtId="4" fontId="7" fillId="2" borderId="3" xfId="0" applyNumberFormat="1" applyFont="1" applyFill="1" applyBorder="1" applyAlignment="1">
      <x:alignment horizontal="center"/>
    </x:xf>
    <x:xf numFmtId="165" fontId="1" fillId="2" borderId="0" xfId="1" applyNumberFormat="1" applyFill="1"/>
    <x:xf numFmtId="165" fontId="2" fillId="2" borderId="0" xfId="0" applyNumberFormat="1" applyFont="1" applyFill="1" applyAlignment="1">
      <x:alignment horizontal="center"/>
    </x:xf>
    <x:xf numFmtId="165" fontId="3" fillId="2" borderId="0" xfId="0" applyNumberFormat="1" applyFont="1" applyFill="1"/>
    <x:xf numFmtId="165" fontId="7" fillId="2" borderId="3" xfId="0" applyNumberFormat="1" applyFont="1" applyFill="1" applyBorder="1" applyAlignment="1">
      <x:alignment horizontal="center"/>
    </x:xf>
    <x:xf numFmtId="165" fontId="1" fillId="2" borderId="0" xfId="1" applyNumberFormat="1" applyFill="1" applyAlignment="1">
      <x:alignment horizontal="center"/>
    </x:xf>
    <x:xf numFmtId="165" fontId="17" fillId="2" borderId="3" xfId="1" applyNumberFormat="1" applyFont="1" applyFill="1" applyBorder="1" applyAlignment="1">
      <x:alignment horizontal="center"/>
    </x:xf>
    <x:xf numFmtId="165" fontId="2" fillId="2" borderId="0" xfId="0" applyNumberFormat="1" applyFont="1" applyFill="1"/>
    <x:xf numFmtId="165" fontId="6" fillId="2" borderId="3" xfId="0" applyNumberFormat="1" applyFont="1" applyFill="1" applyBorder="1" applyAlignment="1">
      <x:alignment horizontal="left"/>
    </x:xf>
    <x:xf numFmtId="165" fontId="10" fillId="2" borderId="7" xfId="1" applyNumberFormat="1" applyFont="1" applyFill="1" applyBorder="1" applyAlignment="1">
      <x:alignment horizontal="center"/>
    </x:xf>
    <x:xf numFmtId="165" fontId="17" fillId="2" borderId="7" xfId="1" applyNumberFormat="1" applyFont="1" applyFill="1" applyBorder="1" applyAlignment="1">
      <x:alignment horizontal="center"/>
    </x:xf>
    <x:xf numFmtId="165" fontId="14" fillId="2" borderId="0" xfId="0" applyNumberFormat="1" applyFont="1" applyFill="1" applyAlignment="1">
      <x:alignment vertical="center"/>
    </x:xf>
    <x:xf numFmtId="3" fontId="16" fillId="2" borderId="0" xfId="0" applyNumberFormat="1" applyFont="1" applyFill="1" applyAlignment="1">
      <x:alignment horizontal="right"/>
    </x:xf>
    <x:xf numFmtId="4" fontId="18" fillId="2" borderId="9" xfId="1" applyNumberFormat="1" applyFont="1" applyFill="1" applyBorder="1"/>
    <x:xf numFmtId="0" fontId="16" fillId="2" borderId="0" xfId="1" applyFont="1" applyFill="1" applyAlignment="1">
      <x:alignment horizontal="center"/>
    </x:xf>
    <x:xf numFmtId="165" fontId="16" fillId="2" borderId="0" xfId="1" applyNumberFormat="1" applyFont="1" applyFill="1" applyAlignment="1">
      <x:alignment horizontal="center"/>
    </x:xf>
    <x:xf numFmtId="4" fontId="16" fillId="2" borderId="0" xfId="1" applyNumberFormat="1" applyFont="1" applyFill="1"/>
    <x:xf numFmtId="165" fontId="16" fillId="2" borderId="0" xfId="1" applyNumberFormat="1" applyFont="1" applyFill="1"/>
    <x:xf numFmtId="0" fontId="19" fillId="2" borderId="9" xfId="1" applyFont="1" applyFill="1" applyBorder="1"/>
    <x:xf numFmtId="165" fontId="19" fillId="2" borderId="9" xfId="1" applyNumberFormat="1" applyFont="1" applyFill="1" applyBorder="1"/>
    <x:xf numFmtId="0" fontId="19" fillId="2" borderId="0" xfId="1" applyFont="1" applyFill="1"/>
    <x:xf numFmtId="0" fontId="20" fillId="2" borderId="3" xfId="0" applyFont="1" applyFill="1" applyBorder="1" applyAlignment="1">
      <x:alignment horizontal="left" wrapText="1" readingOrder="1"/>
    </x:xf>
    <x:xf numFmtId="165" fontId="13" fillId="2" borderId="3" xfId="1" applyNumberFormat="1" applyFont="1" applyFill="1" applyBorder="1" applyAlignment="1">
      <x:alignment horizontal="center"/>
    </x:xf>
    <x:xf numFmtId="165" fontId="20" fillId="2" borderId="3" xfId="0" applyNumberFormat="1" applyFont="1" applyFill="1" applyBorder="1" applyAlignment="1">
      <x:alignment horizontal="center" wrapText="1" readingOrder="1"/>
    </x:xf>
    <x:xf numFmtId="4" fontId="20" fillId="2" borderId="3" xfId="0" applyNumberFormat="1" applyFont="1" applyFill="1" applyBorder="1" applyAlignment="1">
      <x:alignment horizontal="right" wrapText="1" readingOrder="1"/>
    </x:xf>
    <x:xf numFmtId="4" fontId="20" fillId="2" borderId="7" xfId="0" applyNumberFormat="1" applyFont="1" applyFill="1" applyBorder="1" applyAlignment="1">
      <x:alignment horizontal="right" wrapText="1" readingOrder="1"/>
    </x:xf>
    <x:xf numFmtId="165" fontId="13" fillId="2" borderId="3" xfId="0" applyNumberFormat="1" applyFont="1" applyFill="1" applyBorder="1" applyAlignment="1">
      <x:alignment horizontal="center" wrapText="1" readingOrder="1"/>
    </x:xf>
    <x:xf numFmtId="165" fontId="13" fillId="2" borderId="7" xfId="1" applyNumberFormat="1" applyFont="1" applyFill="1" applyBorder="1" applyAlignment="1">
      <x:alignment horizontal="center"/>
    </x:xf>
    <x:xf numFmtId="4" fontId="13" fillId="2" borderId="3" xfId="1" applyNumberFormat="1" applyFont="1" applyFill="1" applyBorder="1"/>
    <x:xf numFmtId="0" fontId="13" fillId="2" borderId="3" xfId="0" applyFont="1" applyFill="1" applyBorder="1" applyAlignment="1">
      <x:alignment horizontal="left" wrapText="1" readingOrder="1"/>
    </x:xf>
    <x:xf numFmtId="4" fontId="13" fillId="2" borderId="3" xfId="0" applyNumberFormat="1" applyFont="1" applyFill="1" applyBorder="1" applyAlignment="1">
      <x:alignment horizontal="right" wrapText="1" readingOrder="1"/>
    </x:xf>
    <x:xf numFmtId="0" fontId="13" fillId="2" borderId="3" xfId="0" applyFont="1" applyFill="1" applyBorder="1" applyAlignment="1">
      <x:alignment horizontal="center" wrapText="1" readingOrder="1"/>
    </x:xf>
    <x:xf numFmtId="4" fontId="11" fillId="2" borderId="7" xfId="1" applyNumberFormat="1" applyFont="1" applyFill="1" applyBorder="1"/>
    <x:xf numFmtId="0" fontId="20" fillId="2" borderId="3" xfId="0" applyFont="1" applyFill="1" applyBorder="1" applyAlignment="1">
      <x:alignment horizontal="center" wrapText="1" readingOrder="1"/>
    </x:xf>
    <x:xf numFmtId="4" fontId="13" fillId="2" borderId="7" xfId="1" applyNumberFormat="1" applyFont="1" applyFill="1" applyBorder="1"/>
    <x:xf numFmtId="0" fontId="20" fillId="3" borderId="3" xfId="0" applyFont="1" applyFill="1" applyBorder="1" applyAlignment="1">
      <x:alignment horizontal="left" wrapText="1" readingOrder="1"/>
    </x:xf>
    <x:xf numFmtId="0" fontId="20" fillId="3" borderId="3" xfId="0" applyFont="1" applyFill="1" applyBorder="1" applyAlignment="1">
      <x:alignment horizontal="center" wrapText="1" readingOrder="1"/>
    </x:xf>
    <x:xf numFmtId="4" fontId="20" fillId="3" borderId="3" xfId="0" applyNumberFormat="1" applyFont="1" applyFill="1" applyBorder="1" applyAlignment="1">
      <x:alignment horizontal="right" wrapText="1" readingOrder="1"/>
    </x:xf>
    <x:xf numFmtId="0" fontId="1" fillId="2" borderId="3" xfId="1" applyFill="1" applyBorder="1" applyAlignment="1">
      <x:alignment horizontal="center"/>
    </x:xf>
    <x:xf numFmtId="0" fontId="13" fillId="2" borderId="3" xfId="0" applyFont="1" applyFill="1" applyBorder="1"/>
    <x:xf numFmtId="0" fontId="13" fillId="2" borderId="3" xfId="0" applyFont="1" applyFill="1" applyBorder="1" applyAlignment="1">
      <x:alignment horizontal="center"/>
    </x:xf>
    <x:xf numFmtId="0" fontId="13" fillId="2" borderId="0" xfId="0" applyFont="1" applyFill="1"/>
    <x:xf numFmtId="4" fontId="13" fillId="2" borderId="7" xfId="0" applyNumberFormat="1" applyFont="1" applyFill="1" applyBorder="1" applyAlignment="1">
      <x:alignment horizontal="right" wrapText="1" readingOrder="1"/>
    </x:xf>
    <x:xf numFmtId="165" fontId="13" fillId="2" borderId="3" xfId="0" applyNumberFormat="1" applyFont="1" applyFill="1" applyBorder="1" applyAlignment="1">
      <x:alignment horizontal="center"/>
    </x:xf>
    <x:xf numFmtId="165" fontId="13" fillId="2" borderId="7" xfId="0" applyNumberFormat="1" applyFont="1" applyFill="1" applyBorder="1" applyAlignment="1">
      <x:alignment horizontal="center"/>
    </x:xf>
    <x:xf numFmtId="0" fontId="13" fillId="2" borderId="8" xfId="1" applyFont="1" applyFill="1" applyBorder="1" applyAlignment="1">
      <x:alignment horizontal="center"/>
    </x:xf>
    <x:xf numFmtId="165" fontId="20" fillId="2" borderId="6" xfId="0" applyNumberFormat="1" applyFont="1" applyFill="1" applyBorder="1" applyAlignment="1">
      <x:alignment horizontal="center" wrapText="1" readingOrder="1"/>
    </x:xf>
    <x:xf numFmtId="165" fontId="20" fillId="3" borderId="3" xfId="0" applyNumberFormat="1" applyFont="1" applyFill="1" applyBorder="1" applyAlignment="1">
      <x:alignment horizontal="center" wrapText="1" readingOrder="1"/>
    </x:xf>
    <x:xf numFmtId="165" fontId="13" fillId="3" borderId="7" xfId="0" applyNumberFormat="1" applyFont="1" applyFill="1" applyBorder="1" applyAlignment="1">
      <x:alignment horizontal="center"/>
    </x:xf>
    <x:xf numFmtId="0" fontId="11" fillId="2" borderId="8" xfId="1" applyFont="1" applyFill="1" applyBorder="1" applyAlignment="1">
      <x:alignment horizontal="center"/>
    </x:xf>
    <x:xf numFmtId="0" fontId="20" fillId="2" borderId="4" xfId="0" applyFont="1" applyFill="1" applyBorder="1" applyAlignment="1">
      <x:alignment horizontal="left" wrapText="1" readingOrder="1"/>
    </x:xf>
    <x:xf numFmtId="0" fontId="13" fillId="2" borderId="6" xfId="1" applyFont="1" applyFill="1" applyBorder="1" applyAlignment="1">
      <x:alignment horizontal="center"/>
    </x:xf>
    <x:xf numFmtId="165" fontId="20" fillId="2" borderId="7" xfId="0" applyNumberFormat="1" applyFont="1" applyFill="1" applyBorder="1" applyAlignment="1">
      <x:alignment horizontal="center" wrapText="1" readingOrder="1"/>
    </x:xf>
    <x:xf numFmtId="0" fontId="21" fillId="2" borderId="3" xfId="0" applyFont="1" applyFill="1" applyBorder="1" applyAlignment="1">
      <x:alignment horizontal="left" wrapText="1" readingOrder="1"/>
    </x:xf>
    <x:xf numFmtId="0" fontId="16" fillId="2" borderId="3" xfId="1" applyFont="1" applyFill="1" applyBorder="1" applyAlignment="1">
      <x:alignment horizontal="center"/>
    </x:xf>
    <x:xf numFmtId="0" fontId="21" fillId="2" borderId="3" xfId="0" applyFont="1" applyFill="1" applyBorder="1" applyAlignment="1">
      <x:alignment horizontal="center" wrapText="1" readingOrder="1"/>
    </x:xf>
    <x:xf numFmtId="165" fontId="21" fillId="2" borderId="3" xfId="0" applyNumberFormat="1" applyFont="1" applyFill="1" applyBorder="1" applyAlignment="1">
      <x:alignment horizontal="center" wrapText="1" readingOrder="1"/>
    </x:xf>
    <x:xf numFmtId="4" fontId="21" fillId="2" borderId="3" xfId="0" applyNumberFormat="1" applyFont="1" applyFill="1" applyBorder="1" applyAlignment="1">
      <x:alignment horizontal="right" wrapText="1" readingOrder="1"/>
    </x:xf>
    <x:xf numFmtId="4" fontId="1" fillId="2" borderId="7" xfId="1" applyNumberFormat="1" applyFill="1" applyBorder="1"/>
    <x:xf numFmtId="165" fontId="16" fillId="2" borderId="3" xfId="0" applyNumberFormat="1" applyFont="1" applyFill="1" applyBorder="1" applyAlignment="1">
      <x:alignment horizontal="center"/>
    </x:xf>
    <x:xf numFmtId="165" fontId="16" fillId="2" borderId="3" xfId="1" applyNumberFormat="1" applyFont="1" applyFill="1" applyBorder="1" applyAlignment="1">
      <x:alignment horizontal="center"/>
    </x:xf>
    <x:xf numFmtId="4" fontId="16" fillId="2" borderId="3" xfId="1" applyNumberFormat="1" applyFont="1" applyFill="1" applyBorder="1" applyAlignment="1">
      <x:alignment horizontal="right"/>
    </x:xf>
    <x:xf numFmtId="4" fontId="16" fillId="2" borderId="7" xfId="1" applyNumberFormat="1" applyFont="1" applyFill="1" applyBorder="1"/>
    <x:xf numFmtId="4" fontId="16" fillId="2" borderId="7" xfId="1" applyNumberFormat="1" applyFont="1" applyFill="1" applyBorder="1" applyAlignment="1">
      <x:alignment horizontal="right"/>
    </x:xf>
    <x:xf numFmtId="165" fontId="16" fillId="2" borderId="7" xfId="1" applyNumberFormat="1" applyFont="1" applyFill="1" applyBorder="1" applyAlignment="1">
      <x:alignment horizontal="center"/>
    </x:xf>
    <x:xf numFmtId="0" fontId="21" fillId="2" borderId="3" xfId="0" applyFont="1" applyFill="1" applyBorder="1" applyAlignment="1">
      <x:alignment readingOrder="1"/>
    </x:xf>
    <x:xf numFmtId="0" fontId="21" fillId="2" borderId="3" xfId="0" applyFont="1" applyFill="1" applyBorder="1" applyAlignment="1">
      <x:alignment horizontal="left" readingOrder="1"/>
    </x:xf>
    <x:xf numFmtId="0" fontId="16" fillId="2" borderId="3" xfId="0" applyFont="1" applyFill="1" applyBorder="1" applyAlignment="1">
      <x:alignment horizontal="left" wrapText="1" readingOrder="1"/>
    </x:xf>
    <x:xf numFmtId="0" fontId="16" fillId="2" borderId="3" xfId="0" applyFont="1" applyFill="1" applyBorder="1"/>
    <x:xf numFmtId="0" fontId="16" fillId="2" borderId="3" xfId="0" applyFont="1" applyFill="1" applyBorder="1" applyAlignment="1">
      <x:alignment horizontal="center" wrapText="1" readingOrder="1"/>
    </x:xf>
    <x:xf numFmtId="165" fontId="16" fillId="2" borderId="3" xfId="0" applyNumberFormat="1" applyFont="1" applyFill="1" applyBorder="1" applyAlignment="1">
      <x:alignment horizontal="center" wrapText="1" readingOrder="1"/>
    </x:xf>
    <x:xf numFmtId="4" fontId="16" fillId="2" borderId="3" xfId="0" applyNumberFormat="1" applyFont="1" applyFill="1" applyBorder="1" applyAlignment="1">
      <x:alignment horizontal="right" wrapText="1" readingOrder="1"/>
    </x:xf>
    <x:xf numFmtId="165" fontId="16" fillId="2" borderId="7" xfId="0" applyNumberFormat="1" applyFont="1" applyFill="1" applyBorder="1" applyAlignment="1">
      <x:alignment horizontal="center"/>
    </x:xf>
    <x:xf numFmtId="0" fontId="16" fillId="2" borderId="6" xfId="1" applyFont="1" applyFill="1" applyBorder="1" applyAlignment="1">
      <x:alignment horizontal="center"/>
    </x:xf>
    <x:xf numFmtId="0" fontId="16" fillId="2" borderId="8" xfId="1" applyFont="1" applyFill="1" applyBorder="1" applyAlignment="1">
      <x:alignment horizontal="center"/>
    </x:xf>
    <x:xf numFmtId="0" fontId="1" fillId="2" borderId="8" xfId="1" applyFill="1" applyBorder="1" applyAlignment="1">
      <x:alignment horizontal="center"/>
    </x:xf>
    <x:xf numFmtId="165" fontId="1" fillId="2" borderId="3" xfId="1" applyNumberFormat="1" applyFill="1" applyBorder="1" applyAlignment="1">
      <x:alignment horizontal="center"/>
    </x:xf>
    <x:xf numFmtId="4" fontId="1" fillId="2" borderId="3" xfId="1" applyNumberFormat="1" applyFill="1" applyBorder="1" applyAlignment="1">
      <x:alignment horizontal="right"/>
    </x:xf>
    <x:xf numFmtId="4" fontId="1" fillId="2" borderId="7" xfId="1" applyNumberFormat="1" applyFill="1" applyBorder="1" applyAlignment="1">
      <x:alignment horizontal="right"/>
    </x:xf>
    <x:xf numFmtId="0" fontId="16" fillId="2" borderId="3" xfId="0" applyFont="1" applyFill="1" applyBorder="1" applyAlignment="1">
      <x:alignment horizontal="center"/>
    </x:xf>
    <x:xf numFmtId="0" fontId="16" fillId="2" borderId="0" xfId="0" applyFont="1" applyFill="1" applyAlignment="1">
      <x:alignment horizontal="center"/>
    </x:xf>
    <x:xf numFmtId="165" fontId="21" fillId="3" borderId="3" xfId="0" applyNumberFormat="1" applyFont="1" applyFill="1" applyBorder="1" applyAlignment="1">
      <x:alignment horizontal="center" wrapText="1" readingOrder="1"/>
    </x:xf>
    <x:xf numFmtId="4" fontId="21" fillId="3" borderId="3" xfId="0" applyNumberFormat="1" applyFont="1" applyFill="1" applyBorder="1" applyAlignment="1">
      <x:alignment horizontal="right" wrapText="1" readingOrder="1"/>
    </x:xf>
    <x:xf numFmtId="165" fontId="16" fillId="3" borderId="7" xfId="0" applyNumberFormat="1" applyFont="1" applyFill="1" applyBorder="1" applyAlignment="1">
      <x:alignment horizontal="center"/>
    </x:xf>
    <x:xf numFmtId="0" fontId="21" fillId="3" borderId="3" xfId="0" applyFont="1" applyFill="1" applyBorder="1" applyAlignment="1">
      <x:alignment horizontal="center" wrapText="1" readingOrder="1"/>
    </x:xf>
    <x:xf numFmtId="0" fontId="21" fillId="3" borderId="3" xfId="0" applyFont="1" applyFill="1" applyBorder="1" applyAlignment="1">
      <x:alignment horizontal="left" wrapText="1" readingOrder="1"/>
    </x:xf>
    <x:xf numFmtId="165" fontId="16" fillId="2" borderId="7" xfId="0" applyNumberFormat="1" applyFont="1" applyFill="1" applyBorder="1" applyAlignment="1">
      <x:alignment horizontal="center" wrapText="1" readingOrder="1"/>
    </x:xf>
    <x:xf numFmtId="165" fontId="1" fillId="2" borderId="7" xfId="1" applyNumberFormat="1" applyFill="1" applyBorder="1" applyAlignment="1">
      <x:alignment horizontal="center"/>
    </x:xf>
    <x:xf numFmtId="165" fontId="16" fillId="3" borderId="3" xfId="0" applyNumberFormat="1" applyFont="1" applyFill="1" applyBorder="1" applyAlignment="1">
      <x:alignment horizontal="center"/>
    </x:xf>
    <x:xf numFmtId="165" fontId="21" fillId="3" borderId="7" xfId="0" applyNumberFormat="1" applyFont="1" applyFill="1" applyBorder="1" applyAlignment="1">
      <x:alignment horizontal="center" wrapText="1" readingOrder="1"/>
    </x:xf>
    <x:xf numFmtId="0" fontId="13" fillId="2" borderId="2" xfId="0" applyFont="1" applyFill="1" applyBorder="1" applyAlignment="1">
      <x:alignment horizontal="left" wrapText="1" readingOrder="1"/>
    </x:xf>
    <x:xf numFmtId="0" fontId="13" fillId="2" borderId="2" xfId="0" applyFont="1" applyFill="1" applyBorder="1"/>
    <x:xf numFmtId="0" fontId="13" fillId="2" borderId="2" xfId="0" applyFont="1" applyFill="1" applyBorder="1" applyAlignment="1">
      <x:alignment horizontal="center" wrapText="1" readingOrder="1"/>
    </x:xf>
    <x:xf numFmtId="165" fontId="13" fillId="2" borderId="2" xfId="0" applyNumberFormat="1" applyFont="1" applyFill="1" applyBorder="1" applyAlignment="1">
      <x:alignment horizontal="center" wrapText="1" readingOrder="1"/>
    </x:xf>
    <x:xf numFmtId="4" fontId="13" fillId="2" borderId="2" xfId="0" applyNumberFormat="1" applyFont="1" applyFill="1" applyBorder="1" applyAlignment="1">
      <x:alignment horizontal="right" wrapText="1" readingOrder="1"/>
    </x:xf>
    <x:xf numFmtId="0" fontId="13" fillId="2" borderId="7" xfId="0" applyFont="1" applyFill="1" applyBorder="1"/>
    <x:xf numFmtId="0" fontId="20" fillId="2" borderId="8" xfId="0" applyFont="1" applyFill="1" applyBorder="1" applyAlignment="1">
      <x:alignment horizontal="center" wrapText="1" readingOrder="1"/>
    </x:xf>
    <x:xf numFmtId="0" fontId="13" fillId="2" borderId="10" xfId="1" applyFont="1" applyFill="1" applyBorder="1" applyAlignment="1">
      <x:alignment horizontal="center"/>
    </x:xf>
    <x:xf numFmtId="0" fontId="13" fillId="2" borderId="7" xfId="1" applyFont="1" applyFill="1" applyBorder="1" applyAlignment="1">
      <x:alignment horizontal="center"/>
    </x:xf>
    <x:xf numFmtId="0" fontId="13" fillId="2" borderId="11" xfId="1" applyFont="1" applyFill="1" applyBorder="1" applyAlignment="1">
      <x:alignment horizontal="center"/>
    </x:xf>
    <x:xf numFmtId="0" fontId="15" fillId="2" borderId="3" xfId="0" applyFont="1" applyFill="1" applyBorder="1" applyAlignment="1">
      <x:alignment horizontal="center"/>
    </x:xf>
    <x:xf numFmtId="165" fontId="15" fillId="2" borderId="3" xfId="0" applyNumberFormat="1" applyFont="1" applyFill="1" applyBorder="1" applyAlignment="1">
      <x:alignment horizontal="center"/>
    </x:xf>
    <x:xf numFmtId="0" fontId="15" fillId="2" borderId="4" xfId="0" applyFont="1" applyFill="1" applyBorder="1" applyAlignment="1">
      <x:alignment horizontal="center"/>
    </x:xf>
    <x:xf numFmtId="4" fontId="15" fillId="2" borderId="5" xfId="0" applyNumberFormat="1" applyFont="1" applyFill="1" applyBorder="1" applyAlignment="1">
      <x:alignment horizontal="center"/>
    </x:xf>
    <x:xf numFmtId="0" fontId="15" fillId="2" borderId="6" xfId="0" applyFont="1" applyFill="1" applyBorder="1" applyAlignment="1">
      <x:alignment horizontal="center"/>
    </x:xf>
    <x:xf numFmtId="165" fontId="22" fillId="2" borderId="3" xfId="0" applyNumberFormat="1" applyFont="1" applyFill="1" applyBorder="1" applyAlignment="1">
      <x:alignment horizontal="left"/>
    </x:xf>
    <x:xf numFmtId="4" fontId="15" fillId="2" borderId="7" xfId="0" applyNumberFormat="1" applyFont="1" applyFill="1" applyBorder="1" applyAlignment="1">
      <x:alignment horizontal="center"/>
    </x:xf>
    <x:xf numFmtId="3" fontId="15" fillId="2" borderId="7" xfId="0" applyNumberFormat="1" applyFont="1" applyFill="1" applyBorder="1" applyAlignment="1">
      <x:alignment horizontal="center"/>
    </x:xf>
    <x:xf numFmtId="164" fontId="15" fillId="2" borderId="7" xfId="0" applyNumberFormat="1" applyFont="1" applyFill="1" applyBorder="1" applyAlignment="1">
      <x:alignment horizontal="center"/>
    </x:xf>
    <x:xf numFmtId="0" fontId="23" fillId="2" borderId="3" xfId="0" applyFont="1" applyFill="1" applyBorder="1"/>
    <x:xf numFmtId="165" fontId="23" fillId="2" borderId="3" xfId="0" applyNumberFormat="1" applyFont="1" applyFill="1" applyBorder="1" applyAlignment="1">
      <x:alignment horizontal="center"/>
    </x:xf>
    <x:xf numFmtId="0" fontId="24" fillId="2" borderId="3" xfId="0" applyFont="1" applyFill="1" applyBorder="1"/>
    <x:xf numFmtId="165" fontId="24" fillId="2" borderId="3" xfId="0" applyNumberFormat="1" applyFont="1" applyFill="1" applyBorder="1" applyAlignment="1">
      <x:alignment horizontal="center"/>
    </x:xf>
    <x:xf numFmtId="2" fontId="13" fillId="2" borderId="3" xfId="0" applyNumberFormat="1" applyFont="1" applyFill="1" applyBorder="1" applyAlignment="1">
      <x:alignment horizontal="right" wrapText="1" readingOrder="1"/>
    </x:xf>
    <x:xf numFmtId="2" fontId="13" fillId="2" borderId="3" xfId="1" applyNumberFormat="1" applyFont="1" applyFill="1" applyBorder="1"/>
    <x:xf numFmtId="2" fontId="16" fillId="2" borderId="3" xfId="1" applyNumberFormat="1" applyFont="1" applyFill="1" applyBorder="1"/>
    <x:xf numFmtId="2" fontId="16" fillId="2" borderId="3" xfId="0" applyNumberFormat="1" applyFont="1" applyFill="1" applyBorder="1"/>
    <x:xf numFmtId="166" fontId="23" fillId="2" borderId="3" xfId="0" applyNumberFormat="1" applyFont="1" applyFill="1" applyBorder="1"/>
    <x:xf numFmtId="166" fontId="13" fillId="2" borderId="3" xfId="0" applyNumberFormat="1" applyFont="1" applyFill="1" applyBorder="1"/>
    <x:xf numFmtId="4" fontId="1" fillId="2" borderId="0" xfId="1" applyNumberFormat="1" applyFill="1" applyAlignment="1">
      <x:alignment horizontal="center"/>
    </x:xf>
    <x:xf numFmtId="0" fontId="3" fillId="2" borderId="0" xfId="0" applyFont="1" applyFill="1" applyAlignment="1">
      <x:alignment horizontal="center"/>
    </x:xf>
    <x:xf numFmtId="0" fontId="24" fillId="2" borderId="3" xfId="0" applyFont="1" applyFill="1" applyBorder="1" applyAlignment="1">
      <x:alignment horizontal="center"/>
    </x:xf>
    <x:xf numFmtId="0" fontId="23" fillId="2" borderId="3" xfId="0" applyFont="1" applyFill="1" applyBorder="1" applyAlignment="1">
      <x:alignment horizontal="center"/>
    </x:xf>
    <x:xf numFmtId="4" fontId="1" fillId="4" borderId="0" xfId="1" applyNumberFormat="1" applyFill="1"/>
    <x:xf numFmtId="3" fontId="1" fillId="4" borderId="0" xfId="1" applyNumberFormat="1" applyFill="1" applyAlignment="1">
      <x:alignment horizontal="left"/>
    </x:xf>
    <x:xf numFmtId="0" fontId="13" fillId="2" borderId="3" xfId="0" applyFont="1" applyFill="1" applyBorder="1" applyAlignment="1">
      <x:alignment horizontal="center" wrapText="1"/>
    </x:xf>
    <x:xf numFmtId="4" fontId="13" fillId="2" borderId="3" xfId="0" applyNumberFormat="1" applyFont="1" applyFill="1" applyBorder="1"/>
    <x:xf numFmtId="4" fontId="13" fillId="2" borderId="3" xfId="0" applyNumberFormat="1" applyFont="1" applyFill="1" applyBorder="1" applyAlignment="1">
      <x:alignment horizontal="center"/>
    </x:xf>
    <x:xf numFmtId="4" fontId="23" fillId="2" borderId="3" xfId="0" applyNumberFormat="1" applyFont="1" applyFill="1" applyBorder="1"/>
    <x:xf numFmtId="0" fontId="20" fillId="2" borderId="3" xfId="0" applyFont="1" applyFill="1" applyBorder="1" applyAlignment="1">
      <x:alignment horizontal="center" wrapText="1"/>
    </x:xf>
    <x:xf numFmtId="165" fontId="20" fillId="2" borderId="7" xfId="0" applyNumberFormat="1" applyFont="1" applyFill="1" applyBorder="1" applyAlignment="1">
      <x:alignment horizontal="center" wrapText="1"/>
    </x:xf>
    <x:xf numFmtId="165" fontId="23" fillId="2" borderId="6" xfId="0" applyNumberFormat="1" applyFont="1" applyFill="1" applyBorder="1" applyAlignment="1">
      <x:alignment horizontal="center"/>
    </x:xf>
    <x:xf numFmtId="165" fontId="20" fillId="2" borderId="3" xfId="0" applyNumberFormat="1" applyFont="1" applyFill="1" applyBorder="1" applyAlignment="1">
      <x:alignment horizontal="center" wrapText="1"/>
    </x:xf>
    <x:xf numFmtId="165" fontId="3" fillId="2" borderId="0" xfId="0" applyNumberFormat="1" applyFont="1" applyFill="1" applyAlignment="1">
      <x:alignment horizontal="center"/>
    </x:xf>
    <x:xf numFmtId="166" fontId="24" fillId="2" borderId="3" xfId="0" applyNumberFormat="1" applyFont="1" applyFill="1" applyBorder="1"/>
    <x:xf numFmtId="165" fontId="6" fillId="2" borderId="3" xfId="0" applyNumberFormat="1" applyFont="1" applyFill="1" applyBorder="1" applyAlignment="1">
      <x:alignment horizontal="center"/>
    </x:xf>
    <x:xf numFmtId="167" fontId="13" fillId="2" borderId="3" xfId="0" applyNumberFormat="1" applyFont="1" applyFill="1" applyBorder="1"/>
    <x:xf numFmtId="167" fontId="23" fillId="2" borderId="3" xfId="0" applyNumberFormat="1" applyFont="1" applyFill="1" applyBorder="1"/>
    <x:xf numFmtId="4" fontId="23" fillId="2" borderId="3" xfId="0" applyNumberFormat="1" applyFont="1" applyFill="1" applyBorder="1" applyAlignment="1">
      <x:alignment horizontal="center"/>
    </x:xf>
    <x:xf numFmtId="165" fontId="23" fillId="2" borderId="3" xfId="0" applyNumberFormat="1" applyFont="1" applyFill="1" applyBorder="1"/>
    <x:xf numFmtId="0" fontId="13" fillId="2" borderId="3" xfId="4" applyFont="1" applyFill="1" applyBorder="1"/>
    <x:xf numFmtId="0" fontId="13" fillId="2" borderId="3" xfId="4" applyFont="1" applyFill="1" applyBorder="1" applyAlignment="1">
      <x:alignment horizontal="center"/>
    </x:xf>
    <x:xf numFmtId="165" fontId="13" fillId="2" borderId="3" xfId="4" applyNumberFormat="1" applyFont="1" applyFill="1" applyBorder="1" applyAlignment="1">
      <x:alignment horizontal="center"/>
    </x:xf>
    <x:xf numFmtId="0" fontId="24" fillId="2" borderId="3" xfId="4" applyFont="1" applyFill="1" applyBorder="1"/>
    <x:xf numFmtId="0" fontId="24" fillId="2" borderId="3" xfId="4" applyFont="1" applyFill="1" applyBorder="1" applyAlignment="1">
      <x:alignment horizontal="center"/>
    </x:xf>
    <x:xf numFmtId="165" fontId="24" fillId="2" borderId="3" xfId="4" applyNumberFormat="1" applyFont="1" applyFill="1" applyBorder="1" applyAlignment="1">
      <x:alignment horizontal="center"/>
    </x:xf>
    <x:xf numFmtId="0" fontId="23" fillId="2" borderId="3" xfId="4" applyFont="1" applyFill="1" applyBorder="1"/>
    <x:xf numFmtId="0" fontId="23" fillId="2" borderId="3" xfId="4" applyFont="1" applyFill="1" applyBorder="1" applyAlignment="1">
      <x:alignment horizontal="center"/>
    </x:xf>
    <x:xf numFmtId="165" fontId="23" fillId="2" borderId="3" xfId="4" applyNumberFormat="1" applyFont="1" applyFill="1" applyBorder="1" applyAlignment="1">
      <x:alignment horizontal="center"/>
    </x:xf>
    <x:xf numFmtId="166" fontId="23" fillId="2" borderId="3" xfId="4" applyNumberFormat="1" applyFont="1" applyFill="1" applyBorder="1"/>
    <x:xf numFmtId="0" fontId="15" fillId="2" borderId="9" xfId="1" applyFont="1" applyFill="1" applyBorder="1" applyAlignment="1">
      <x:alignment horizontal="center"/>
    </x:xf>
    <x:xf numFmtId="0" fontId="16" fillId="2" borderId="9" xfId="1" applyFont="1" applyFill="1" applyBorder="1" applyAlignment="1">
      <x:alignment horizontal="center"/>
    </x:xf>
    <x:xf numFmtId="165" fontId="13" fillId="2" borderId="3" xfId="0" applyNumberFormat="1" applyFont="1" applyFill="1" applyBorder="1"/>
    <x:xf numFmtId="167" fontId="23" fillId="2" borderId="7" xfId="0" applyNumberFormat="1" applyFont="1" applyFill="1" applyBorder="1"/>
    <x:xf numFmtId="165" fontId="23" fillId="2" borderId="7" xfId="0" applyNumberFormat="1" applyFont="1" applyFill="1" applyBorder="1" applyAlignment="1">
      <x:alignment horizontal="center"/>
    </x:xf>
    <x:xf numFmtId="4" fontId="23" fillId="2" borderId="7" xfId="0" applyNumberFormat="1" applyFont="1" applyFill="1" applyBorder="1"/>
    <x:xf numFmtId="0" fontId="23" fillId="0" borderId="3" xfId="0" applyFont="1" applyBorder="1"/>
    <x:xf numFmtId="0" fontId="23" fillId="0" borderId="3" xfId="0" applyFont="1" applyBorder="1" applyAlignment="1">
      <x:alignment horizontal="center"/>
    </x:xf>
    <x:xf numFmtId="165" fontId="23" fillId="0" borderId="3" xfId="0" applyNumberFormat="1" applyFont="1" applyBorder="1" applyAlignment="1">
      <x:alignment horizontal="center"/>
    </x:xf>
    <x:xf numFmtId="4" fontId="20" fillId="3" borderId="7" xfId="0" applyNumberFormat="1" applyFont="1" applyFill="1" applyBorder="1" applyAlignment="1">
      <x:alignment horizontal="right" wrapText="1" readingOrder="1"/>
    </x:xf>
    <x:xf numFmtId="4" fontId="13" fillId="0" borderId="3" xfId="0" applyNumberFormat="1" applyFont="1" applyBorder="1"/>
    <x:xf numFmtId="165" fontId="13" fillId="0" borderId="3" xfId="0" applyNumberFormat="1" applyFont="1" applyBorder="1" applyAlignment="1">
      <x:alignment horizontal="center"/>
    </x:xf>
    <x:xf numFmtId="0" fontId="13" fillId="0" borderId="3" xfId="0" applyFont="1" applyBorder="1" applyAlignment="1">
      <x:alignment horizontal="center"/>
    </x:xf>
    <x:xf numFmtId="0" fontId="13" fillId="0" borderId="7" xfId="0" applyFont="1" applyBorder="1" applyAlignment="1">
      <x:alignment horizontal="center"/>
    </x:xf>
    <x:xf numFmtId="4" fontId="13" fillId="0" borderId="7" xfId="0" applyNumberFormat="1" applyFont="1" applyBorder="1"/>
    <x:xf numFmtId="4" fontId="11" fillId="2" borderId="3" xfId="1" applyNumberFormat="1" applyFont="1" applyFill="1" applyBorder="1"/>
    <x:xf numFmtId="165" fontId="13" fillId="3" borderId="3" xfId="0" applyNumberFormat="1" applyFont="1" applyFill="1" applyBorder="1" applyAlignment="1">
      <x:alignment horizontal="center"/>
    </x:xf>
    <x:xf numFmtId="165" fontId="13" fillId="0" borderId="7" xfId="0" applyNumberFormat="1" applyFont="1" applyBorder="1" applyAlignment="1">
      <x:alignment horizontal="center"/>
    </x:xf>
    <x:xf numFmtId="4" fontId="16" fillId="2" borderId="0" xfId="1" applyNumberFormat="1" applyFont="1" applyFill="1" applyAlignment="1">
      <x:alignment horizontal="right"/>
    </x:xf>
    <x:xf numFmtId="0" fontId="13" fillId="2" borderId="7" xfId="0" applyFont="1" applyFill="1" applyBorder="1" applyAlignment="1">
      <x:alignment horizontal="center"/>
    </x:xf>
    <x:xf numFmtId="4" fontId="13" fillId="2" borderId="7" xfId="0" applyNumberFormat="1" applyFont="1" applyFill="1" applyBorder="1"/>
    <x:xf numFmtId="2" fontId="13" fillId="2" borderId="3" xfId="0" applyNumberFormat="1" applyFont="1" applyFill="1" applyBorder="1"/>
    <x:xf numFmtId="2" fontId="13" fillId="2" borderId="7" xfId="0" applyNumberFormat="1" applyFont="1" applyFill="1" applyBorder="1"/>
    <x:xf numFmtId="0" fontId="1" fillId="2" borderId="3" xfId="0" applyFont="1" applyFill="1" applyBorder="1"/>
    <x:xf numFmtId="0" fontId="1" fillId="2" borderId="3" xfId="0" applyFont="1" applyFill="1" applyBorder="1" applyAlignment="1">
      <x:alignment horizontal="center"/>
    </x:xf>
    <x:xf numFmtId="0" fontId="1" fillId="2" borderId="3" xfId="0" quotePrefix="1" applyFont="1" applyFill="1" applyBorder="1" applyAlignment="1">
      <x:alignment horizontal="center"/>
    </x:xf>
    <x:xf numFmtId="168" fontId="1" fillId="2" borderId="3" xfId="0" quotePrefix="1" applyNumberFormat="1" applyFont="1" applyFill="1" applyBorder="1" applyAlignment="1">
      <x:alignment horizontal="center"/>
    </x:xf>
    <x:xf numFmtId="4" fontId="1" fillId="2" borderId="3" xfId="0" quotePrefix="1" applyNumberFormat="1" applyFont="1" applyFill="1" applyBorder="1" applyAlignment="1">
      <x:alignment horizontal="right"/>
    </x:xf>
    <x:xf numFmtId="168" fontId="1" fillId="2" borderId="3" xfId="0" applyNumberFormat="1" applyFont="1" applyFill="1" applyBorder="1" applyAlignment="1">
      <x:alignment horizontal="center"/>
    </x:xf>
    <x:xf numFmtId="4" fontId="21" fillId="2" borderId="7" xfId="0" applyNumberFormat="1" applyFont="1" applyFill="1" applyBorder="1" applyAlignment="1">
      <x:alignment horizontal="right" wrapText="1" readingOrder="1"/>
    </x:xf>
    <x:xf numFmtId="4" fontId="1" fillId="2" borderId="3" xfId="1" applyNumberFormat="1" applyFill="1" applyBorder="1"/>
    <x:xf numFmtId="169" fontId="1" fillId="2" borderId="0" xfId="1" applyNumberFormat="1" applyFill="1" applyAlignment="1">
      <x:alignment horizontal="center"/>
    </x:xf>
    <x:xf numFmtId="169" fontId="3" fillId="2" borderId="0" xfId="0" applyNumberFormat="1" applyFont="1" applyFill="1" applyAlignment="1">
      <x:alignment horizontal="center"/>
    </x:xf>
    <x:xf numFmtId="169" fontId="2" fillId="2" borderId="0" xfId="0" applyNumberFormat="1" applyFont="1" applyFill="1" applyAlignment="1">
      <x:alignment horizontal="center"/>
    </x:xf>
    <x:xf numFmtId="169" fontId="6" fillId="2" borderId="3" xfId="0" applyNumberFormat="1" applyFont="1" applyFill="1" applyBorder="1" applyAlignment="1">
      <x:alignment horizontal="center"/>
    </x:xf>
    <x:xf numFmtId="169" fontId="13" fillId="2" borderId="7" xfId="0" applyNumberFormat="1" applyFont="1" applyFill="1" applyBorder="1" applyAlignment="1">
      <x:alignment horizontal="center"/>
    </x:xf>
    <x:xf numFmtId="169" fontId="13" fillId="2" borderId="3" xfId="0" applyNumberFormat="1" applyFont="1" applyFill="1" applyBorder="1" applyAlignment="1">
      <x:alignment horizontal="center"/>
    </x:xf>
    <x:xf numFmtId="169" fontId="3" fillId="2" borderId="0" xfId="0" applyNumberFormat="1" applyFont="1" applyFill="1"/>
    <x:xf numFmtId="169" fontId="2" fillId="2" borderId="0" xfId="0" applyNumberFormat="1" applyFont="1" applyFill="1"/>
    <x:xf numFmtId="169" fontId="6" fillId="2" borderId="3" xfId="0" applyNumberFormat="1" applyFont="1" applyFill="1" applyBorder="1" applyAlignment="1">
      <x:alignment horizontal="left"/>
    </x:xf>
    <x:xf numFmtId="169" fontId="1" fillId="2" borderId="0" xfId="1" applyNumberFormat="1" applyFill="1"/>
    <x:xf numFmtId="169" fontId="1" fillId="2" borderId="3" xfId="0" applyNumberFormat="1" applyFont="1" applyFill="1" applyBorder="1" applyAlignment="1">
      <x:alignment horizontal="center"/>
    </x:xf>
    <x:xf numFmtId="0" fontId="16" fillId="2" borderId="7" xfId="1" applyFont="1" applyFill="1" applyBorder="1" applyAlignment="1">
      <x:alignment horizontal="center"/>
    </x:xf>
    <x:xf numFmtId="0" fontId="16" fillId="2" borderId="7" xfId="0" applyFont="1" applyFill="1" applyBorder="1" applyAlignment="1">
      <x:alignment horizontal="center"/>
    </x:xf>
    <x:xf numFmtId="4" fontId="16" fillId="2" borderId="7" xfId="0" applyNumberFormat="1" applyFont="1" applyFill="1" applyBorder="1"/>
    <x:xf numFmtId="2" fontId="16" fillId="2" borderId="7" xfId="0" applyNumberFormat="1" applyFont="1" applyFill="1" applyBorder="1"/>
    <x:xf numFmtId="4" fontId="1" fillId="2" borderId="7" xfId="0" applyNumberFormat="1" applyFont="1" applyFill="1" applyBorder="1"/>
    <x:xf numFmtId="4" fontId="1" fillId="2" borderId="3" xfId="0" applyNumberFormat="1" applyFont="1" applyFill="1" applyBorder="1" applyAlignment="1">
      <x:alignment horizontal="right"/>
    </x:xf>
    <x:xf numFmtId="169" fontId="17" fillId="2" borderId="7" xfId="1" applyNumberFormat="1" applyFont="1" applyFill="1" applyBorder="1" applyAlignment="1">
      <x:alignment horizontal="center"/>
    </x:xf>
    <x:xf numFmtId="169" fontId="19" fillId="2" borderId="9" xfId="1" applyNumberFormat="1" applyFont="1" applyFill="1" applyBorder="1"/>
    <x:xf numFmtId="169" fontId="16" fillId="2" borderId="0" xfId="1" applyNumberFormat="1" applyFont="1" applyFill="1"/>
    <x:xf numFmtId="165" fontId="1" fillId="2" borderId="3" xfId="0" applyNumberFormat="1" applyFont="1" applyFill="1" applyBorder="1" applyAlignment="1">
      <x:alignment horizontal="center"/>
    </x:xf>
    <x:xf numFmtId="4" fontId="1" fillId="2" borderId="7" xfId="0" applyNumberFormat="1" applyFont="1" applyFill="1" applyBorder="1" applyAlignment="1">
      <x:alignment horizontal="right"/>
    </x:xf>
    <x:xf numFmtId="4" fontId="16" fillId="2" borderId="3" xfId="0" applyNumberFormat="1" applyFont="1" applyFill="1" applyBorder="1" applyAlignment="1">
      <x:alignment horizontal="right"/>
    </x:xf>
    <x:xf numFmtId="0" fontId="1" fillId="2" borderId="0" xfId="0" applyFont="1" applyFill="1"/>
    <x:xf numFmtId="4" fontId="1" fillId="2" borderId="3" xfId="0" applyNumberFormat="1" applyFont="1" applyFill="1" applyBorder="1" applyAlignment="1">
      <x:alignment horizontal="center"/>
    </x:xf>
    <x:xf numFmtId="4" fontId="1" fillId="2" borderId="0" xfId="1" applyNumberFormat="1" applyFill="1" applyAlignment="1">
      <x:alignment horizontal="right"/>
    </x:xf>
    <x:xf numFmtId="0" fontId="1" fillId="2" borderId="7" xfId="0" quotePrefix="1" applyFont="1" applyFill="1" applyBorder="1" applyAlignment="1">
      <x:alignment horizontal="center"/>
    </x:xf>
    <x:xf numFmtId="0" fontId="13" fillId="4" borderId="3" xfId="0" applyFont="1" applyFill="1" applyBorder="1" applyAlignment="1">
      <x:alignment horizontal="left" wrapText="1" readingOrder="1"/>
    </x:xf>
    <x:xf numFmtId="0" fontId="13" fillId="4" borderId="3" xfId="1" applyFont="1" applyFill="1" applyBorder="1" applyAlignment="1">
      <x:alignment horizontal="center"/>
    </x:xf>
    <x:xf numFmtId="0" fontId="13" fillId="4" borderId="3" xfId="0" applyFont="1" applyFill="1" applyBorder="1" applyAlignment="1">
      <x:alignment horizontal="center" wrapText="1" readingOrder="1"/>
    </x:xf>
    <x:xf numFmtId="165" fontId="13" fillId="4" borderId="3" xfId="0" applyNumberFormat="1" applyFont="1" applyFill="1" applyBorder="1" applyAlignment="1">
      <x:alignment horizontal="center" wrapText="1" readingOrder="1"/>
    </x:xf>
    <x:xf numFmtId="4" fontId="13" fillId="4" borderId="3" xfId="0" applyNumberFormat="1" applyFont="1" applyFill="1" applyBorder="1" applyAlignment="1">
      <x:alignment horizontal="right" wrapText="1" readingOrder="1"/>
    </x:xf>
    <x:xf numFmtId="4" fontId="13" fillId="4" borderId="7" xfId="1" applyNumberFormat="1" applyFont="1" applyFill="1" applyBorder="1"/>
    <x:xf numFmtId="165" fontId="13" fillId="4" borderId="7" xfId="0" applyNumberFormat="1" applyFont="1" applyFill="1" applyBorder="1" applyAlignment="1">
      <x:alignment horizontal="center"/>
    </x:xf>
    <x:xf numFmtId="4" fontId="16" fillId="4" borderId="3" xfId="1" applyNumberFormat="1" applyFont="1" applyFill="1" applyBorder="1"/>
    <x:xf numFmtId="3" fontId="16" fillId="4" borderId="3" xfId="0" applyNumberFormat="1" applyFont="1" applyFill="1" applyBorder="1"/>
    <x:xf numFmtId="164" fontId="16" fillId="4" borderId="3" xfId="0" applyNumberFormat="1" applyFont="1" applyFill="1" applyBorder="1"/>
    <x:xf numFmtId="4" fontId="16" fillId="4" borderId="3" xfId="0" applyNumberFormat="1" applyFont="1" applyFill="1" applyBorder="1"/>
    <x:xf numFmtId="3" fontId="16" fillId="4" borderId="0" xfId="0" applyNumberFormat="1" applyFont="1" applyFill="1" applyAlignment="1">
      <x:alignment horizontal="right"/>
    </x:xf>
    <x:xf numFmtId="4" fontId="16" fillId="4" borderId="0" xfId="1" applyNumberFormat="1" applyFont="1" applyFill="1"/>
    <x:xf numFmtId="4" fontId="16" fillId="4" borderId="0" xfId="0" applyNumberFormat="1" applyFont="1" applyFill="1"/>
    <x:xf numFmtId="0" fontId="20" fillId="4" borderId="3" xfId="0" applyFont="1" applyFill="1" applyBorder="1" applyAlignment="1">
      <x:alignment horizontal="left" wrapText="1" readingOrder="1"/>
    </x:xf>
    <x:xf numFmtId="0" fontId="20" fillId="4" borderId="3" xfId="0" applyFont="1" applyFill="1" applyBorder="1" applyAlignment="1">
      <x:alignment horizontal="center" wrapText="1" readingOrder="1"/>
    </x:xf>
    <x:xf numFmtId="165" fontId="20" fillId="4" borderId="3" xfId="0" applyNumberFormat="1" applyFont="1" applyFill="1" applyBorder="1" applyAlignment="1">
      <x:alignment horizontal="center" wrapText="1" readingOrder="1"/>
    </x:xf>
    <x:xf numFmtId="4" fontId="20" fillId="4" borderId="3" xfId="0" applyNumberFormat="1" applyFont="1" applyFill="1" applyBorder="1" applyAlignment="1">
      <x:alignment horizontal="right" wrapText="1" readingOrder="1"/>
    </x:xf>
    <x:xf numFmtId="4" fontId="11" fillId="4" borderId="7" xfId="1" applyNumberFormat="1" applyFont="1" applyFill="1" applyBorder="1"/>
    <x:xf numFmtId="0" fontId="0" fillId="2" borderId="3" xfId="0" applyFill="1" applyBorder="1"/>
    <x:xf numFmtId="4" fontId="0" fillId="2" borderId="3" xfId="0" applyNumberFormat="1" applyFill="1" applyBorder="1"/>
    <x:xf numFmtId="165" fontId="0" fillId="2" borderId="3" xfId="0" applyNumberFormat="1" applyFill="1" applyBorder="1" applyAlignment="1">
      <x:alignment horizontal="center"/>
    </x:xf>
    <x:xf numFmtId="4" fontId="0" fillId="2" borderId="3" xfId="0" applyNumberFormat="1" applyFill="1" applyBorder="1" applyAlignment="1">
      <x:alignment horizontal="center"/>
    </x:xf>
    <x:xf numFmtId="0" fontId="1" fillId="2" borderId="0" xfId="0" applyFont="1" applyFill="1" applyAlignment="1">
      <x:alignment horizontal="center"/>
    </x:xf>
    <x:xf numFmtId="0" fontId="1" fillId="2" borderId="7" xfId="0" applyFont="1" applyFill="1" applyBorder="1" applyAlignment="1">
      <x:alignment horizontal="center"/>
    </x:xf>
    <x:xf numFmtId="4" fontId="1" fillId="2" borderId="7" xfId="0" applyNumberFormat="1" applyFont="1" applyFill="1" applyBorder="1" applyAlignment="1">
      <x:alignment horizontal="center"/>
    </x:xf>
    <x:xf numFmtId="165" fontId="1" fillId="2" borderId="7" xfId="0" applyNumberFormat="1" applyFont="1" applyFill="1" applyBorder="1" applyAlignment="1">
      <x:alignment horizontal="center"/>
    </x:xf>
    <x:xf numFmtId="4" fontId="0" fillId="2" borderId="3" xfId="0" applyNumberFormat="1" applyFill="1" applyBorder="1" applyAlignment="1">
      <x:alignment horizontal="right"/>
    </x:xf>
    <x:xf numFmtId="169" fontId="0" fillId="2" borderId="3" xfId="0" applyNumberFormat="1" applyFill="1" applyBorder="1" applyAlignment="1">
      <x:alignment horizontal="center"/>
    </x:xf>
    <x:xf numFmtId="2" fontId="16" fillId="2" borderId="0" xfId="1" applyNumberFormat="1" applyFont="1" applyFill="1"/>
    <x:xf numFmtId="0" fontId="0" fillId="2" borderId="3" xfId="0" applyFill="1" applyBorder="1" applyAlignment="1">
      <x:alignment horizontal="center"/>
    </x:xf>
    <x:xf numFmtId="0" fontId="0" fillId="2" borderId="2" xfId="0" applyFill="1" applyBorder="1"/>
    <x:xf numFmtId="0" fontId="0" fillId="2" borderId="2" xfId="0" applyFill="1" applyBorder="1" applyAlignment="1">
      <x:alignment horizontal="center"/>
    </x:xf>
    <x:xf numFmtId="0" fontId="1" fillId="2" borderId="2" xfId="0" quotePrefix="1" applyFont="1" applyFill="1" applyBorder="1" applyAlignment="1">
      <x:alignment horizontal="center"/>
    </x:xf>
    <x:xf numFmtId="165" fontId="0" fillId="2" borderId="2" xfId="0" applyNumberFormat="1" applyFill="1" applyBorder="1" applyAlignment="1">
      <x:alignment horizontal="center"/>
    </x:xf>
    <x:xf numFmtId="4" fontId="0" fillId="2" borderId="2" xfId="0" applyNumberFormat="1" applyFill="1" applyBorder="1"/>
    <x:xf numFmtId="4" fontId="0" fillId="2" borderId="2" xfId="0" applyNumberFormat="1" applyFill="1" applyBorder="1" applyAlignment="1">
      <x:alignment horizontal="right"/>
    </x:xf>
    <x:xf numFmtId="169" fontId="0" fillId="2" borderId="2" xfId="0" applyNumberFormat="1" applyFill="1" applyBorder="1" applyAlignment="1">
      <x:alignment horizontal="center"/>
    </x:xf>
    <x:xf numFmtId="0" fontId="0" fillId="2" borderId="0" xfId="0" applyFill="1"/>
    <x:xf numFmtId="0" fontId="0" fillId="2" borderId="0" xfId="0" applyFill="1" applyAlignment="1">
      <x:alignment horizontal="center"/>
    </x:xf>
    <x:xf numFmtId="165" fontId="26" fillId="2" borderId="3" xfId="0" applyNumberFormat="1" applyFont="1" applyFill="1" applyBorder="1" applyAlignment="1">
      <x:alignment horizontal="center"/>
    </x:xf>
    <x:xf numFmtId="169" fontId="26" fillId="2" borderId="3" xfId="0" applyNumberFormat="1" applyFont="1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4" fontId="0" fillId="2" borderId="7" xfId="0" applyNumberFormat="1" applyFill="1" applyBorder="1"/>
    <x:xf numFmtId="4" fontId="0" fillId="2" borderId="7" xfId="0" applyNumberFormat="1" applyFill="1" applyBorder="1" applyAlignment="1">
      <x:alignment horizontal="right"/>
    </x:xf>
    <x:xf numFmtId="165" fontId="0" fillId="2" borderId="7" xfId="0" applyNumberFormat="1" applyFill="1" applyBorder="1" applyAlignment="1">
      <x:alignment horizontal="center"/>
    </x:xf>
    <x:xf numFmtId="14" fontId="0" fillId="2" borderId="3" xfId="0" applyNumberFormat="1" applyFill="1" applyBorder="1" applyAlignment="1">
      <x:alignment horizontal="center"/>
    </x:xf>
    <x:xf numFmtId="0" fontId="1" fillId="2" borderId="13" xfId="0" applyFont="1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6" fillId="2" borderId="3" xfId="0" applyFont="1" applyFill="1" applyBorder="1" applyAlignment="1">
      <x:alignment horizontal="center"/>
    </x:xf>
    <x:xf numFmtId="0" fontId="6" fillId="2" borderId="4" xfId="0" applyFont="1" applyFill="1" applyBorder="1" applyAlignment="1">
      <x:alignment horizontal="center"/>
    </x:xf>
    <x:xf numFmtId="4" fontId="6" fillId="2" borderId="3" xfId="0" applyNumberFormat="1" applyFont="1" applyFill="1" applyBorder="1" applyAlignment="1">
      <x:alignment horizontal="center"/>
    </x:xf>
    <x:xf numFmtId="0" fontId="6" fillId="2" borderId="6" xfId="0" applyFont="1" applyFill="1" applyBorder="1" applyAlignment="1">
      <x:alignment horizontal="center"/>
    </x:xf>
    <x:xf numFmtId="4" fontId="6" fillId="2" borderId="7" xfId="0" applyNumberFormat="1" applyFont="1" applyFill="1" applyBorder="1" applyAlignment="1">
      <x:alignment horizontal="center"/>
    </x:xf>
    <x:xf numFmtId="3" fontId="6" fillId="2" borderId="7" xfId="0" applyNumberFormat="1" applyFont="1" applyFill="1" applyBorder="1" applyAlignment="1">
      <x:alignment horizontal="center"/>
    </x:xf>
    <x:xf numFmtId="164" fontId="6" fillId="2" borderId="7" xfId="0" applyNumberFormat="1" applyFont="1" applyFill="1" applyBorder="1" applyAlignment="1">
      <x:alignment horizontal="center"/>
    </x:xf>
    <x:xf numFmtId="3" fontId="4" fillId="2" borderId="0" xfId="1" applyNumberFormat="1" applyFont="1" applyFill="1" applyAlignment="1">
      <x:alignment horizontal="right"/>
    </x:xf>
    <x:xf numFmtId="0" fontId="4" fillId="2" borderId="0" xfId="1" applyFont="1" applyFill="1"/>
    <x:xf numFmtId="4" fontId="6" fillId="2" borderId="5" xfId="0" applyNumberFormat="1" applyFont="1" applyFill="1" applyBorder="1" applyAlignment="1">
      <x:alignment horizontal="center"/>
    </x:xf>
    <x:xf numFmtId="4" fontId="4" fillId="2" borderId="0" xfId="1" applyNumberFormat="1" applyFont="1" applyFill="1"/>
    <x:xf numFmtId="0" fontId="4" fillId="2" borderId="3" xfId="0" applyFont="1" applyFill="1" applyBorder="1"/>
    <x:xf numFmtId="0" fontId="2" fillId="2" borderId="0" xfId="0" applyFont="1" applyFill="1" applyAlignment="1">
      <x:alignment horizontal="center"/>
    </x:xf>
    <x:xf numFmtId="0" fontId="15" fillId="2" borderId="9" xfId="1" applyFont="1" applyFill="1" applyBorder="1" applyAlignment="1">
      <x:alignment horizontal="center"/>
    </x:xf>
    <x:xf numFmtId="0" fontId="16" fillId="2" borderId="9" xfId="1" applyFont="1" applyFill="1" applyBorder="1" applyAlignment="1">
      <x:alignment horizontal="center"/>
    </x:xf>
    <x:xf numFmtId="0" fontId="0" fillId="0" borderId="3" xfId="0" applyBorder="1"/>
    <x:xf numFmtId="165" fontId="0" fillId="0" borderId="3" xfId="0" applyNumberFormat="1" applyFill="1" applyBorder="1" applyAlignment="1">
      <x:alignment horizontal="center"/>
    </x:xf>
    <x:xf numFmtId="4" fontId="1" fillId="0" borderId="3" xfId="0" applyNumberFormat="1" applyFont="1" applyFill="1" applyBorder="1" applyAlignment="1">
      <x:alignment horizontal="right"/>
    </x:xf>
    <x:xf numFmtId="0" fontId="28" fillId="0" borderId="3" xfId="0" applyFont="1" applyFill="1" applyBorder="1"/>
    <x:xf numFmtId="0" fontId="0" fillId="0" borderId="3" xfId="0" applyFill="1" applyBorder="1"/>
    <x:xf numFmtId="0" fontId="4" fillId="0" borderId="3" xfId="0" applyFont="1" applyFill="1" applyBorder="1"/>
    <x:xf numFmtId="0" fontId="0" fillId="0" borderId="0" xfId="0" applyAlignment="1">
      <x:alignment horizontal="center"/>
    </x:xf>
    <x:xf numFmtId="0" fontId="6" fillId="0" borderId="3" xfId="0" applyFont="1" applyFill="1" applyBorder="1" applyAlignment="1">
      <x:alignment horizontal="center"/>
    </x:xf>
    <x:xf numFmtId="165" fontId="6" fillId="0" borderId="3" xfId="0" applyNumberFormat="1" applyFont="1" applyFill="1" applyBorder="1" applyAlignment="1">
      <x:alignment horizontal="center"/>
    </x:xf>
    <x:xf numFmtId="4" fontId="6" fillId="0" borderId="3" xfId="0" applyNumberFormat="1" applyFont="1" applyFill="1" applyBorder="1" applyAlignment="1">
      <x:alignment horizontal="center"/>
    </x:xf>
    <x:xf numFmtId="14" fontId="0" fillId="0" borderId="3" xfId="0" applyNumberFormat="1" applyFill="1" applyBorder="1" applyAlignment="1">
      <x:alignment horizontal="center"/>
    </x:xf>
    <x:xf numFmtId="2" fontId="1" fillId="2" borderId="0" xfId="1" applyNumberFormat="1" applyFill="1" applyAlignment="1">
      <x:alignment horizontal="center"/>
    </x:xf>
    <x:xf numFmtId="4" fontId="2" fillId="2" borderId="0" xfId="0" applyNumberFormat="1" applyFont="1" applyFill="1" applyAlignment="1">
      <x:alignment horizontal="center"/>
    </x:xf>
    <x:xf numFmtId="4" fontId="6" fillId="0" borderId="4" xfId="0" applyNumberFormat="1" applyFont="1" applyFill="1" applyBorder="1" applyAlignment="1">
      <x:alignment horizontal="center"/>
    </x:xf>
    <x:xf numFmtId="4" fontId="6" fillId="0" borderId="6" xfId="0" applyNumberFormat="1" applyFont="1" applyFill="1" applyBorder="1" applyAlignment="1">
      <x:alignment horizontal="center"/>
    </x:xf>
    <x:xf numFmtId="4" fontId="0" fillId="0" borderId="3" xfId="0" applyNumberFormat="1" applyFill="1" applyBorder="1"/>
    <x:xf numFmtId="4" fontId="27" fillId="0" borderId="3" xfId="0" applyNumberFormat="1" applyFont="1" applyBorder="1"/>
    <x:xf numFmtId="4" fontId="15" fillId="2" borderId="9" xfId="1" applyNumberFormat="1" applyFont="1" applyFill="1" applyBorder="1" applyAlignment="1">
      <x:alignment horizontal="center"/>
    </x:xf>
    <x:xf numFmtId="4" fontId="0" fillId="0" borderId="0" xfId="0" applyNumberFormat="1"/>
    <x:xf numFmtId="0" fontId="0" fillId="0" borderId="3" xfId="0" applyFill="1" applyBorder="1" applyAlignment="1">
      <x:alignment horizontal="center"/>
    </x:xf>
    <x:xf numFmtId="0" fontId="21" fillId="0" borderId="3" xfId="0" applyFont="1" applyFill="1" applyBorder="1" applyAlignment="1">
      <x:alignment horizontal="center"/>
    </x:xf>
    <x:xf numFmtId="165" fontId="15" fillId="2" borderId="9" xfId="1" applyNumberFormat="1" applyFont="1" applyFill="1" applyBorder="1" applyAlignment="1">
      <x:alignment horizontal="center"/>
    </x:xf>
    <x:xf numFmtId="165" fontId="0" fillId="0" borderId="0" xfId="0" applyNumberFormat="1" applyAlignment="1">
      <x:alignment horizontal="center"/>
    </x:xf>
    <x:xf numFmtId="3" fontId="16" fillId="0" borderId="3" xfId="0" applyNumberFormat="1" applyFont="1" applyFill="1" applyBorder="1"/>
    <x:xf numFmtId="164" fontId="1" fillId="0" borderId="3" xfId="0" applyNumberFormat="1" applyFont="1" applyFill="1" applyBorder="1"/>
    <x:xf numFmtId="4" fontId="1" fillId="0" borderId="3" xfId="0" applyNumberFormat="1" applyFont="1" applyFill="1" applyBorder="1"/>
    <x:xf numFmtId="3" fontId="1" fillId="0" borderId="0" xfId="1" applyNumberFormat="1" applyFill="1" applyAlignment="1">
      <x:alignment horizontal="right"/>
    </x:xf>
    <x:xf numFmtId="4" fontId="16" fillId="0" borderId="0" xfId="1" applyNumberFormat="1" applyFont="1" applyFill="1"/>
    <x:xf numFmtId="4" fontId="16" fillId="2" borderId="0" xfId="1" applyNumberFormat="1" applyFont="1" applyFill="1" applyBorder="1"/>
    <x:xf numFmtId="3" fontId="6" fillId="2" borderId="3" xfId="0" applyNumberFormat="1" applyFont="1" applyFill="1" applyBorder="1" applyAlignment="1">
      <x:alignment horizontal="center"/>
    </x:xf>
    <x:xf numFmtId="0" fontId="2" fillId="2" borderId="0" xfId="0" applyFont="1" applyFill="1" applyBorder="1" applyAlignment="1">
      <x:alignment horizontal="center"/>
    </x:xf>
    <x:xf numFmtId="0" fontId="5" fillId="2" borderId="0" xfId="0" applyFont="1" applyFill="1" applyBorder="1"/>
    <x:xf numFmtId="0" fontId="3" fillId="2" borderId="0" xfId="0" applyFont="1" applyFill="1" applyBorder="1" applyAlignment="1">
      <x:alignment horizontal="center"/>
    </x:xf>
    <x:xf numFmtId="165" fontId="2" fillId="2" borderId="0" xfId="0" applyNumberFormat="1" applyFont="1" applyFill="1" applyBorder="1" applyAlignment="1">
      <x:alignment horizontal="center"/>
    </x:xf>
    <x:xf numFmtId="165" fontId="3" fillId="2" borderId="0" xfId="0" applyNumberFormat="1" applyFont="1" applyFill="1" applyBorder="1" applyAlignment="1">
      <x:alignment horizontal="center"/>
    </x:xf>
    <x:xf numFmtId="4" fontId="2" fillId="2" borderId="0" xfId="0" applyNumberFormat="1" applyFont="1" applyFill="1" applyBorder="1" applyAlignment="1">
      <x:alignment horizontal="center"/>
    </x:xf>
    <x:xf numFmtId="4" fontId="3" fillId="2" borderId="0" xfId="0" applyNumberFormat="1" applyFont="1" applyFill="1" applyBorder="1"/>
    <x:xf numFmtId="4" fontId="2" fillId="2" borderId="0" xfId="0" applyNumberFormat="1" applyFont="1" applyFill="1" applyBorder="1"/>
    <x:xf numFmtId="4" fontId="3" fillId="2" borderId="0" xfId="1" applyNumberFormat="1" applyFont="1" applyFill="1" applyBorder="1"/>
    <x:xf numFmtId="0" fontId="3" fillId="2" borderId="0" xfId="1" applyFont="1" applyFill="1" applyBorder="1"/>
    <x:xf numFmtId="164" fontId="3" fillId="2" borderId="0" xfId="1" applyNumberFormat="1" applyFont="1" applyFill="1" applyBorder="1"/>
    <x:xf numFmtId="0" fontId="0" fillId="0" borderId="0" xfId="0" applyFill="1"/>
    <x:xf numFmtId="0" fontId="21" fillId="0" borderId="3" xfId="0" applyFont="1" applyBorder="1"/>
    <x:xf numFmtId="0" fontId="6" fillId="2" borderId="2" xfId="0" applyFont="1" applyFill="1" applyBorder="1" applyAlignment="1">
      <x:alignment horizontal="center"/>
    </x:xf>
    <x:xf numFmtId="4" fontId="6" fillId="2" borderId="2" xfId="0" applyNumberFormat="1" applyFont="1" applyFill="1" applyBorder="1" applyAlignment="1">
      <x:alignment horizontal="center"/>
    </x:xf>
    <x:xf numFmtId="4" fontId="6" fillId="2" borderId="14" xfId="0" applyNumberFormat="1" applyFont="1" applyFill="1" applyBorder="1" applyAlignment="1">
      <x:alignment horizontal="center"/>
    </x:xf>
    <x:xf numFmtId="4" fontId="6" fillId="2" borderId="15" xfId="0" applyNumberFormat="1" applyFont="1" applyFill="1" applyBorder="1" applyAlignment="1">
      <x:alignment horizontal="center"/>
    </x:xf>
    <x:xf numFmtId="4" fontId="6" fillId="2" borderId="16" xfId="0" applyNumberFormat="1" applyFont="1" applyFill="1" applyBorder="1" applyAlignment="1">
      <x:alignment horizontal="center"/>
    </x:xf>
    <x:xf numFmtId="14" fontId="21" fillId="0" borderId="3" xfId="0" applyNumberFormat="1" applyFont="1" applyBorder="1"/>
    <x:xf numFmtId="4" fontId="0" fillId="0" borderId="3" xfId="0" applyNumberFormat="1" applyBorder="1"/>
    <x:xf numFmtId="165" fontId="0" fillId="0" borderId="3" xfId="0" applyNumberFormat="1" applyBorder="1" applyAlignment="1">
      <x:alignment horizontal="center"/>
    </x:xf>
    <x:xf numFmtId="165" fontId="7" fillId="2" borderId="2" xfId="0" applyNumberFormat="1" applyFont="1" applyFill="1" applyBorder="1" applyAlignment="1">
      <x:alignment horizontal="center"/>
    </x:xf>
    <x:xf numFmtId="165" fontId="21" fillId="0" borderId="3" xfId="0" applyNumberFormat="1" applyFont="1" applyBorder="1"/>
    <x:xf numFmtId="165" fontId="26" fillId="0" borderId="3" xfId="0" applyNumberFormat="1" applyFont="1" applyBorder="1"/>
    <x:xf numFmtId="164" fontId="16" fillId="2" borderId="7" xfId="0" applyNumberFormat="1" applyFont="1" applyFill="1" applyBorder="1"/>
    <x:xf numFmtId="0" fontId="16" fillId="2" borderId="0" xfId="1" applyFont="1" applyFill="1" applyBorder="1" applyAlignment="1">
      <x:alignment horizontal="center"/>
    </x:xf>
    <x:xf numFmtId="165" fontId="16" fillId="2" borderId="0" xfId="1" applyNumberFormat="1" applyFont="1" applyFill="1" applyBorder="1" applyAlignment="1">
      <x:alignment horizontal="center"/>
    </x:xf>
    <x:xf numFmtId="4" fontId="16" fillId="2" borderId="0" xfId="1" applyNumberFormat="1" applyFont="1" applyFill="1" applyBorder="1" applyAlignment="1">
      <x:alignment horizontal="center"/>
    </x:xf>
    <x:xf numFmtId="3" fontId="6" fillId="2" borderId="0" xfId="0" applyNumberFormat="1" applyFont="1" applyFill="1" applyBorder="1" applyAlignment="1">
      <x:alignment horizontal="center"/>
    </x:xf>
    <x:xf numFmtId="3" fontId="1" fillId="2" borderId="0" xfId="1" applyNumberFormat="1" applyFill="1" applyBorder="1" applyAlignment="1">
      <x:alignment horizontal="right"/>
    </x:xf>
    <x:xf numFmtId="4" fontId="1" fillId="2" borderId="0" xfId="1" applyNumberFormat="1" applyFill="1" applyBorder="1"/>
    <x:xf numFmtId="0" fontId="0" fillId="0" borderId="0" xfId="0" applyBorder="1"/>
    <x:xf numFmtId="0" fontId="16" fillId="2" borderId="0" xfId="1" applyFont="1" applyFill="1" applyBorder="1"/>
    <x:xf numFmtId="4" fontId="16" fillId="2" borderId="3" xfId="1" applyNumberFormat="1" applyFont="1" applyFill="1" applyBorder="1" applyAlignment="1">
      <x:alignment horizontal="center"/>
    </x:xf>
    <x:xf numFmtId="4" fontId="12" fillId="2" borderId="3" xfId="1" applyNumberFormat="1" applyFont="1" applyFill="1" applyBorder="1"/>
    <x:xf numFmtId="4" fontId="19" fillId="2" borderId="3" xfId="1" applyNumberFormat="1" applyFont="1" applyFill="1" applyBorder="1"/>
    <x:xf numFmtId="165" fontId="19" fillId="2" borderId="3" xfId="1" applyNumberFormat="1" applyFont="1" applyFill="1" applyBorder="1" applyAlignment="1">
      <x:alignment horizontal="center"/>
    </x:xf>
    <x:xf numFmtId="4" fontId="18" fillId="2" borderId="3" xfId="1" applyNumberFormat="1" applyFont="1" applyFill="1" applyBorder="1"/>
    <x:xf numFmtId="0" fontId="19" fillId="2" borderId="3" xfId="1" applyFont="1" applyFill="1" applyBorder="1"/>
    <x:xf numFmtId="0" fontId="3" fillId="2" borderId="0" xfId="1" applyFont="1" applyFill="1" applyAlignment="1">
      <x:alignment horizontal="center"/>
    </x:xf>
    <x:xf numFmtId="0" fontId="3" fillId="2" borderId="0" xfId="1" applyFont="1" applyFill="1" applyBorder="1" applyAlignment="1">
      <x:alignment horizontal="center"/>
    </x:xf>
    <x:xf numFmtId="4" fontId="16" fillId="0" borderId="3" xfId="1" applyNumberFormat="1" applyFont="1" applyFill="1" applyBorder="1" applyAlignment="1">
      <x:alignment horizontal="center"/>
    </x:xf>
    <x:xf numFmtId="4" fontId="12" fillId="2" borderId="0" xfId="1" applyNumberFormat="1" applyFont="1" applyFill="1" applyAlignment="1">
      <x:alignment horizontal="center"/>
    </x:xf>
    <x:xf numFmtId="4" fontId="18" fillId="2" borderId="3" xfId="1" applyNumberFormat="1" applyFont="1" applyFill="1" applyBorder="1" applyAlignment="1">
      <x:alignment horizontal="center"/>
    </x:xf>
    <x:xf numFmtId="4" fontId="9" fillId="2" borderId="0" xfId="1" applyNumberFormat="1" applyFont="1" applyFill="1" applyAlignment="1">
      <x:alignment horizontal="center"/>
    </x:xf>
    <x:xf numFmtId="4" fontId="4" fillId="2" borderId="7" xfId="0" applyNumberFormat="1" applyFont="1" applyFill="1" applyBorder="1" applyAlignment="1">
      <x:alignment horizontal="center"/>
    </x:xf>
    <x:xf numFmtId="0" fontId="0" fillId="0" borderId="2" xfId="0" applyBorder="1"/>
    <x:xf numFmtId="165" fontId="26" fillId="0" borderId="2" xfId="0" applyNumberFormat="1" applyFont="1" applyBorder="1"/>
    <x:xf numFmtId="4" fontId="0" fillId="0" borderId="2" xfId="0" applyNumberFormat="1" applyBorder="1"/>
    <x:xf numFmtId="165" fontId="0" fillId="0" borderId="2" xfId="0" applyNumberFormat="1" applyBorder="1" applyAlignment="1">
      <x:alignment horizontal="center"/>
    </x:xf>
    <x:xf numFmtId="4" fontId="4" fillId="2" borderId="13" xfId="0" applyNumberFormat="1" applyFont="1" applyFill="1" applyBorder="1" applyAlignment="1">
      <x:alignment horizontal="center"/>
    </x:xf>
    <x:xf numFmtId="0" fontId="17" fillId="2" borderId="7" xfId="1" applyFont="1" applyFill="1" applyBorder="1"/>
    <x:xf numFmtId="0" fontId="17" fillId="2" borderId="7" xfId="1" applyFont="1" applyFill="1" applyBorder="1" applyAlignment="1">
      <x:alignment horizontal="center"/>
    </x:xf>
    <x:xf numFmtId="4" fontId="16" fillId="2" borderId="7" xfId="1" applyNumberFormat="1" applyFont="1" applyFill="1" applyBorder="1" applyAlignment="1">
      <x:alignment horizontal="center"/>
    </x:xf>
    <x:xf numFmtId="1" fontId="6" fillId="2" borderId="7" xfId="0" applyNumberFormat="1" applyFont="1" applyFill="1" applyBorder="1" applyAlignment="1">
      <x:alignment horizontal="center"/>
    </x:xf>
    <x:xf numFmtId="4" fontId="0" fillId="0" borderId="0" xfId="0" applyNumberFormat="1" applyBorder="1"/>
    <x:xf numFmtId="164" fontId="16" fillId="0" borderId="3" xfId="0" applyNumberFormat="1" applyFont="1" applyFill="1" applyBorder="1"/>
    <x:xf numFmtId="4" fontId="16" fillId="0" borderId="3" xfId="0" applyNumberFormat="1" applyFont="1" applyFill="1" applyBorder="1"/>
    <x:xf numFmtId="165" fontId="26" fillId="0" borderId="3" xfId="0" applyNumberFormat="1" applyFont="1" applyFill="1" applyBorder="1"/>
    <x:xf numFmtId="4" fontId="4" fillId="0" borderId="7" xfId="0" applyNumberFormat="1" applyFont="1" applyFill="1" applyBorder="1" applyAlignment="1">
      <x:alignment horizontal="center"/>
    </x:xf>
    <x:xf numFmtId="1" fontId="6" fillId="0" borderId="7" xfId="0" applyNumberFormat="1" applyFont="1" applyFill="1" applyBorder="1" applyAlignment="1">
      <x:alignment horizontal="center"/>
    </x:xf>
    <x:xf numFmtId="3" fontId="4" fillId="0" borderId="0" xfId="1" applyNumberFormat="1" applyFont="1" applyFill="1" applyAlignment="1">
      <x:alignment horizontal="right"/>
    </x:xf>
    <x:xf numFmtId="4" fontId="4" fillId="0" borderId="0" xfId="1" applyNumberFormat="1" applyFont="1" applyFill="1"/>
    <x:xf numFmtId="4" fontId="4" fillId="2" borderId="3" xfId="0" applyNumberFormat="1" applyFont="1" applyFill="1" applyBorder="1" applyAlignment="1">
      <x:alignment horizontal="center"/>
    </x:xf>
    <x:xf numFmtId="1" fontId="6" fillId="2" borderId="3" xfId="0" applyNumberFormat="1" applyFont="1" applyFill="1" applyBorder="1" applyAlignment="1">
      <x:alignment horizontal="center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6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7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" fontId="7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7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1" fillId="2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4" fontId="1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3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6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6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7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7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7" fillId="2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7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9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3" fillId="2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4" fontId="1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7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3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0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0" fillId="2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1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1"/>
      <x:protection locked="1" hidden="0"/>
    </x:xf>
    <x:xf numFmtId="0" fontId="1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" fillId="2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4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6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6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6" fillId="2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6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" fillId="3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" fillId="3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165" fontId="16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1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1"/>
      <x:protection locked="1" hidden="0"/>
    </x:xf>
    <x:xf numFmtId="0" fontId="16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6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6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6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6" fillId="2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0" fontId="1" fillId="2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2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6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13" fillId="2" borderId="2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3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3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3" fillId="2" borderId="2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4" fontId="16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2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4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165" fontId="11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1" fillId="2" borderId="7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0" fontId="13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13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6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1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1" fillId="4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4" fontId="11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3" fillId="4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6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6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6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5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5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2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" fontId="15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5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5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3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1" fillId="3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1" fillId="3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1" fillId="3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165" fontId="13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4" borderId="3" xfId="0" applyNumberFormat="1" applyFill="0" applyBorder="1" applyAlignment="1" applyProtection="1">
      <x:alignment horizontal="left" vertical="bottom" textRotation="0" wrapText="1" indent="0" relativeIndent="0" justifyLastLine="0" shrinkToFit="0" readingOrder="1"/>
      <x:protection locked="1" hidden="0"/>
    </x:xf>
    <x:xf numFmtId="0" fontId="13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165" fontId="13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4" fontId="13" fillId="4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4" fontId="13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3" fillId="2" borderId="7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0" fontId="1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13" fillId="2" borderId="3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2" fontId="1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6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11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1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1" fillId="3" borderId="7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165" fontId="1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13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" fillId="2" borderId="3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" fillId="2" borderId="3" xfId="0" quotePrefix="1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2" borderId="7" xfId="0" applyNumberFormat="1" applyFill="0" applyBorder="1" applyAlignment="1" applyProtection="1">
      <x:alignment horizontal="right" vertical="bottom" textRotation="0" wrapText="1" indent="0" relativeIndent="0" justifyLastLine="0" shrinkToFit="0" readingOrder="1"/>
      <x:protection locked="1" hidden="0"/>
    </x:xf>
    <x:xf numFmtId="0" fontId="1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16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3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1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6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9" fontId="17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19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7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quotePrefix="1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2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0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2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4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6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6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6" fillId="2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6" fillId="2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6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6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9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9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6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9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15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2" fillId="6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1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">
    <x:cellStyle name="Normal" xfId="0" builtinId="0"/>
    <x:cellStyle name="Normal 2" xfId="1" xr:uid="{00000000-0005-0000-0000-000001000000}"/>
    <x:cellStyle name="Normal 2 2" xfId="3" xr:uid="{00000000-0005-0000-0000-000002000000}"/>
    <x:cellStyle name="Normal 3" xfId="2" xr:uid="{00000000-0005-0000-0000-000003000000}"/>
    <x:cellStyle name="Normal 4" xfId="4" xr:uid="{2B3D070E-F958-4006-8B6F-38E6F4F329D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calcChain" Target="calcChain.xml" Id="rId38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sharedStrings" Target="sharedStrings.xml" Id="rId37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styles" Target="styles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theme" Target="theme/theme1.xml" Id="rId35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/xl/worksheets/sheet35.xml" Id="rId39" /><Relationship Type="http://schemas.openxmlformats.org/officeDocument/2006/relationships/worksheet" Target="/xl/worksheets/sheet36.xml" Id="rId40" /><Relationship Type="http://schemas.openxmlformats.org/officeDocument/2006/relationships/worksheet" Target="/xl/worksheets/sheet37.xml" Id="rId41" /><Relationship Type="http://schemas.openxmlformats.org/officeDocument/2006/relationships/worksheet" Target="/xl/worksheets/sheet38.xml" Id="rId42" /><Relationship Type="http://schemas.openxmlformats.org/officeDocument/2006/relationships/worksheet" Target="/xl/worksheets/sheet39.xml" Id="rId4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D65"/>
  <x:sheetViews>
    <x:sheetView topLeftCell="A60" workbookViewId="0">
      <x:selection activeCell="A75" sqref="A75"/>
    </x:sheetView>
  </x:sheetViews>
  <x:sheetFormatPr baseColWidth="10" defaultColWidth="11.441406" defaultRowHeight="13.2" x14ac:dyDescent="0.25"/>
  <x:cols>
    <x:col min="1" max="1" width="32.441406" style="429" customWidth="1"/>
    <x:col min="2" max="2" width="27" style="429" customWidth="1"/>
    <x:col min="3" max="3" width="10.886719" style="429" customWidth="1"/>
    <x:col min="4" max="4" width="10.886719" style="430" customWidth="1"/>
    <x:col min="5" max="5" width="11.441406" style="429" customWidth="1"/>
    <x:col min="6" max="6" width="9.554688" style="429" customWidth="1"/>
    <x:col min="7" max="7" width="12.554688" style="429" customWidth="1"/>
    <x:col min="8" max="8" width="9.109375" style="429" customWidth="1"/>
    <x:col min="9" max="9" width="14" style="430" customWidth="1"/>
    <x:col min="10" max="10" width="11.886719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17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2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2" customFormat="1" x14ac:dyDescent="0.25">
      <x:c r="A8" s="461" t="s">
        <x:v>22</x:v>
      </x:c>
      <x:c r="B8" s="462" t="s">
        <x:v>23</x:v>
      </x:c>
      <x:c r="C8" s="463" t="s">
        <x:v>24</x:v>
      </x:c>
      <x:c r="D8" s="464">
        <x:v>45236</x:v>
      </x:c>
      <x:c r="E8" s="465">
        <x:v>171.36</x:v>
      </x:c>
      <x:c r="F8" s="465">
        <x:v>34.28</x:v>
      </x:c>
      <x:c r="G8" s="466">
        <x:v>147.22</x:v>
      </x:c>
      <x:c r="H8" s="465">
        <x:v>16.45</x:v>
      </x:c>
      <x:c r="I8" s="467">
        <x:v>45279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</x:row>
    <x:row r="9" spans="1:30" ht="15" customHeight="1" s="432" customFormat="1" x14ac:dyDescent="0.25">
      <x:c r="A9" s="461" t="s">
        <x:v>25</x:v>
      </x:c>
      <x:c r="B9" s="462" t="s">
        <x:v>26</x:v>
      </x:c>
      <x:c r="C9" s="463" t="s">
        <x:v>27</x:v>
      </x:c>
      <x:c r="D9" s="464">
        <x:v>45238</x:v>
      </x:c>
      <x:c r="E9" s="465">
        <x:v>324</x:v>
      </x:c>
      <x:c r="F9" s="465">
        <x:v>64.8</x:v>
      </x:c>
      <x:c r="G9" s="466">
        <x:v>278.38</x:v>
      </x:c>
      <x:c r="H9" s="465">
        <x:v>31.1</x:v>
      </x:c>
      <x:c r="I9" s="467">
        <x:v>45279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</x:row>
    <x:row r="10" spans="1:30" ht="15" customHeight="1" s="432" customFormat="1" x14ac:dyDescent="0.25">
      <x:c r="A10" s="461" t="s">
        <x:v>28</x:v>
      </x:c>
      <x:c r="B10" s="462" t="s">
        <x:v>26</x:v>
      </x:c>
      <x:c r="C10" s="463" t="s">
        <x:v>29</x:v>
      </x:c>
      <x:c r="D10" s="464">
        <x:v>45289</x:v>
      </x:c>
      <x:c r="E10" s="465">
        <x:v>45.54</x:v>
      </x:c>
      <x:c r="F10" s="465">
        <x:v>0</x:v>
      </x:c>
      <x:c r="G10" s="466">
        <x:v>51</x:v>
      </x:c>
      <x:c r="H10" s="465">
        <x:v>5.46</x:v>
      </x:c>
      <x:c r="I10" s="464">
        <x:v>45289</x:v>
      </x:c>
      <x:c r="J10" s="433">
        <x:f>+E10-F10</x:f>
      </x:c>
      <x:c r="K10" s="468">
        <x:f>+I10-D10</x:f>
      </x:c>
      <x:c r="L10" s="469">
        <x:v>0.04</x:v>
      </x:c>
      <x:c r="M10" s="433">
        <x:f>+J10*L10</x:f>
      </x:c>
      <x:c r="N10" s="470"/>
    </x:row>
    <x:row r="11" spans="1:30" ht="15" customHeight="1" s="433" customFormat="1" x14ac:dyDescent="0.3">
      <x:c r="A11" s="471"/>
      <x:c r="B11" s="472"/>
      <x:c r="C11" s="472"/>
      <x:c r="D11" s="473"/>
      <x:c r="E11" s="474"/>
      <x:c r="F11" s="474"/>
      <x:c r="G11" s="475"/>
      <x:c r="H11" s="476"/>
      <x:c r="I11" s="477"/>
      <x:c r="K11" s="468"/>
      <x:c r="L11" s="469"/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4" customFormat="1" x14ac:dyDescent="0.25">
      <x:c r="A12" s="478"/>
      <x:c r="B12" s="478"/>
      <x:c r="C12" s="478"/>
      <x:c r="D12" s="478"/>
      <x:c r="E12" s="478"/>
      <x:c r="F12" s="478"/>
      <x:c r="G12" s="479">
        <x:f>SUM(G8:G11)</x:f>
      </x:c>
      <x:c r="H12" s="480"/>
      <x:c r="I12" s="481"/>
      <x:c r="J12" s="479">
        <x:f>SUM(J8:J11)</x:f>
      </x:c>
      <x:c r="K12" s="482"/>
      <x:c r="L12" s="482"/>
      <x:c r="M12" s="479">
        <x:f>SUM(M8:M11)</x:f>
      </x:c>
      <x:c r="N12" s="470"/>
    </x:row>
    <x:row r="13" spans="1:30" ht="15" customHeight="1" s="434" customFormat="1" x14ac:dyDescent="0.25">
      <x:c r="A13" s="483"/>
      <x:c r="B13" s="483"/>
      <x:c r="C13" s="483"/>
      <x:c r="D13" s="484"/>
      <x:c r="E13" s="483"/>
      <x:c r="F13" s="483"/>
      <x:c r="G13" s="432"/>
      <x:c r="I13" s="485"/>
      <x:c r="N13" s="470"/>
    </x:row>
    <x:row r="14" spans="1:30" ht="15" customHeight="1" s="434" customFormat="1" x14ac:dyDescent="0.25">
      <x:c r="A14" s="483"/>
      <x:c r="B14" s="483"/>
      <x:c r="C14" s="483"/>
      <x:c r="D14" s="484"/>
      <x:c r="E14" s="483"/>
      <x:c r="F14" s="483"/>
      <x:c r="G14" s="432"/>
      <x:c r="I14" s="485"/>
      <x:c r="J14" s="432"/>
      <x:c r="M14" s="432"/>
      <x:c r="N14" s="470"/>
    </x:row>
    <x:row r="15" spans="1:30" ht="15" customHeight="1" s="434" customFormat="1" x14ac:dyDescent="0.25">
      <x:c r="A15" s="434" t="s">
        <x:v>30</x:v>
      </x:c>
      <x:c r="B15" s="434" t="s">
        <x:v>31</x:v>
      </x:c>
      <x:c r="C15" s="483" t="s">
        <x:v>32</x:v>
      </x:c>
      <x:c r="D15" s="485"/>
      <x:c r="G15" s="432"/>
      <x:c r="I15" s="485"/>
      <x:c r="N15" s="470"/>
    </x:row>
    <x:row r="16" spans="1:30" ht="15" customHeight="1" s="432" customFormat="1" x14ac:dyDescent="0.25">
      <x:c r="A16" s="486" t="s">
        <x:v>33</x:v>
      </x:c>
      <x:c r="B16" s="487" t="s">
        <x:v>34</x:v>
      </x:c>
      <x:c r="C16" s="488" t="s">
        <x:v>35</x:v>
      </x:c>
      <x:c r="D16" s="489">
        <x:v>45245</x:v>
      </x:c>
      <x:c r="E16" s="490">
        <x:v>194.76</x:v>
      </x:c>
      <x:c r="F16" s="490">
        <x:v>29.21</x:v>
      </x:c>
      <x:c r="G16" s="491">
        <x:f>185.42-2.9-5.96</x:f>
      </x:c>
      <x:c r="H16" s="490">
        <x:v>19.87</x:v>
      </x:c>
      <x:c r="I16" s="492">
        <x:v>45292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</x:row>
    <x:row r="17" spans="1:30" ht="15" customHeight="1" s="432" customFormat="1" x14ac:dyDescent="0.25">
      <x:c r="A17" s="486" t="s">
        <x:v>36</x:v>
      </x:c>
      <x:c r="B17" s="487" t="s">
        <x:v>37</x:v>
      </x:c>
      <x:c r="C17" s="488" t="s">
        <x:v>38</x:v>
      </x:c>
      <x:c r="D17" s="489">
        <x:v>45252</x:v>
      </x:c>
      <x:c r="E17" s="490">
        <x:v>428.4</x:v>
      </x:c>
      <x:c r="F17" s="490">
        <x:v>128.52</x:v>
      </x:c>
      <x:c r="G17" s="491">
        <x:v>322.07</x:v>
      </x:c>
      <x:c r="H17" s="490">
        <x:v>35.99</x:v>
      </x:c>
      <x:c r="I17" s="492">
        <x:v>45337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</x:row>
    <x:row r="18" spans="1:30" ht="15" customHeight="1" s="432" customFormat="1" x14ac:dyDescent="0.25">
      <x:c r="A18" s="486" t="s">
        <x:v>36</x:v>
      </x:c>
      <x:c r="B18" s="487" t="s">
        <x:v>37</x:v>
      </x:c>
      <x:c r="C18" s="488" t="s">
        <x:v>39</x:v>
      </x:c>
      <x:c r="D18" s="489">
        <x:v>45254</x:v>
      </x:c>
      <x:c r="E18" s="490">
        <x:v>369.6</x:v>
      </x:c>
      <x:c r="F18" s="490">
        <x:v>110.88</x:v>
      </x:c>
      <x:c r="G18" s="491">
        <x:v>277.86</x:v>
      </x:c>
      <x:c r="H18" s="490">
        <x:v>31.05</x:v>
      </x:c>
      <x:c r="I18" s="492">
        <x:v>45337</x:v>
      </x:c>
      <x:c r="J18" s="433">
        <x:f>+E18-F18</x:f>
      </x:c>
      <x:c r="K18" s="468">
        <x:f>+I18-D18</x:f>
      </x:c>
      <x:c r="L18" s="469">
        <x:v>0.03</x:v>
      </x:c>
      <x:c r="M18" s="433">
        <x:f>+J18*L18</x:f>
      </x:c>
      <x:c r="N18" s="470"/>
    </x:row>
    <x:row r="19" spans="1:30" ht="15" customHeight="1" s="432" customFormat="1" x14ac:dyDescent="0.25">
      <x:c r="A19" s="486" t="s">
        <x:v>33</x:v>
      </x:c>
      <x:c r="B19" s="487" t="s">
        <x:v>40</x:v>
      </x:c>
      <x:c r="C19" s="488" t="s">
        <x:v>41</x:v>
      </x:c>
      <x:c r="D19" s="489">
        <x:v>45258</x:v>
      </x:c>
      <x:c r="E19" s="490">
        <x:v>216</x:v>
      </x:c>
      <x:c r="F19" s="490">
        <x:v>43.2</x:v>
      </x:c>
      <x:c r="G19" s="491">
        <x:f>193.54-1.73-6.22</x:f>
      </x:c>
      <x:c r="H19" s="490">
        <x:v>20.74</x:v>
      </x:c>
      <x:c r="I19" s="492">
        <x:v>45306</x:v>
      </x:c>
      <x:c r="J19" s="433">
        <x:f>+E19-F19</x:f>
      </x:c>
      <x:c r="K19" s="468">
        <x:f>+I19-D19</x:f>
      </x:c>
      <x:c r="L19" s="469">
        <x:v>0.03</x:v>
      </x:c>
      <x:c r="M19" s="433">
        <x:f>+J19*L19</x:f>
      </x:c>
      <x:c r="N19" s="470"/>
    </x:row>
    <x:row r="20" spans="1:30" ht="15" customHeight="1" s="432" customFormat="1" x14ac:dyDescent="0.25">
      <x:c r="A20" s="486" t="s">
        <x:v>36</x:v>
      </x:c>
      <x:c r="B20" s="487" t="s">
        <x:v>37</x:v>
      </x:c>
      <x:c r="C20" s="488" t="s">
        <x:v>42</x:v>
      </x:c>
      <x:c r="D20" s="489">
        <x:v>45271</x:v>
      </x:c>
      <x:c r="E20" s="490">
        <x:v>324</x:v>
      </x:c>
      <x:c r="F20" s="490">
        <x:v>81</x:v>
      </x:c>
      <x:c r="G20" s="491">
        <x:f>272.16-2.43-8.75</x:f>
      </x:c>
      <x:c r="H20" s="490">
        <x:v>29.16</x:v>
      </x:c>
      <x:c r="I20" s="492">
        <x:v>45337</x:v>
      </x:c>
      <x:c r="J20" s="433">
        <x:f>+E20-F20</x:f>
      </x:c>
      <x:c r="K20" s="468">
        <x:f>+I20-D20</x:f>
      </x:c>
      <x:c r="L20" s="469">
        <x:v>0.03</x:v>
      </x:c>
      <x:c r="M20" s="433">
        <x:f>+J20*L20</x:f>
      </x:c>
      <x:c r="N20" s="470"/>
    </x:row>
    <x:row r="21" spans="1:30" ht="15" customHeight="1" s="432" customFormat="1" x14ac:dyDescent="0.3">
      <x:c r="A21" s="486"/>
      <x:c r="B21" s="487"/>
      <x:c r="C21" s="488"/>
      <x:c r="D21" s="489"/>
      <x:c r="E21" s="490"/>
      <x:c r="F21" s="490"/>
      <x:c r="G21" s="491"/>
      <x:c r="H21" s="490"/>
      <x:c r="I21" s="492"/>
      <x:c r="J21" s="433"/>
      <x:c r="K21" s="468"/>
      <x:c r="L21" s="469"/>
      <x:c r="M21" s="433"/>
      <x:c r="N21" s="470"/>
    </x:row>
    <x:row r="22" spans="1:30" ht="15" customHeight="1" x14ac:dyDescent="0.35">
      <x:c r="A22" s="493" t="s">
        <x:v>43</x:v>
      </x:c>
      <x:c r="B22" s="493"/>
      <x:c r="C22" s="493"/>
      <x:c r="D22" s="493"/>
      <x:c r="E22" s="493"/>
      <x:c r="F22" s="493"/>
      <x:c r="G22" s="494">
        <x:f>SUM(G12:G21)</x:f>
      </x:c>
      <x:c r="J22" s="494">
        <x:f>SUM(J12:J21)</x:f>
      </x:c>
      <x:c r="L22" s="495"/>
      <x:c r="M22" s="496">
        <x:f>SUM(M12:M21)</x:f>
      </x:c>
    </x:row>
    <x:row r="23" spans="1:30" ht="15" customHeight="1" x14ac:dyDescent="0.25">
      <x:c r="A23" s="497"/>
      <x:c r="B23" s="497"/>
      <x:c r="C23" s="497"/>
      <x:c r="D23" s="498"/>
      <x:c r="E23" s="497"/>
      <x:c r="F23" s="497"/>
      <x:c r="G23" s="435"/>
      <x:c r="J23" s="435"/>
      <x:c r="M23" s="435"/>
    </x:row>
    <x:row r="24" spans="1:30" ht="15" customHeight="1" x14ac:dyDescent="0.3">
      <x:c r="A24" s="499"/>
      <x:c r="B24" s="497"/>
      <x:c r="C24" s="497"/>
      <x:c r="D24" s="498"/>
      <x:c r="E24" s="497"/>
      <x:c r="F24" s="497"/>
      <x:c r="G24" s="435"/>
      <x:c r="J24" s="435"/>
      <x:c r="M24" s="435"/>
    </x:row>
    <x:row r="25" spans="1:30" ht="15" customHeight="1" x14ac:dyDescent="0.25">
      <x:c r="A25" s="497"/>
      <x:c r="B25" s="497"/>
      <x:c r="C25" s="497"/>
      <x:c r="D25" s="498"/>
      <x:c r="E25" s="497"/>
      <x:c r="F25" s="497"/>
      <x:c r="G25" s="435"/>
      <x:c r="I25" s="500"/>
    </x:row>
    <x:row r="26" spans="1:30" ht="15" customHeight="1" x14ac:dyDescent="0.25">
      <x:c r="A26" s="436" t="s">
        <x:v>44</x:v>
      </x:c>
      <x:c r="B26" s="436"/>
      <x:c r="C26" s="436"/>
      <x:c r="D26" s="436"/>
      <x:c r="E26" s="436"/>
      <x:c r="F26" s="436"/>
      <x:c r="G26" s="437"/>
      <x:c r="H26" s="437"/>
      <x:c r="I26" s="439"/>
      <x:c r="J26" s="440"/>
      <x:c r="K26" s="441"/>
      <x:c r="L26" s="442"/>
      <x:c r="M26" s="443"/>
    </x:row>
    <x:row r="27" spans="1:30" ht="15" customHeight="1" x14ac:dyDescent="0.25">
      <x:c r="A27" s="436" t="s">
        <x:v>1</x:v>
      </x:c>
      <x:c r="B27" s="436"/>
      <x:c r="C27" s="436"/>
      <x:c r="D27" s="436"/>
      <x:c r="E27" s="436"/>
      <x:c r="F27" s="436"/>
      <x:c r="G27" s="437"/>
      <x:c r="H27" s="438"/>
      <x:c r="I27" s="439"/>
      <x:c r="J27" s="441"/>
      <x:c r="K27" s="441"/>
      <x:c r="L27" s="442"/>
      <x:c r="M27" s="443"/>
    </x:row>
    <x:row r="28" spans="1:30" ht="15" customHeight="1" x14ac:dyDescent="0.25">
      <x:c r="A28" s="436"/>
      <x:c r="B28" s="444" t="s">
        <x:v>2</x:v>
      </x:c>
      <x:c r="C28" s="436"/>
      <x:c r="D28" s="445"/>
      <x:c r="E28" s="436"/>
      <x:c r="F28" s="436"/>
      <x:c r="G28" s="437"/>
      <x:c r="H28" s="438"/>
      <x:c r="I28" s="439"/>
      <x:c r="J28" s="441"/>
      <x:c r="K28" s="441"/>
      <x:c r="L28" s="442"/>
      <x:c r="M28" s="443"/>
    </x:row>
    <x:row r="29" spans="1:30" ht="15" customHeight="1" x14ac:dyDescent="0.3">
      <x:c r="A29" s="436"/>
      <x:c r="B29" s="444" t="s">
        <x:v>45</x:v>
      </x:c>
      <x:c r="C29" s="436"/>
      <x:c r="D29" s="445"/>
      <x:c r="E29" s="436"/>
      <x:c r="F29" s="436"/>
      <x:c r="G29" s="443"/>
      <x:c r="H29" s="437"/>
      <x:c r="I29" s="446"/>
      <x:c r="J29" s="441"/>
      <x:c r="K29" s="441"/>
      <x:c r="L29" s="442"/>
      <x:c r="M29" s="443"/>
    </x:row>
    <x:row r="30" spans="1:30" ht="15" customHeight="1" x14ac:dyDescent="0.25">
      <x:c r="A30" s="447"/>
      <x:c r="B30" s="441"/>
      <x:c r="C30" s="441"/>
      <x:c r="D30" s="439"/>
      <x:c r="E30" s="441"/>
      <x:c r="F30" s="441"/>
      <x:c r="G30" s="448" t="s">
        <x:v>5</x:v>
      </x:c>
      <x:c r="H30" s="441"/>
      <x:c r="I30" s="439"/>
      <x:c r="J30" s="449" t="s">
        <x:v>6</x:v>
      </x:c>
      <x:c r="K30" s="450" t="s">
        <x:v>7</x:v>
      </x:c>
      <x:c r="L30" s="451" t="s">
        <x:v>8</x:v>
      </x:c>
      <x:c r="M30" s="449" t="s">
        <x:v>9</x:v>
      </x:c>
    </x:row>
    <x:row r="31" spans="1:30" ht="15" customHeight="1" x14ac:dyDescent="0.25">
      <x:c r="A31" s="452" t="s">
        <x:v>10</x:v>
      </x:c>
      <x:c r="B31" s="452" t="s">
        <x:v>11</x:v>
      </x:c>
      <x:c r="C31" s="452" t="s">
        <x:v>12</x:v>
      </x:c>
      <x:c r="D31" s="453" t="s">
        <x:v>13</x:v>
      </x:c>
      <x:c r="E31" s="452" t="s">
        <x:v>14</x:v>
      </x:c>
      <x:c r="F31" s="454" t="s">
        <x:v>15</x:v>
      </x:c>
      <x:c r="G31" s="501" t="s">
        <x:v>16</x:v>
      </x:c>
      <x:c r="H31" s="456" t="s">
        <x:v>17</x:v>
      </x:c>
      <x:c r="I31" s="457" t="s">
        <x:v>18</x:v>
      </x:c>
      <x:c r="J31" s="458" t="s">
        <x:v>19</x:v>
      </x:c>
      <x:c r="K31" s="459"/>
      <x:c r="L31" s="460" t="s">
        <x:v>20</x:v>
      </x:c>
      <x:c r="M31" s="458" t="s">
        <x:v>21</x:v>
      </x:c>
    </x:row>
    <x:row r="32" spans="1:30" ht="15" customHeight="1" x14ac:dyDescent="0.25">
      <x:c r="A32" s="486" t="s">
        <x:v>46</x:v>
      </x:c>
      <x:c r="B32" s="462" t="s">
        <x:v>47</x:v>
      </x:c>
      <x:c r="C32" s="488" t="s">
        <x:v>48</x:v>
      </x:c>
      <x:c r="D32" s="489">
        <x:v>45035</x:v>
      </x:c>
      <x:c r="E32" s="490">
        <x:v>1284.6</x:v>
      </x:c>
      <x:c r="F32" s="490">
        <x:v>218.39</x:v>
      </x:c>
      <x:c r="G32" s="502">
        <x:v>62.8000000000001</x:v>
      </x:c>
      <x:c r="H32" s="490">
        <x:v>127.95</x:v>
      </x:c>
      <x:c r="I32" s="467">
        <x:v>45271</x:v>
      </x:c>
      <x:c r="J32" s="433">
        <x:f>100/1.12</x:f>
      </x:c>
      <x:c r="K32" s="468">
        <x:f>+I32-D32</x:f>
      </x:c>
      <x:c r="L32" s="503">
        <x:v>0</x:v>
      </x:c>
      <x:c r="M32" s="504">
        <x:f>+J32*L32</x:f>
      </x:c>
    </x:row>
    <x:row r="33" spans="1:30" ht="15" customHeight="1" x14ac:dyDescent="0.25">
      <x:c r="A33" s="461" t="s">
        <x:v>49</x:v>
      </x:c>
      <x:c r="B33" s="462" t="s">
        <x:v>26</x:v>
      </x:c>
      <x:c r="C33" s="463" t="s">
        <x:v>50</x:v>
      </x:c>
      <x:c r="D33" s="464">
        <x:v>45175</x:v>
      </x:c>
      <x:c r="E33" s="465">
        <x:v>1148.4</x:v>
      </x:c>
      <x:c r="F33" s="465">
        <x:v>172.26</x:v>
      </x:c>
      <x:c r="G33" s="466">
        <x:v>1048.38</x:v>
      </x:c>
      <x:c r="H33" s="465">
        <x:v>117.14</x:v>
      </x:c>
      <x:c r="I33" s="492">
        <x:v>45275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</x:row>
    <x:row r="34" spans="1:30" ht="15" customHeight="1" x14ac:dyDescent="0.25">
      <x:c r="A34" s="461" t="s">
        <x:v>49</x:v>
      </x:c>
      <x:c r="B34" s="462" t="s">
        <x:v>26</x:v>
      </x:c>
      <x:c r="C34" s="463" t="s">
        <x:v>51</x:v>
      </x:c>
      <x:c r="D34" s="464">
        <x:v>45175</x:v>
      </x:c>
      <x:c r="E34" s="465">
        <x:v>211.2</x:v>
      </x:c>
      <x:c r="F34" s="465">
        <x:v>31.68</x:v>
      </x:c>
      <x:c r="G34" s="466">
        <x:v>192.8</x:v>
      </x:c>
      <x:c r="H34" s="465">
        <x:v>21.54</x:v>
      </x:c>
      <x:c r="I34" s="492">
        <x:v>45275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</x:row>
    <x:row r="35" spans="1:30" ht="15" customHeight="1" x14ac:dyDescent="0.25">
      <x:c r="A35" s="461" t="s">
        <x:v>52</x:v>
      </x:c>
      <x:c r="B35" s="505" t="s">
        <x:v>53</x:v>
      </x:c>
      <x:c r="C35" s="463" t="s">
        <x:v>54</x:v>
      </x:c>
      <x:c r="D35" s="464">
        <x:v>45252</x:v>
      </x:c>
      <x:c r="E35" s="465">
        <x:v>619.56</x:v>
      </x:c>
      <x:c r="F35" s="465">
        <x:v>154.89</x:v>
      </x:c>
      <x:c r="G35" s="466">
        <x:f>520.43</x:f>
      </x:c>
      <x:c r="H35" s="465">
        <x:v>55.76</x:v>
      </x:c>
      <x:c r="I35" s="467">
        <x:v>45261</x:v>
      </x:c>
      <x:c r="J35" s="433">
        <x:f>+E35-F35</x:f>
      </x:c>
      <x:c r="K35" s="468">
        <x:f>+I35-D35</x:f>
      </x:c>
      <x:c r="L35" s="503">
        <x:v>0.035</x:v>
      </x:c>
      <x:c r="M35" s="504">
        <x:f>+J35*L35</x:f>
      </x:c>
    </x:row>
    <x:row r="36" spans="1:30" ht="15" customHeight="1" x14ac:dyDescent="0.25">
      <x:c r="A36" s="461" t="s">
        <x:v>49</x:v>
      </x:c>
      <x:c r="B36" s="462" t="s">
        <x:v>26</x:v>
      </x:c>
      <x:c r="C36" s="463" t="s">
        <x:v>55</x:v>
      </x:c>
      <x:c r="D36" s="464">
        <x:v>45181</x:v>
      </x:c>
      <x:c r="E36" s="465">
        <x:v>1174.8</x:v>
      </x:c>
      <x:c r="F36" s="465">
        <x:v>176.22</x:v>
      </x:c>
      <x:c r="G36" s="466">
        <x:v>1072.47</x:v>
      </x:c>
      <x:c r="H36" s="465">
        <x:v>119.83</x:v>
      </x:c>
      <x:c r="I36" s="492">
        <x:v>45275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</x:row>
    <x:row r="37" spans="1:30" ht="15" customHeight="1" x14ac:dyDescent="0.25">
      <x:c r="A37" s="461" t="s">
        <x:v>49</x:v>
      </x:c>
      <x:c r="B37" s="462" t="s">
        <x:v>26</x:v>
      </x:c>
      <x:c r="C37" s="463" t="s">
        <x:v>56</x:v>
      </x:c>
      <x:c r="D37" s="464">
        <x:v>45182</x:v>
      </x:c>
      <x:c r="E37" s="465">
        <x:v>275</x:v>
      </x:c>
      <x:c r="F37" s="465">
        <x:v>41.25</x:v>
      </x:c>
      <x:c r="G37" s="466">
        <x:v>251.04</x:v>
      </x:c>
      <x:c r="H37" s="465">
        <x:v>28.05</x:v>
      </x:c>
      <x:c r="I37" s="492">
        <x:v>45275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</x:row>
    <x:row r="38" spans="1:30" ht="15" customHeight="1" x14ac:dyDescent="0.25">
      <x:c r="A38" s="461" t="s">
        <x:v>57</x:v>
      </x:c>
      <x:c r="B38" s="462" t="s">
        <x:v>26</x:v>
      </x:c>
      <x:c r="C38" s="463" t="s">
        <x:v>58</x:v>
      </x:c>
      <x:c r="D38" s="464">
        <x:v>45191</x:v>
      </x:c>
      <x:c r="E38" s="465">
        <x:v>42.24</x:v>
      </x:c>
      <x:c r="F38" s="465">
        <x:v>8.44</x:v>
      </x:c>
      <x:c r="G38" s="466">
        <x:v>36.3</x:v>
      </x:c>
      <x:c r="H38" s="465">
        <x:v>4.06</x:v>
      </x:c>
      <x:c r="I38" s="492">
        <x:v>45281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</x:row>
    <x:row r="39" spans="1:30" ht="15" customHeight="1" x14ac:dyDescent="0.25">
      <x:c r="A39" s="461" t="s">
        <x:v>59</x:v>
      </x:c>
      <x:c r="B39" s="505" t="s">
        <x:v>60</x:v>
      </x:c>
      <x:c r="C39" s="463" t="s">
        <x:v>61</x:v>
      </x:c>
      <x:c r="D39" s="464">
        <x:v>45251</x:v>
      </x:c>
      <x:c r="E39" s="465">
        <x:v>105.6</x:v>
      </x:c>
      <x:c r="F39" s="465">
        <x:v>15.84</x:v>
      </x:c>
      <x:c r="G39" s="466">
        <x:f>100.53</x:f>
      </x:c>
      <x:c r="H39" s="465">
        <x:v>10.77</x:v>
      </x:c>
      <x:c r="I39" s="467">
        <x:v>45273</x:v>
      </x:c>
      <x:c r="J39" s="433">
        <x:f>+E39-F39</x:f>
      </x:c>
      <x:c r="K39" s="468">
        <x:f>+I39-D39</x:f>
      </x:c>
      <x:c r="L39" s="503">
        <x:v>0.035</x:v>
      </x:c>
      <x:c r="M39" s="504">
        <x:f>+J39*L39</x:f>
      </x:c>
    </x:row>
    <x:row r="40" spans="1:30" ht="15" customHeight="1" x14ac:dyDescent="0.25">
      <x:c r="A40" s="461" t="s">
        <x:v>62</x:v>
      </x:c>
      <x:c r="B40" s="506" t="s">
        <x:v>26</x:v>
      </x:c>
      <x:c r="C40" s="463" t="s">
        <x:v>63</x:v>
      </x:c>
      <x:c r="D40" s="464">
        <x:v>45278</x:v>
      </x:c>
      <x:c r="E40" s="465">
        <x:v>304.2</x:v>
      </x:c>
      <x:c r="F40" s="465">
        <x:v>76.05</x:v>
      </x:c>
      <x:c r="G40" s="466">
        <x:v>228.15</x:v>
      </x:c>
      <x:c r="H40" s="465">
        <x:v>0</x:v>
      </x:c>
      <x:c r="I40" s="492">
        <x:v>45282</x:v>
      </x:c>
      <x:c r="J40" s="433">
        <x:f>+E40-F40</x:f>
      </x:c>
      <x:c r="K40" s="468">
        <x:f>+I40-D40</x:f>
      </x:c>
      <x:c r="L40" s="503">
        <x:v>0.035</x:v>
      </x:c>
      <x:c r="M40" s="504">
        <x:f>+J40*L40</x:f>
      </x:c>
    </x:row>
    <x:row r="41" spans="1:30" ht="15" customHeight="1" x14ac:dyDescent="0.25">
      <x:c r="A41" s="461"/>
      <x:c r="B41" s="507"/>
      <x:c r="C41" s="463"/>
      <x:c r="D41" s="464"/>
      <x:c r="E41" s="465"/>
      <x:c r="F41" s="465"/>
      <x:c r="G41" s="466"/>
      <x:c r="H41" s="465"/>
      <x:c r="I41" s="492"/>
      <x:c r="J41" s="433"/>
      <x:c r="K41" s="468"/>
      <x:c r="L41" s="503"/>
      <x:c r="M41" s="504"/>
    </x:row>
    <x:row r="42" spans="1:30" ht="15" customHeight="1" x14ac:dyDescent="0.3">
      <x:c r="A42" s="508"/>
      <x:c r="B42" s="509"/>
      <x:c r="C42" s="509"/>
      <x:c r="D42" s="510"/>
      <x:c r="E42" s="511"/>
      <x:c r="F42" s="511"/>
      <x:c r="G42" s="512"/>
      <x:c r="H42" s="513"/>
      <x:c r="I42" s="514"/>
      <x:c r="J42" s="433"/>
      <x:c r="K42" s="468"/>
      <x:c r="L42" s="503"/>
      <x:c r="M42" s="504"/>
      <x:c r="O42" s="515"/>
      <x:c r="P42" s="435"/>
      <x:c r="Q42" s="435"/>
    </x:row>
    <x:row r="43" spans="1:30" ht="15" customHeight="1" x14ac:dyDescent="0.3">
      <x:c r="G43" s="516">
        <x:f>SUM(G32:G42)</x:f>
      </x:c>
      <x:c r="J43" s="516">
        <x:f>SUM(J32:J42)</x:f>
      </x:c>
      <x:c r="M43" s="516">
        <x:f>SUM(M32:M42)</x:f>
      </x:c>
    </x:row>
    <x:row r="44" spans="1:30" ht="15" customHeight="1" x14ac:dyDescent="0.25">
      <x:c r="G44" s="435"/>
      <x:c r="H44" s="435"/>
    </x:row>
    <x:row r="45" spans="1:30" ht="15" customHeight="1" x14ac:dyDescent="0.25">
      <x:c r="A45" s="517" t="s">
        <x:v>30</x:v>
      </x:c>
      <x:c r="B45" s="517" t="s">
        <x:v>31</x:v>
      </x:c>
      <x:c r="C45" s="518" t="s">
        <x:v>32</x:v>
      </x:c>
    </x:row>
    <x:row r="46" spans="1:30" ht="15" customHeight="1" s="434" customFormat="1" x14ac:dyDescent="0.25">
      <x:c r="A46" s="486" t="s">
        <x:v>64</x:v>
      </x:c>
      <x:c r="B46" s="487" t="s">
        <x:v>65</x:v>
      </x:c>
      <x:c r="C46" s="488" t="s">
        <x:v>66</x:v>
      </x:c>
      <x:c r="D46" s="489">
        <x:v>45202</x:v>
      </x:c>
      <x:c r="E46" s="490">
        <x:v>173.28</x:v>
      </x:c>
      <x:c r="F46" s="490">
        <x:v>25.98</x:v>
      </x:c>
      <x:c r="G46" s="491">
        <x:f>164.98-1.47-5.3</x:f>
      </x:c>
      <x:c r="H46" s="490">
        <x:v>17.68</x:v>
      </x:c>
      <x:c r="I46" s="492">
        <x:v>45297</x:v>
      </x:c>
      <x:c r="J46" s="433">
        <x:f>+E46-F46</x:f>
      </x:c>
      <x:c r="K46" s="468">
        <x:f>+I46-D46</x:f>
      </x:c>
      <x:c r="L46" s="469">
        <x:v>0.03</x:v>
      </x:c>
      <x:c r="M46" s="433">
        <x:f>+J46*L46</x:f>
      </x:c>
      <x:c r="N46" s="470"/>
    </x:row>
    <x:row r="47" spans="1:30" ht="15" customHeight="1" s="434" customFormat="1" x14ac:dyDescent="0.25">
      <x:c r="A47" s="486" t="s">
        <x:v>67</x:v>
      </x:c>
      <x:c r="B47" s="487" t="s">
        <x:v>68</x:v>
      </x:c>
      <x:c r="C47" s="488" t="s">
        <x:v>69</x:v>
      </x:c>
      <x:c r="D47" s="489">
        <x:v>45252</x:v>
      </x:c>
      <x:c r="E47" s="490">
        <x:v>330.6</x:v>
      </x:c>
      <x:c r="F47" s="490">
        <x:v>56.21</x:v>
      </x:c>
      <x:c r="G47" s="491">
        <x:v>307.32</x:v>
      </x:c>
      <x:c r="H47" s="490">
        <x:v>32.93</x:v>
      </x:c>
      <x:c r="I47" s="467">
        <x:v>45313</x:v>
      </x:c>
      <x:c r="J47" s="433">
        <x:f>+E47-F47</x:f>
      </x:c>
      <x:c r="K47" s="468">
        <x:f>+I47-D47</x:f>
      </x:c>
      <x:c r="L47" s="469">
        <x:v>0.03</x:v>
      </x:c>
      <x:c r="M47" s="433">
        <x:f>+J47*L47</x:f>
      </x:c>
      <x:c r="N47" s="470"/>
    </x:row>
    <x:row r="48" spans="1:30" ht="15" customHeight="1" s="434" customFormat="1" x14ac:dyDescent="0.25">
      <x:c r="A48" s="486" t="s">
        <x:v>70</x:v>
      </x:c>
      <x:c r="B48" s="487" t="s">
        <x:v>71</x:v>
      </x:c>
      <x:c r="C48" s="488" t="s">
        <x:v>72</x:v>
      </x:c>
      <x:c r="D48" s="489">
        <x:v>45259</x:v>
      </x:c>
      <x:c r="E48" s="490">
        <x:v>1018.8</x:v>
      </x:c>
      <x:c r="F48" s="490">
        <x:v>254.7</x:v>
      </x:c>
      <x:c r="G48" s="491">
        <x:v>820.64</x:v>
      </x:c>
      <x:c r="H48" s="490">
        <x:v>91.69</x:v>
      </x:c>
      <x:c r="I48" s="467">
        <x:v>45321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  <x:c r="N48" s="470"/>
    </x:row>
    <x:row r="49" spans="1:30" ht="15" customHeight="1" s="434" customFormat="1" x14ac:dyDescent="0.25">
      <x:c r="A49" s="486" t="s">
        <x:v>67</x:v>
      </x:c>
      <x:c r="B49" s="487" t="s">
        <x:v>73</x:v>
      </x:c>
      <x:c r="C49" s="488" t="s">
        <x:v>74</x:v>
      </x:c>
      <x:c r="D49" s="489">
        <x:v>45268</x:v>
      </x:c>
      <x:c r="E49" s="490">
        <x:v>648</x:v>
      </x:c>
      <x:c r="F49" s="490">
        <x:v>142.56</x:v>
      </x:c>
      <x:c r="G49" s="491">
        <x:v>566.09</x:v>
      </x:c>
      <x:c r="H49" s="490">
        <x:v>60.65</x:v>
      </x:c>
      <x:c r="I49" s="492">
        <x:v>45330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</x:row>
    <x:row r="50" spans="1:30" ht="15" customHeight="1" s="434" customFormat="1" x14ac:dyDescent="0.25">
      <x:c r="A50" s="486" t="s">
        <x:v>75</x:v>
      </x:c>
      <x:c r="B50" s="487" t="s">
        <x:v>76</x:v>
      </x:c>
      <x:c r="C50" s="488" t="s">
        <x:v>77</x:v>
      </x:c>
      <x:c r="D50" s="489">
        <x:v>45279</x:v>
      </x:c>
      <x:c r="E50" s="490">
        <x:v>46.8</x:v>
      </x:c>
      <x:c r="F50" s="490">
        <x:v>7.02</x:v>
      </x:c>
      <x:c r="G50" s="491">
        <x:f>44.55</x:f>
      </x:c>
      <x:c r="H50" s="490">
        <x:v>4.77</x:v>
      </x:c>
      <x:c r="I50" s="492">
        <x:v>45296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</x:row>
    <x:row r="51" spans="1:30" ht="15" customHeight="1" s="434" customFormat="1" x14ac:dyDescent="0.3">
      <x:c r="A51" s="471"/>
      <x:c r="B51" s="472"/>
      <x:c r="C51" s="472"/>
      <x:c r="D51" s="473"/>
      <x:c r="E51" s="474"/>
      <x:c r="F51" s="474"/>
      <x:c r="G51" s="475"/>
      <x:c r="H51" s="476"/>
      <x:c r="I51" s="477"/>
      <x:c r="J51" s="433"/>
      <x:c r="K51" s="468"/>
      <x:c r="L51" s="469"/>
      <x:c r="M51" s="433"/>
      <x:c r="N51" s="470"/>
    </x:row>
    <x:row r="52" spans="1:30" ht="15" customHeight="1" x14ac:dyDescent="0.35">
      <x:c r="A52" s="493" t="s">
        <x:v>43</x:v>
      </x:c>
      <x:c r="B52" s="493"/>
      <x:c r="C52" s="493"/>
      <x:c r="D52" s="493"/>
      <x:c r="E52" s="493"/>
      <x:c r="F52" s="493"/>
      <x:c r="G52" s="516">
        <x:f>SUM(G43:G51)</x:f>
      </x:c>
      <x:c r="J52" s="516">
        <x:f>SUM(J43:J51)</x:f>
      </x:c>
      <x:c r="L52" s="495"/>
      <x:c r="M52" s="519">
        <x:f>SUM(M43:M51)</x:f>
      </x:c>
    </x:row>
    <x:row r="53" spans="1:30" ht="15" customHeight="1" x14ac:dyDescent="0.3">
      <x:c r="A53" s="520"/>
      <x:c r="G53" s="435"/>
    </x:row>
    <x:row r="54" spans="1:30" ht="15" customHeight="1" x14ac:dyDescent="0.3">
      <x:c r="A54" s="499"/>
      <x:c r="G54" s="435"/>
      <x:c r="J54" s="435"/>
    </x:row>
    <x:row r="55" spans="1:30" ht="15" customHeight="1" x14ac:dyDescent="0.3">
      <x:c r="A55" s="499"/>
      <x:c r="G55" s="435"/>
      <x:c r="J55" s="435"/>
    </x:row>
    <x:row r="56" spans="1:30" ht="15" customHeight="1" x14ac:dyDescent="0.3">
      <x:c r="A56" s="499"/>
      <x:c r="G56" s="435"/>
      <x:c r="J56" s="435"/>
    </x:row>
    <x:row r="57" spans="1:30" ht="15" customHeight="1" x14ac:dyDescent="0.3">
      <x:c r="A57" s="499"/>
      <x:c r="G57" s="435"/>
      <x:c r="J57" s="435"/>
    </x:row>
    <x:row r="58" spans="1:30" ht="15" customHeight="1" x14ac:dyDescent="0.3">
      <x:c r="A58" s="499"/>
      <x:c r="G58" s="435"/>
      <x:c r="J58" s="435">
        <x:f>J22+J52</x:f>
      </x:c>
    </x:row>
    <x:row r="59" spans="1:30" ht="15" customHeight="1" x14ac:dyDescent="0.3">
      <x:c r="A59" s="499"/>
      <x:c r="G59" s="435"/>
      <x:c r="J59" s="435">
        <x:f>J58*2%</x:f>
      </x:c>
      <x:c r="M59" s="435"/>
    </x:row>
    <x:row r="60" spans="1:30" ht="15" customHeight="1" x14ac:dyDescent="0.3">
      <x:c r="A60" s="499"/>
      <x:c r="G60" s="435"/>
      <x:c r="J60" s="435"/>
    </x:row>
    <x:row r="61" spans="1:30" ht="15" customHeight="1" x14ac:dyDescent="0.3">
      <x:c r="A61" s="499"/>
      <x:c r="G61" s="435"/>
      <x:c r="J61" s="435"/>
    </x:row>
    <x:row r="62" spans="1:30" ht="15" customHeight="1" x14ac:dyDescent="0.3">
      <x:c r="A62" s="499"/>
      <x:c r="G62" s="435"/>
      <x:c r="J62" s="435"/>
    </x:row>
    <x:row r="63" spans="1:30" ht="15" customHeight="1" x14ac:dyDescent="0.3">
      <x:c r="A63" s="499"/>
      <x:c r="G63" s="435"/>
      <x:c r="J63" s="435"/>
    </x:row>
    <x:row r="64" spans="1:30" ht="15" customHeight="1" x14ac:dyDescent="0.3">
      <x:c r="A64" s="499"/>
      <x:c r="G64" s="435"/>
      <x:c r="J64" s="435"/>
    </x:row>
    <x:row r="65" spans="1:30" ht="15" customHeight="1" x14ac:dyDescent="0.3">
      <x:c r="A65" s="520"/>
      <x:c r="K65" s="515"/>
    </x:row>
  </x:sheetData>
  <x:mergeCells count="7">
    <x:mergeCell ref="A2:F2"/>
    <x:mergeCell ref="A3:F3"/>
    <x:mergeCell ref="A12:F12"/>
    <x:mergeCell ref="A22:F22"/>
    <x:mergeCell ref="A26:F26"/>
    <x:mergeCell ref="A27:F27"/>
    <x:mergeCell ref="A52:F52"/>
  </x:mergeCells>
  <x:printOptions horizontalCentered="0" verticalCentered="0" headings="0" gridLines="0"/>
  <x:pageMargins left="0.3937007874015748" right="0" top="0.5905511811023623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D83"/>
  <x:sheetViews>
    <x:sheetView workbookViewId="0">
      <x:selection activeCell="A2" sqref="A2 A2:M21"/>
    </x:sheetView>
  </x:sheetViews>
  <x:sheetFormatPr baseColWidth="10" defaultColWidth="11.441406" defaultRowHeight="13.2" x14ac:dyDescent="0.25"/>
  <x:cols>
    <x:col min="1" max="1" width="28.886719" style="429" customWidth="1"/>
    <x:col min="2" max="2" width="34" style="429" customWidth="1"/>
    <x:col min="3" max="3" width="10.886719" style="429" customWidth="1"/>
    <x:col min="4" max="4" width="10.886719" style="430" customWidth="1"/>
    <x:col min="5" max="5" width="11.441406" style="429" customWidth="1"/>
    <x:col min="6" max="6" width="8.554688" style="429" customWidth="1"/>
    <x:col min="7" max="7" width="12.554688" style="429" customWidth="1"/>
    <x:col min="8" max="8" width="8.332031" style="429" customWidth="1"/>
    <x:col min="9" max="9" width="13.664062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17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78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2" customFormat="1" x14ac:dyDescent="0.25">
      <x:c r="A8" s="461" t="s">
        <x:v>79</x:v>
      </x:c>
      <x:c r="B8" s="462" t="s">
        <x:v>80</x:v>
      </x:c>
      <x:c r="C8" s="463" t="s">
        <x:v>81</x:v>
      </x:c>
      <x:c r="D8" s="464">
        <x:v>45211</x:v>
      </x:c>
      <x:c r="E8" s="465">
        <x:v>108</x:v>
      </x:c>
      <x:c r="F8" s="465">
        <x:v>21.6</x:v>
      </x:c>
      <x:c r="G8" s="466">
        <x:f>96.77-0.86-3.11</x:f>
      </x:c>
      <x:c r="H8" s="465">
        <x:v>10.37</x:v>
      </x:c>
      <x:c r="I8" s="467">
        <x:v>45293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</x:row>
    <x:row r="9" spans="1:30" ht="15" customHeight="1" s="432" customFormat="1" x14ac:dyDescent="0.25">
      <x:c r="A9" s="461" t="s">
        <x:v>82</x:v>
      </x:c>
      <x:c r="B9" s="462" t="s">
        <x:v>80</x:v>
      </x:c>
      <x:c r="C9" s="463" t="s">
        <x:v>83</x:v>
      </x:c>
      <x:c r="D9" s="464">
        <x:v>45246</x:v>
      </x:c>
      <x:c r="E9" s="465">
        <x:v>201.96</x:v>
      </x:c>
      <x:c r="F9" s="465">
        <x:v>40.39</x:v>
      </x:c>
      <x:c r="G9" s="466">
        <x:v>180.96</x:v>
      </x:c>
      <x:c r="H9" s="465">
        <x:v>19.39</x:v>
      </x:c>
      <x:c r="I9" s="467">
        <x:v>45313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</x:row>
    <x:row r="10" spans="1:30" ht="15" customHeight="1" s="432" customFormat="1" x14ac:dyDescent="0.25">
      <x:c r="A10" s="461" t="s">
        <x:v>84</x:v>
      </x:c>
      <x:c r="B10" s="462" t="s">
        <x:v>26</x:v>
      </x:c>
      <x:c r="C10" s="463" t="s">
        <x:v>85</x:v>
      </x:c>
      <x:c r="D10" s="464">
        <x:v>45254</x:v>
      </x:c>
      <x:c r="E10" s="465">
        <x:v>2851.2</x:v>
      </x:c>
      <x:c r="F10" s="465">
        <x:v>712.8</x:v>
      </x:c>
      <x:c r="G10" s="466">
        <x:v>2296.65</x:v>
      </x:c>
      <x:c r="H10" s="465">
        <x:v>256.61</x:v>
      </x:c>
      <x:c r="I10" s="467">
        <x:v>45321</x:v>
      </x:c>
      <x:c r="J10" s="433">
        <x:f>+E10-F10</x:f>
      </x:c>
      <x:c r="K10" s="468">
        <x:f>+I10-D10</x:f>
      </x:c>
      <x:c r="L10" s="469">
        <x:v>0.03</x:v>
      </x:c>
      <x:c r="M10" s="433">
        <x:f>+J10*L10</x:f>
      </x:c>
      <x:c r="N10" s="470"/>
    </x:row>
    <x:row r="11" spans="1:30" ht="15" customHeight="1" s="432" customFormat="1" x14ac:dyDescent="0.25">
      <x:c r="A11" s="461" t="s">
        <x:v>86</x:v>
      </x:c>
      <x:c r="B11" s="506" t="s">
        <x:v>26</x:v>
      </x:c>
      <x:c r="C11" s="463" t="s">
        <x:v>87</x:v>
      </x:c>
      <x:c r="D11" s="464">
        <x:v>45300</x:v>
      </x:c>
      <x:c r="E11" s="465">
        <x:v>64.8</x:v>
      </x:c>
      <x:c r="F11" s="465">
        <x:v>0</x:v>
      </x:c>
      <x:c r="G11" s="466">
        <x:v>72.58</x:v>
      </x:c>
      <x:c r="H11" s="465">
        <x:v>7.78</x:v>
      </x:c>
      <x:c r="I11" s="492">
        <x:v>45302</x:v>
      </x:c>
      <x:c r="J11" s="433">
        <x:f>+E11-F11</x:f>
      </x:c>
      <x:c r="K11" s="468">
        <x:f>+I11-D11</x:f>
      </x:c>
      <x:c r="L11" s="469">
        <x:v>0.04</x:v>
      </x:c>
      <x:c r="M11" s="433">
        <x:f>+J11*L11</x:f>
      </x:c>
      <x:c r="N11" s="470"/>
    </x:row>
    <x:row r="12" spans="1:30" ht="15" customHeight="1" s="433" customFormat="1" x14ac:dyDescent="0.3">
      <x:c r="A12" s="471"/>
      <x:c r="B12" s="472"/>
      <x:c r="C12" s="472"/>
      <x:c r="D12" s="473"/>
      <x:c r="E12" s="474"/>
      <x:c r="F12" s="474"/>
      <x:c r="G12" s="475"/>
      <x:c r="H12" s="476"/>
      <x:c r="I12" s="477"/>
      <x:c r="K12" s="468"/>
      <x:c r="L12" s="469"/>
      <x:c r="N12" s="470"/>
      <x:c r="O12" s="432"/>
      <x:c r="P12" s="432"/>
      <x:c r="Q12" s="432"/>
      <x:c r="R12" s="432"/>
      <x:c r="S12" s="432"/>
      <x:c r="T12" s="432"/>
      <x:c r="U12" s="432"/>
      <x:c r="V12" s="432"/>
      <x:c r="W12" s="432"/>
      <x:c r="X12" s="432"/>
      <x:c r="Y12" s="432"/>
      <x:c r="Z12" s="432"/>
      <x:c r="AA12" s="432"/>
      <x:c r="AB12" s="432"/>
      <x:c r="AC12" s="432"/>
      <x:c r="AD12" s="432"/>
    </x:row>
    <x:row r="13" spans="1:30" ht="15" customHeight="1" s="434" customFormat="1" x14ac:dyDescent="0.25">
      <x:c r="A13" s="478"/>
      <x:c r="B13" s="478"/>
      <x:c r="C13" s="478"/>
      <x:c r="D13" s="478"/>
      <x:c r="E13" s="478"/>
      <x:c r="F13" s="478"/>
      <x:c r="G13" s="479">
        <x:f>SUM(G8:G12)</x:f>
      </x:c>
      <x:c r="H13" s="480"/>
      <x:c r="I13" s="481"/>
      <x:c r="J13" s="479">
        <x:f>SUM(J8:J12)</x:f>
      </x:c>
      <x:c r="K13" s="482"/>
      <x:c r="L13" s="482"/>
      <x:c r="M13" s="479">
        <x:f>SUM(M8:M12)</x:f>
      </x:c>
      <x:c r="N13" s="470"/>
    </x:row>
    <x:row r="14" spans="1:30" ht="15" customHeight="1" s="434" customFormat="1" x14ac:dyDescent="0.25">
      <x:c r="A14" s="483"/>
      <x:c r="B14" s="483"/>
      <x:c r="C14" s="483"/>
      <x:c r="D14" s="484"/>
      <x:c r="E14" s="483"/>
      <x:c r="F14" s="483"/>
      <x:c r="G14" s="432"/>
      <x:c r="I14" s="485"/>
      <x:c r="N14" s="470"/>
    </x:row>
    <x:row r="15" spans="1:30" ht="15" customHeight="1" s="434" customFormat="1" x14ac:dyDescent="0.25">
      <x:c r="A15" s="483"/>
      <x:c r="B15" s="483"/>
      <x:c r="C15" s="483"/>
      <x:c r="D15" s="484"/>
      <x:c r="E15" s="483"/>
      <x:c r="F15" s="483"/>
      <x:c r="G15" s="432"/>
      <x:c r="I15" s="485"/>
      <x:c r="J15" s="432"/>
      <x:c r="M15" s="432"/>
      <x:c r="N15" s="470"/>
    </x:row>
    <x:row r="16" spans="1:30" ht="15" customHeight="1" s="434" customFormat="1" x14ac:dyDescent="0.25">
      <x:c r="A16" s="434" t="s">
        <x:v>30</x:v>
      </x:c>
      <x:c r="B16" s="434" t="s">
        <x:v>31</x:v>
      </x:c>
      <x:c r="C16" s="483" t="s">
        <x:v>32</x:v>
      </x:c>
      <x:c r="D16" s="485"/>
      <x:c r="G16" s="432"/>
      <x:c r="I16" s="485"/>
      <x:c r="N16" s="470"/>
    </x:row>
    <x:row r="17" spans="1:30" ht="15" customHeight="1" s="432" customFormat="1" x14ac:dyDescent="0.25">
      <x:c r="A17" s="486" t="s">
        <x:v>88</x:v>
      </x:c>
      <x:c r="B17" s="487" t="s">
        <x:v>89</x:v>
      </x:c>
      <x:c r="C17" s="488" t="s">
        <x:v>90</x:v>
      </x:c>
      <x:c r="D17" s="489">
        <x:v>45247</x:v>
      </x:c>
      <x:c r="E17" s="490">
        <x:v>162</x:v>
      </x:c>
      <x:c r="F17" s="490">
        <x:v>24.3</x:v>
      </x:c>
      <x:c r="G17" s="491">
        <x:v>147.88</x:v>
      </x:c>
      <x:c r="H17" s="490">
        <x:v>16.52</x:v>
      </x:c>
      <x:c r="I17" s="492">
        <x:v>45313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</x:row>
    <x:row r="18" spans="1:30" ht="15" customHeight="1" s="432" customFormat="1" x14ac:dyDescent="0.25">
      <x:c r="A18" s="486" t="s">
        <x:v>36</x:v>
      </x:c>
      <x:c r="B18" s="487" t="s">
        <x:v>91</x:v>
      </x:c>
      <x:c r="C18" s="488" t="s">
        <x:v>92</x:v>
      </x:c>
      <x:c r="D18" s="489">
        <x:v>45299</x:v>
      </x:c>
      <x:c r="E18" s="490">
        <x:v>455.28</x:v>
      </x:c>
      <x:c r="F18" s="490">
        <x:v>113.82</x:v>
      </x:c>
      <x:c r="G18" s="491">
        <x:v>366.74</x:v>
      </x:c>
      <x:c r="H18" s="490">
        <x:v>40.98</x:v>
      </x:c>
      <x:c r="I18" s="492">
        <x:v>45363</x:v>
      </x:c>
      <x:c r="J18" s="433">
        <x:f>+E18-F18</x:f>
      </x:c>
      <x:c r="K18" s="468">
        <x:f>+I18-D18</x:f>
      </x:c>
      <x:c r="L18" s="469">
        <x:v>0.03</x:v>
      </x:c>
      <x:c r="M18" s="433">
        <x:f>+J18*L18</x:f>
      </x:c>
      <x:c r="N18" s="470"/>
    </x:row>
    <x:row r="19" spans="1:30" ht="15" customHeight="1" s="432" customFormat="1" x14ac:dyDescent="0.3">
      <x:c r="A19" s="486"/>
      <x:c r="B19" s="487"/>
      <x:c r="C19" s="488"/>
      <x:c r="D19" s="489"/>
      <x:c r="E19" s="490"/>
      <x:c r="F19" s="490"/>
      <x:c r="G19" s="491"/>
      <x:c r="H19" s="490"/>
      <x:c r="I19" s="492"/>
      <x:c r="J19" s="433"/>
      <x:c r="K19" s="468"/>
      <x:c r="L19" s="469"/>
      <x:c r="M19" s="433"/>
      <x:c r="N19" s="470"/>
    </x:row>
    <x:row r="20" spans="1:30" ht="15" customHeight="1" x14ac:dyDescent="0.35">
      <x:c r="A20" s="493" t="s">
        <x:v>43</x:v>
      </x:c>
      <x:c r="B20" s="493"/>
      <x:c r="C20" s="493"/>
      <x:c r="D20" s="493"/>
      <x:c r="E20" s="493"/>
      <x:c r="F20" s="493"/>
      <x:c r="G20" s="494">
        <x:f>SUM(G13:G19)</x:f>
      </x:c>
      <x:c r="J20" s="494">
        <x:f>SUM(J13:J19)</x:f>
      </x:c>
      <x:c r="L20" s="495"/>
      <x:c r="M20" s="496">
        <x:f>SUM(M13:M19)</x:f>
      </x:c>
    </x:row>
    <x:row r="21" spans="1:30" ht="15" customHeight="1" x14ac:dyDescent="0.25">
      <x:c r="A21" s="497"/>
      <x:c r="B21" s="497"/>
      <x:c r="C21" s="497"/>
      <x:c r="D21" s="498"/>
      <x:c r="E21" s="497"/>
      <x:c r="F21" s="497"/>
      <x:c r="G21" s="435"/>
      <x:c r="J21" s="435"/>
      <x:c r="M21" s="435"/>
    </x:row>
    <x:row r="22" spans="1:30" ht="15" customHeight="1" x14ac:dyDescent="0.3">
      <x:c r="A22" s="499"/>
      <x:c r="B22" s="497"/>
      <x:c r="C22" s="497"/>
      <x:c r="D22" s="498"/>
      <x:c r="E22" s="497"/>
      <x:c r="F22" s="497"/>
      <x:c r="G22" s="435"/>
      <x:c r="J22" s="435"/>
      <x:c r="M22" s="435"/>
    </x:row>
    <x:row r="23" spans="1:30" ht="15" customHeight="1" x14ac:dyDescent="0.25">
      <x:c r="A23" s="497"/>
      <x:c r="B23" s="497"/>
      <x:c r="C23" s="497"/>
      <x:c r="D23" s="498"/>
      <x:c r="E23" s="497"/>
      <x:c r="F23" s="497"/>
      <x:c r="G23" s="435"/>
      <x:c r="I23" s="500"/>
    </x:row>
    <x:row r="24" spans="1:30" ht="15" customHeight="1" x14ac:dyDescent="0.25">
      <x:c r="A24" s="436" t="s">
        <x:v>44</x:v>
      </x:c>
      <x:c r="B24" s="436"/>
      <x:c r="C24" s="436"/>
      <x:c r="D24" s="436"/>
      <x:c r="E24" s="436"/>
      <x:c r="F24" s="436"/>
      <x:c r="G24" s="437"/>
      <x:c r="H24" s="437"/>
      <x:c r="I24" s="439"/>
      <x:c r="J24" s="440"/>
      <x:c r="K24" s="441"/>
      <x:c r="L24" s="442"/>
      <x:c r="M24" s="443"/>
    </x:row>
    <x:row r="25" spans="1:30" ht="15" customHeight="1" x14ac:dyDescent="0.25">
      <x:c r="A25" s="436" t="s">
        <x:v>1</x:v>
      </x:c>
      <x:c r="B25" s="436"/>
      <x:c r="C25" s="436"/>
      <x:c r="D25" s="436"/>
      <x:c r="E25" s="436"/>
      <x:c r="F25" s="436"/>
      <x:c r="G25" s="437"/>
      <x:c r="H25" s="438"/>
      <x:c r="I25" s="439"/>
      <x:c r="J25" s="441"/>
      <x:c r="K25" s="441"/>
      <x:c r="L25" s="442"/>
      <x:c r="M25" s="443"/>
    </x:row>
    <x:row r="26" spans="1:30" ht="15" customHeight="1" x14ac:dyDescent="0.25">
      <x:c r="A26" s="436"/>
      <x:c r="B26" s="444" t="s">
        <x:v>78</x:v>
      </x:c>
      <x:c r="C26" s="436"/>
      <x:c r="D26" s="445"/>
      <x:c r="E26" s="436"/>
      <x:c r="F26" s="436"/>
      <x:c r="G26" s="437"/>
      <x:c r="H26" s="438"/>
      <x:c r="I26" s="439"/>
      <x:c r="J26" s="441"/>
      <x:c r="K26" s="441"/>
      <x:c r="L26" s="442"/>
      <x:c r="M26" s="443"/>
    </x:row>
    <x:row r="27" spans="1:30" ht="15" customHeight="1" x14ac:dyDescent="0.3">
      <x:c r="A27" s="436"/>
      <x:c r="B27" s="444" t="s">
        <x:v>45</x:v>
      </x:c>
      <x:c r="C27" s="436"/>
      <x:c r="D27" s="445"/>
      <x:c r="E27" s="436"/>
      <x:c r="F27" s="436"/>
      <x:c r="G27" s="443"/>
      <x:c r="H27" s="437"/>
      <x:c r="I27" s="446"/>
      <x:c r="J27" s="441"/>
      <x:c r="K27" s="441"/>
      <x:c r="L27" s="442"/>
      <x:c r="M27" s="443"/>
    </x:row>
    <x:row r="28" spans="1:30" ht="15" customHeight="1" x14ac:dyDescent="0.25">
      <x:c r="A28" s="447"/>
      <x:c r="B28" s="441"/>
      <x:c r="C28" s="441"/>
      <x:c r="D28" s="439"/>
      <x:c r="E28" s="441"/>
      <x:c r="F28" s="441"/>
      <x:c r="G28" s="448" t="s">
        <x:v>5</x:v>
      </x:c>
      <x:c r="H28" s="441"/>
      <x:c r="I28" s="439"/>
      <x:c r="J28" s="449" t="s">
        <x:v>6</x:v>
      </x:c>
      <x:c r="K28" s="450" t="s">
        <x:v>7</x:v>
      </x:c>
      <x:c r="L28" s="451" t="s">
        <x:v>8</x:v>
      </x:c>
      <x:c r="M28" s="449" t="s">
        <x:v>9</x:v>
      </x:c>
    </x:row>
    <x:row r="29" spans="1:30" ht="15" customHeight="1" x14ac:dyDescent="0.25">
      <x:c r="A29" s="452" t="s">
        <x:v>10</x:v>
      </x:c>
      <x:c r="B29" s="452" t="s">
        <x:v>11</x:v>
      </x:c>
      <x:c r="C29" s="452" t="s">
        <x:v>12</x:v>
      </x:c>
      <x:c r="D29" s="453" t="s">
        <x:v>13</x:v>
      </x:c>
      <x:c r="E29" s="452" t="s">
        <x:v>14</x:v>
      </x:c>
      <x:c r="F29" s="454" t="s">
        <x:v>15</x:v>
      </x:c>
      <x:c r="G29" s="501" t="s">
        <x:v>16</x:v>
      </x:c>
      <x:c r="H29" s="456" t="s">
        <x:v>17</x:v>
      </x:c>
      <x:c r="I29" s="457" t="s">
        <x:v>18</x:v>
      </x:c>
      <x:c r="J29" s="458" t="s">
        <x:v>19</x:v>
      </x:c>
      <x:c r="K29" s="459"/>
      <x:c r="L29" s="460" t="s">
        <x:v>20</x:v>
      </x:c>
      <x:c r="M29" s="458" t="s">
        <x:v>21</x:v>
      </x:c>
    </x:row>
    <x:row r="30" spans="1:30" ht="15" customHeight="1" x14ac:dyDescent="0.25">
      <x:c r="A30" s="461" t="s">
        <x:v>49</x:v>
      </x:c>
      <x:c r="B30" s="462" t="s">
        <x:v>26</x:v>
      </x:c>
      <x:c r="C30" s="463" t="s">
        <x:v>93</x:v>
      </x:c>
      <x:c r="D30" s="464">
        <x:v>45189</x:v>
      </x:c>
      <x:c r="E30" s="465">
        <x:v>10.8</x:v>
      </x:c>
      <x:c r="F30" s="465">
        <x:v>1.62</x:v>
      </x:c>
      <x:c r="G30" s="466">
        <x:v>9.86</x:v>
      </x:c>
      <x:c r="H30" s="465">
        <x:v>1.1</x:v>
      </x:c>
      <x:c r="I30" s="492">
        <x:v>45310</x:v>
      </x:c>
      <x:c r="J30" s="433">
        <x:f>100/1.12</x:f>
      </x:c>
      <x:c r="K30" s="468">
        <x:f>+I30-D30</x:f>
      </x:c>
      <x:c r="L30" s="503">
        <x:v>0.03</x:v>
      </x:c>
      <x:c r="M30" s="504">
        <x:f>+J30*L30</x:f>
      </x:c>
    </x:row>
    <x:row r="31" spans="1:30" ht="15" customHeight="1" x14ac:dyDescent="0.25">
      <x:c r="A31" s="461" t="s">
        <x:v>49</x:v>
      </x:c>
      <x:c r="B31" s="462" t="s">
        <x:v>26</x:v>
      </x:c>
      <x:c r="C31" s="463" t="s">
        <x:v>94</x:v>
      </x:c>
      <x:c r="D31" s="464">
        <x:v>45189</x:v>
      </x:c>
      <x:c r="E31" s="465">
        <x:v>1372.8</x:v>
      </x:c>
      <x:c r="F31" s="465">
        <x:v>205.92</x:v>
      </x:c>
      <x:c r="G31" s="466">
        <x:v>1253.23</x:v>
      </x:c>
      <x:c r="H31" s="465">
        <x:v>140.03</x:v>
      </x:c>
      <x:c r="I31" s="492">
        <x:v>45310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</x:row>
    <x:row r="32" spans="1:30" ht="15" customHeight="1" x14ac:dyDescent="0.25">
      <x:c r="A32" s="461" t="s">
        <x:v>49</x:v>
      </x:c>
      <x:c r="B32" s="462" t="s">
        <x:v>26</x:v>
      </x:c>
      <x:c r="C32" s="463" t="s">
        <x:v>95</x:v>
      </x:c>
      <x:c r="D32" s="464">
        <x:v>45195</x:v>
      </x:c>
      <x:c r="E32" s="465">
        <x:v>924</x:v>
      </x:c>
      <x:c r="F32" s="465">
        <x:v>138.6</x:v>
      </x:c>
      <x:c r="G32" s="466">
        <x:v>843.52</x:v>
      </x:c>
      <x:c r="H32" s="465">
        <x:v>94.25</x:v>
      </x:c>
      <x:c r="I32" s="492">
        <x:v>45310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</x:row>
    <x:row r="33" spans="1:30" ht="15" customHeight="1" x14ac:dyDescent="0.25">
      <x:c r="A33" s="461" t="s">
        <x:v>49</x:v>
      </x:c>
      <x:c r="B33" s="462" t="s">
        <x:v>26</x:v>
      </x:c>
      <x:c r="C33" s="463" t="s">
        <x:v>96</x:v>
      </x:c>
      <x:c r="D33" s="464">
        <x:v>45195</x:v>
      </x:c>
      <x:c r="E33" s="465">
        <x:v>110.88</x:v>
      </x:c>
      <x:c r="F33" s="465">
        <x:v>16.63</x:v>
      </x:c>
      <x:c r="G33" s="466">
        <x:v>101.23</x:v>
      </x:c>
      <x:c r="H33" s="465">
        <x:v>11.31</x:v>
      </x:c>
      <x:c r="I33" s="492">
        <x:v>45310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</x:row>
    <x:row r="34" spans="1:30" ht="15" customHeight="1" x14ac:dyDescent="0.25">
      <x:c r="A34" s="461" t="s">
        <x:v>49</x:v>
      </x:c>
      <x:c r="B34" s="462" t="s">
        <x:v>26</x:v>
      </x:c>
      <x:c r="C34" s="463" t="s">
        <x:v>97</x:v>
      </x:c>
      <x:c r="D34" s="464">
        <x:v>45201</x:v>
      </x:c>
      <x:c r="E34" s="465">
        <x:v>163.08</x:v>
      </x:c>
      <x:c r="F34" s="465">
        <x:v>24.46</x:v>
      </x:c>
      <x:c r="G34" s="466">
        <x:v>148.87</x:v>
      </x:c>
      <x:c r="H34" s="465">
        <x:v>16.63</x:v>
      </x:c>
      <x:c r="I34" s="467">
        <x:v>45310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</x:row>
    <x:row r="35" spans="1:30" ht="15" customHeight="1" x14ac:dyDescent="0.25">
      <x:c r="A35" s="461" t="s">
        <x:v>49</x:v>
      </x:c>
      <x:c r="B35" s="462" t="s">
        <x:v>26</x:v>
      </x:c>
      <x:c r="C35" s="463" t="s">
        <x:v>98</x:v>
      </x:c>
      <x:c r="D35" s="464">
        <x:v>45202</x:v>
      </x:c>
      <x:c r="E35" s="465">
        <x:v>488.4</x:v>
      </x:c>
      <x:c r="F35" s="465">
        <x:v>73.26</x:v>
      </x:c>
      <x:c r="G35" s="466">
        <x:v>445.86</x:v>
      </x:c>
      <x:c r="H35" s="465">
        <x:v>49.82</x:v>
      </x:c>
      <x:c r="I35" s="467">
        <x:v>45310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</x:row>
    <x:row r="36" spans="1:30" ht="15" customHeight="1" x14ac:dyDescent="0.25">
      <x:c r="A36" s="461" t="s">
        <x:v>49</x:v>
      </x:c>
      <x:c r="B36" s="462" t="s">
        <x:v>26</x:v>
      </x:c>
      <x:c r="C36" s="463" t="s">
        <x:v>99</x:v>
      </x:c>
      <x:c r="D36" s="464">
        <x:v>45202</x:v>
      </x:c>
      <x:c r="E36" s="465">
        <x:v>54</x:v>
      </x:c>
      <x:c r="F36" s="465">
        <x:v>8.1</x:v>
      </x:c>
      <x:c r="G36" s="466">
        <x:v>49.3</x:v>
      </x:c>
      <x:c r="H36" s="465">
        <x:v>5.51</x:v>
      </x:c>
      <x:c r="I36" s="467">
        <x:v>45310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</x:row>
    <x:row r="37" spans="1:30" ht="15" customHeight="1" x14ac:dyDescent="0.25">
      <x:c r="A37" s="461" t="s">
        <x:v>49</x:v>
      </x:c>
      <x:c r="B37" s="462" t="s">
        <x:v>26</x:v>
      </x:c>
      <x:c r="C37" s="463" t="s">
        <x:v>100</x:v>
      </x:c>
      <x:c r="D37" s="464">
        <x:v>45212</x:v>
      </x:c>
      <x:c r="E37" s="465">
        <x:v>36.96</x:v>
      </x:c>
      <x:c r="F37" s="465">
        <x:v>5.54</x:v>
      </x:c>
      <x:c r="G37" s="466">
        <x:v>33.75</x:v>
      </x:c>
      <x:c r="H37" s="465">
        <x:v>3.77</x:v>
      </x:c>
      <x:c r="I37" s="467">
        <x:v>45310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</x:row>
    <x:row r="38" spans="1:30" ht="15" customHeight="1" x14ac:dyDescent="0.25">
      <x:c r="A38" s="461" t="s">
        <x:v>101</x:v>
      </x:c>
      <x:c r="B38" s="462" t="s">
        <x:v>26</x:v>
      </x:c>
      <x:c r="C38" s="463" t="s">
        <x:v>102</x:v>
      </x:c>
      <x:c r="D38" s="464">
        <x:v>45224</x:v>
      </x:c>
      <x:c r="E38" s="465">
        <x:v>174</x:v>
      </x:c>
      <x:c r="F38" s="465">
        <x:v>26.1</x:v>
      </x:c>
      <x:c r="G38" s="466">
        <x:v>158.84</x:v>
      </x:c>
      <x:c r="H38" s="465">
        <x:v>17.75</x:v>
      </x:c>
      <x:c r="I38" s="467">
        <x:v>45317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</x:row>
    <x:row r="39" spans="1:30" ht="15" customHeight="1" x14ac:dyDescent="0.25">
      <x:c r="A39" s="461" t="s">
        <x:v>101</x:v>
      </x:c>
      <x:c r="B39" s="462" t="s">
        <x:v>26</x:v>
      </x:c>
      <x:c r="C39" s="463" t="s">
        <x:v>103</x:v>
      </x:c>
      <x:c r="D39" s="464">
        <x:v>45236</x:v>
      </x:c>
      <x:c r="E39" s="465">
        <x:v>196.44</x:v>
      </x:c>
      <x:c r="F39" s="465">
        <x:v>29.46</x:v>
      </x:c>
      <x:c r="G39" s="466">
        <x:v>179.34</x:v>
      </x:c>
      <x:c r="H39" s="465">
        <x:v>20.04</x:v>
      </x:c>
      <x:c r="I39" s="467">
        <x:v>45317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</x:row>
    <x:row r="40" spans="1:30" ht="15" customHeight="1" x14ac:dyDescent="0.25">
      <x:c r="A40" s="461" t="s">
        <x:v>104</x:v>
      </x:c>
      <x:c r="B40" s="505" t="s">
        <x:v>105</x:v>
      </x:c>
      <x:c r="C40" s="463" t="s">
        <x:v>106</x:v>
      </x:c>
      <x:c r="D40" s="464">
        <x:v>45240</x:v>
      </x:c>
      <x:c r="E40" s="465">
        <x:v>182.76</x:v>
      </x:c>
      <x:c r="F40" s="465">
        <x:v>27.42</x:v>
      </x:c>
      <x:c r="G40" s="466">
        <x:v>166.84</x:v>
      </x:c>
      <x:c r="H40" s="465">
        <x:v>18.64</x:v>
      </x:c>
      <x:c r="I40" s="467">
        <x:v>45310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</x:row>
    <x:row r="41" spans="1:30" ht="15" customHeight="1" x14ac:dyDescent="0.25">
      <x:c r="A41" s="461" t="s">
        <x:v>104</x:v>
      </x:c>
      <x:c r="B41" s="505" t="s">
        <x:v>105</x:v>
      </x:c>
      <x:c r="C41" s="463" t="s">
        <x:v>107</x:v>
      </x:c>
      <x:c r="D41" s="464">
        <x:v>45240</x:v>
      </x:c>
      <x:c r="E41" s="465">
        <x:v>217.8</x:v>
      </x:c>
      <x:c r="F41" s="465">
        <x:v>32.67</x:v>
      </x:c>
      <x:c r="G41" s="466">
        <x:v>198.83</x:v>
      </x:c>
      <x:c r="H41" s="465">
        <x:v>22.22</x:v>
      </x:c>
      <x:c r="I41" s="467">
        <x:v>45310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</x:row>
    <x:row r="42" spans="1:30" ht="15" customHeight="1" x14ac:dyDescent="0.25">
      <x:c r="A42" s="461" t="s">
        <x:v>104</x:v>
      </x:c>
      <x:c r="B42" s="505" t="s">
        <x:v>105</x:v>
      </x:c>
      <x:c r="C42" s="463" t="s">
        <x:v>108</x:v>
      </x:c>
      <x:c r="D42" s="464">
        <x:v>45240</x:v>
      </x:c>
      <x:c r="E42" s="465">
        <x:v>117</x:v>
      </x:c>
      <x:c r="F42" s="465">
        <x:v>17.55</x:v>
      </x:c>
      <x:c r="G42" s="466">
        <x:v>106.82</x:v>
      </x:c>
      <x:c r="H42" s="465">
        <x:v>11.93</x:v>
      </x:c>
      <x:c r="I42" s="467">
        <x:v>45310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</x:row>
    <x:row r="43" spans="1:30" ht="15" customHeight="1" x14ac:dyDescent="0.25">
      <x:c r="A43" s="461" t="s">
        <x:v>109</x:v>
      </x:c>
      <x:c r="B43" s="505" t="s">
        <x:v>110</x:v>
      </x:c>
      <x:c r="C43" s="463" t="s">
        <x:v>111</x:v>
      </x:c>
      <x:c r="D43" s="464">
        <x:v>45250</x:v>
      </x:c>
      <x:c r="E43" s="465">
        <x:v>150.48</x:v>
      </x:c>
      <x:c r="F43" s="465">
        <x:v>22.57</x:v>
      </x:c>
      <x:c r="G43" s="466">
        <x:v>136.42</x:v>
      </x:c>
      <x:c r="H43" s="465">
        <x:v>15.35</x:v>
      </x:c>
      <x:c r="I43" s="467">
        <x:v>45294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</x:row>
    <x:row r="44" spans="1:30" ht="15" customHeight="1" s="434" customFormat="1" x14ac:dyDescent="0.25">
      <x:c r="A44" s="486" t="s">
        <x:v>101</x:v>
      </x:c>
      <x:c r="B44" s="487" t="s">
        <x:v>112</x:v>
      </x:c>
      <x:c r="C44" s="488" t="s">
        <x:v>113</x:v>
      </x:c>
      <x:c r="D44" s="489">
        <x:v>45246</x:v>
      </x:c>
      <x:c r="E44" s="490">
        <x:v>1491.6</x:v>
      </x:c>
      <x:c r="F44" s="490">
        <x:v>298.32</x:v>
      </x:c>
      <x:c r="G44" s="491">
        <x:v>580.89</x:v>
      </x:c>
      <x:c r="H44" s="490">
        <x:v>143.19</x:v>
      </x:c>
      <x:c r="I44" s="492">
        <x:v>45317</x:v>
      </x:c>
      <x:c r="J44" s="433">
        <x:v>492.59</x:v>
      </x:c>
      <x:c r="K44" s="468">
        <x:f>+I44-D44</x:f>
      </x:c>
      <x:c r="L44" s="469">
        <x:v>0.03</x:v>
      </x:c>
      <x:c r="M44" s="433">
        <x:f>+J44*L44</x:f>
      </x:c>
      <x:c r="N44" s="470"/>
    </x:row>
    <x:row r="45" spans="1:30" ht="15" customHeight="1" x14ac:dyDescent="0.25">
      <x:c r="A45" s="461" t="s">
        <x:v>114</x:v>
      </x:c>
      <x:c r="B45" s="462" t="s">
        <x:v>26</x:v>
      </x:c>
      <x:c r="C45" s="463" t="s">
        <x:v>115</x:v>
      </x:c>
      <x:c r="D45" s="464">
        <x:v>45250</x:v>
      </x:c>
      <x:c r="E45" s="465">
        <x:v>275.4</x:v>
      </x:c>
      <x:c r="F45" s="465">
        <x:v>41.31</x:v>
      </x:c>
      <x:c r="G45" s="466">
        <x:v>251.41</x:v>
      </x:c>
      <x:c r="H45" s="465">
        <x:v>28.09</x:v>
      </x:c>
      <x:c r="I45" s="467">
        <x:v>45309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</x:row>
    <x:row r="46" spans="1:30" ht="15" customHeight="1" x14ac:dyDescent="0.25">
      <x:c r="A46" s="461" t="s">
        <x:v>114</x:v>
      </x:c>
      <x:c r="B46" s="462" t="s">
        <x:v>26</x:v>
      </x:c>
      <x:c r="C46" s="463" t="s">
        <x:v>116</x:v>
      </x:c>
      <x:c r="D46" s="464">
        <x:v>45252</x:v>
      </x:c>
      <x:c r="E46" s="465">
        <x:v>321.48</x:v>
      </x:c>
      <x:c r="F46" s="465">
        <x:v>48.22</x:v>
      </x:c>
      <x:c r="G46" s="466">
        <x:v>293.48</x:v>
      </x:c>
      <x:c r="H46" s="465">
        <x:v>32.79</x:v>
      </x:c>
      <x:c r="I46" s="467">
        <x:v>45309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</x:row>
    <x:row r="47" spans="1:30" ht="15" customHeight="1" x14ac:dyDescent="0.25">
      <x:c r="A47" s="461" t="s">
        <x:v>114</x:v>
      </x:c>
      <x:c r="B47" s="462" t="s">
        <x:v>26</x:v>
      </x:c>
      <x:c r="C47" s="463" t="s">
        <x:v>117</x:v>
      </x:c>
      <x:c r="D47" s="464">
        <x:v>45260</x:v>
      </x:c>
      <x:c r="E47" s="465">
        <x:v>153.72</x:v>
      </x:c>
      <x:c r="F47" s="465">
        <x:v>23.06</x:v>
      </x:c>
      <x:c r="G47" s="466">
        <x:v>140.33</x:v>
      </x:c>
      <x:c r="H47" s="465">
        <x:v>15.68</x:v>
      </x:c>
      <x:c r="I47" s="467">
        <x:v>45320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</x:row>
    <x:row r="48" spans="1:30" ht="15" customHeight="1" x14ac:dyDescent="0.25">
      <x:c r="A48" s="461" t="s">
        <x:v>118</x:v>
      </x:c>
      <x:c r="B48" s="462" t="s">
        <x:v>26</x:v>
      </x:c>
      <x:c r="C48" s="463" t="s">
        <x:v>119</x:v>
      </x:c>
      <x:c r="D48" s="464">
        <x:v>45279</x:v>
      </x:c>
      <x:c r="E48" s="465">
        <x:v>216</x:v>
      </x:c>
      <x:c r="F48" s="465">
        <x:v>43.2</x:v>
      </x:c>
      <x:c r="G48" s="466">
        <x:v>185.59</x:v>
      </x:c>
      <x:c r="H48" s="465">
        <x:v>20.74</x:v>
      </x:c>
      <x:c r="I48" s="492">
        <x:v>45311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</x:row>
    <x:row r="49" spans="1:30" ht="15" customHeight="1" x14ac:dyDescent="0.25">
      <x:c r="A49" s="461" t="s">
        <x:v>52</x:v>
      </x:c>
      <x:c r="B49" s="505" t="s">
        <x:v>53</x:v>
      </x:c>
      <x:c r="C49" s="463" t="s">
        <x:v>120</x:v>
      </x:c>
      <x:c r="D49" s="464">
        <x:v>45296</x:v>
      </x:c>
      <x:c r="E49" s="465">
        <x:v>501.12</x:v>
      </x:c>
      <x:c r="F49" s="465">
        <x:v>125.28</x:v>
      </x:c>
      <x:c r="G49" s="466">
        <x:v>420.94</x:v>
      </x:c>
      <x:c r="H49" s="465">
        <x:v>45.1</x:v>
      </x:c>
      <x:c r="I49" s="492">
        <x:v>45303</x:v>
      </x:c>
      <x:c r="J49" s="433">
        <x:f>+E49-F49</x:f>
      </x:c>
      <x:c r="K49" s="468">
        <x:f>+I49-D49</x:f>
      </x:c>
      <x:c r="L49" s="503">
        <x:v>0.04</x:v>
      </x:c>
      <x:c r="M49" s="504">
        <x:f>+J49*L49</x:f>
      </x:c>
    </x:row>
    <x:row r="50" spans="1:30" ht="15" customHeight="1" x14ac:dyDescent="0.25">
      <x:c r="A50" s="461" t="s">
        <x:v>62</x:v>
      </x:c>
      <x:c r="B50" s="506" t="s">
        <x:v>26</x:v>
      </x:c>
      <x:c r="C50" s="463" t="s">
        <x:v>121</x:v>
      </x:c>
      <x:c r="D50" s="464">
        <x:v>45308</x:v>
      </x:c>
      <x:c r="E50" s="465">
        <x:v>369.6</x:v>
      </x:c>
      <x:c r="F50" s="465">
        <x:v>92.4</x:v>
      </x:c>
      <x:c r="G50" s="466">
        <x:v>228.15</x:v>
      </x:c>
      <x:c r="H50" s="465">
        <x:v>0</x:v>
      </x:c>
      <x:c r="I50" s="492">
        <x:v>45309</x:v>
      </x:c>
      <x:c r="J50" s="433">
        <x:v>228.15</x:v>
      </x:c>
      <x:c r="K50" s="468">
        <x:f>+I50-D50</x:f>
      </x:c>
      <x:c r="L50" s="503">
        <x:v>0.04</x:v>
      </x:c>
      <x:c r="M50" s="504">
        <x:f>+J50*L50</x:f>
      </x:c>
    </x:row>
    <x:row r="51" spans="1:30" ht="15" customHeight="1" x14ac:dyDescent="0.25">
      <x:c r="A51" s="461"/>
      <x:c r="B51" s="507"/>
      <x:c r="C51" s="463"/>
      <x:c r="D51" s="464"/>
      <x:c r="E51" s="465"/>
      <x:c r="F51" s="465"/>
      <x:c r="G51" s="466"/>
      <x:c r="H51" s="465"/>
      <x:c r="I51" s="492"/>
      <x:c r="J51" s="433"/>
      <x:c r="K51" s="468"/>
      <x:c r="L51" s="503"/>
      <x:c r="M51" s="504"/>
    </x:row>
    <x:row r="52" spans="1:30" ht="15" customHeight="1" x14ac:dyDescent="0.3">
      <x:c r="A52" s="508"/>
      <x:c r="B52" s="509"/>
      <x:c r="C52" s="509"/>
      <x:c r="D52" s="510"/>
      <x:c r="E52" s="511"/>
      <x:c r="F52" s="511"/>
      <x:c r="G52" s="512"/>
      <x:c r="H52" s="513"/>
      <x:c r="I52" s="514"/>
      <x:c r="J52" s="433"/>
      <x:c r="K52" s="468"/>
      <x:c r="L52" s="503"/>
      <x:c r="M52" s="504"/>
      <x:c r="O52" s="515"/>
      <x:c r="P52" s="435"/>
      <x:c r="Q52" s="435"/>
    </x:row>
    <x:row r="53" spans="1:30" ht="15" customHeight="1" x14ac:dyDescent="0.3">
      <x:c r="G53" s="516">
        <x:f>SUM(G30:G52)</x:f>
      </x:c>
      <x:c r="J53" s="516">
        <x:f>SUM(J30:J52)</x:f>
      </x:c>
      <x:c r="M53" s="516">
        <x:f>SUM(M30:M52)</x:f>
      </x:c>
    </x:row>
    <x:row r="54" spans="1:30" ht="15" customHeight="1" x14ac:dyDescent="0.25">
      <x:c r="G54" s="435"/>
      <x:c r="H54" s="435"/>
    </x:row>
    <x:row r="55" spans="1:30" ht="15" customHeight="1" x14ac:dyDescent="0.25">
      <x:c r="A55" s="517" t="s">
        <x:v>30</x:v>
      </x:c>
      <x:c r="B55" s="517" t="s">
        <x:v>31</x:v>
      </x:c>
      <x:c r="C55" s="518" t="s">
        <x:v>32</x:v>
      </x:c>
      <x:c r="I55" s="435"/>
      <x:c r="J55" s="435"/>
    </x:row>
    <x:row r="56" spans="1:30" ht="15" customHeight="1" s="434" customFormat="1" x14ac:dyDescent="0.25">
      <x:c r="A56" s="486" t="s">
        <x:v>101</x:v>
      </x:c>
      <x:c r="B56" s="487" t="s">
        <x:v>112</x:v>
      </x:c>
      <x:c r="C56" s="488" t="s">
        <x:v>113</x:v>
      </x:c>
      <x:c r="D56" s="489">
        <x:v>45246</x:v>
      </x:c>
      <x:c r="E56" s="490">
        <x:v>1491.6</x:v>
      </x:c>
      <x:c r="F56" s="490">
        <x:v>298.32</x:v>
      </x:c>
      <x:c r="G56" s="491">
        <x:v>700.69</x:v>
      </x:c>
      <x:c r="H56" s="490">
        <x:v>143.19</x:v>
      </x:c>
      <x:c r="I56" s="492">
        <x:v>45317</x:v>
      </x:c>
      <x:c r="J56" s="433">
        <x:v>700.69</x:v>
      </x:c>
      <x:c r="K56" s="468">
        <x:f>+I56-D56</x:f>
      </x:c>
      <x:c r="L56" s="469">
        <x:v>0.03</x:v>
      </x:c>
      <x:c r="M56" s="433">
        <x:f>+J56*L56</x:f>
      </x:c>
      <x:c r="N56" s="470"/>
    </x:row>
    <x:row r="57" spans="1:30" ht="15" customHeight="1" s="434" customFormat="1" x14ac:dyDescent="0.25">
      <x:c r="A57" s="486" t="s">
        <x:v>101</x:v>
      </x:c>
      <x:c r="B57" s="487" t="s">
        <x:v>112</x:v>
      </x:c>
      <x:c r="C57" s="488" t="s">
        <x:v>122</x:v>
      </x:c>
      <x:c r="D57" s="489">
        <x:v>45258</x:v>
      </x:c>
      <x:c r="E57" s="490">
        <x:v>254.16</x:v>
      </x:c>
      <x:c r="F57" s="490">
        <x:v>50.84</x:v>
      </x:c>
      <x:c r="G57" s="491">
        <x:v>218.37</x:v>
      </x:c>
      <x:c r="H57" s="490">
        <x:v>24.4</x:v>
      </x:c>
      <x:c r="I57" s="492">
        <x:v>45330</x:v>
      </x:c>
      <x:c r="J57" s="433">
        <x:f>+E57-F57</x:f>
      </x:c>
      <x:c r="K57" s="468">
        <x:f>+I57-D57</x:f>
      </x:c>
      <x:c r="L57" s="469">
        <x:v>0.03</x:v>
      </x:c>
      <x:c r="M57" s="433">
        <x:f>+J57*L57</x:f>
      </x:c>
      <x:c r="N57" s="470"/>
    </x:row>
    <x:row r="58" spans="1:30" ht="15" customHeight="1" s="434" customFormat="1" x14ac:dyDescent="0.25">
      <x:c r="A58" s="486" t="s">
        <x:v>67</x:v>
      </x:c>
      <x:c r="B58" s="487" t="s">
        <x:v>123</x:v>
      </x:c>
      <x:c r="C58" s="488" t="s">
        <x:v>124</x:v>
      </x:c>
      <x:c r="D58" s="489">
        <x:v>45279</x:v>
      </x:c>
      <x:c r="E58" s="490">
        <x:v>235.8</x:v>
      </x:c>
      <x:c r="F58" s="490">
        <x:v>40.09</x:v>
      </x:c>
      <x:c r="G58" s="491">
        <x:v>219.2</x:v>
      </x:c>
      <x:c r="H58" s="490">
        <x:v>23.49</x:v>
      </x:c>
      <x:c r="I58" s="492">
        <x:v>45341</x:v>
      </x:c>
      <x:c r="J58" s="433">
        <x:f>+E58-F58</x:f>
      </x:c>
      <x:c r="K58" s="468">
        <x:f>+I58-D58</x:f>
      </x:c>
      <x:c r="L58" s="469">
        <x:v>0.03</x:v>
      </x:c>
      <x:c r="M58" s="433">
        <x:f>+J58*L58</x:f>
      </x:c>
      <x:c r="N58" s="470"/>
    </x:row>
    <x:row r="59" spans="1:30" ht="15" customHeight="1" s="434" customFormat="1" x14ac:dyDescent="0.25">
      <x:c r="A59" s="486" t="s">
        <x:v>67</x:v>
      </x:c>
      <x:c r="B59" s="487" t="s">
        <x:v>125</x:v>
      </x:c>
      <x:c r="C59" s="488" t="s">
        <x:v>126</x:v>
      </x:c>
      <x:c r="D59" s="489">
        <x:v>45282</x:v>
      </x:c>
      <x:c r="E59" s="490">
        <x:v>208.2</x:v>
      </x:c>
      <x:c r="F59" s="490">
        <x:v>35.38</x:v>
      </x:c>
      <x:c r="G59" s="491">
        <x:v>193.56</x:v>
      </x:c>
      <x:c r="H59" s="490">
        <x:v>20.74</x:v>
      </x:c>
      <x:c r="I59" s="492">
        <x:v>45344</x:v>
      </x:c>
      <x:c r="J59" s="433">
        <x:f>+E59-F59</x:f>
      </x:c>
      <x:c r="K59" s="468">
        <x:f>+I59-D59</x:f>
      </x:c>
      <x:c r="L59" s="469">
        <x:v>0.03</x:v>
      </x:c>
      <x:c r="M59" s="433">
        <x:f>+J59*L59</x:f>
      </x:c>
      <x:c r="N59" s="470"/>
    </x:row>
    <x:row r="60" spans="1:30" ht="15" customHeight="1" s="434" customFormat="1" x14ac:dyDescent="0.25">
      <x:c r="A60" s="486" t="s">
        <x:v>127</x:v>
      </x:c>
      <x:c r="B60" s="487" t="s">
        <x:v>128</x:v>
      </x:c>
      <x:c r="C60" s="488" t="s">
        <x:v>129</x:v>
      </x:c>
      <x:c r="D60" s="489">
        <x:v>45299</x:v>
      </x:c>
      <x:c r="E60" s="490">
        <x:v>85.68</x:v>
      </x:c>
      <x:c r="F60" s="490">
        <x:v>12.85</x:v>
      </x:c>
      <x:c r="G60" s="491">
        <x:v>78.22</x:v>
      </x:c>
      <x:c r="H60" s="490">
        <x:v>8.74</x:v>
      </x:c>
      <x:c r="I60" s="492">
        <x:v>45330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  <x:c r="N60" s="470"/>
    </x:row>
    <x:row r="61" spans="1:30" ht="15" customHeight="1" s="434" customFormat="1" x14ac:dyDescent="0.25">
      <x:c r="A61" s="486" t="s">
        <x:v>118</x:v>
      </x:c>
      <x:c r="B61" s="487" t="s">
        <x:v>130</x:v>
      </x:c>
      <x:c r="C61" s="488" t="s">
        <x:v>131</x:v>
      </x:c>
      <x:c r="D61" s="489">
        <x:v>45300</x:v>
      </x:c>
      <x:c r="E61" s="490">
        <x:v>522</x:v>
      </x:c>
      <x:c r="F61" s="490">
        <x:v>104.4</x:v>
      </x:c>
      <x:c r="G61" s="491">
        <x:v>448.5</x:v>
      </x:c>
      <x:c r="H61" s="490">
        <x:v>50.11</x:v>
      </x:c>
      <x:c r="I61" s="492">
        <x:v>45327</x:v>
      </x:c>
      <x:c r="J61" s="433">
        <x:f>+E61-F61</x:f>
      </x:c>
      <x:c r="K61" s="468">
        <x:f>+I61-D61</x:f>
      </x:c>
      <x:c r="L61" s="469">
        <x:v>0.03</x:v>
      </x:c>
      <x:c r="M61" s="433">
        <x:f>+J61*L61</x:f>
      </x:c>
      <x:c r="N61" s="470"/>
    </x:row>
    <x:row r="62" spans="1:30" ht="15" customHeight="1" s="434" customFormat="1" x14ac:dyDescent="0.25">
      <x:c r="A62" s="486" t="s">
        <x:v>118</x:v>
      </x:c>
      <x:c r="B62" s="487" t="s">
        <x:v>132</x:v>
      </x:c>
      <x:c r="C62" s="488" t="s">
        <x:v>133</x:v>
      </x:c>
      <x:c r="D62" s="489">
        <x:v>45300</x:v>
      </x:c>
      <x:c r="E62" s="490">
        <x:v>748.2</x:v>
      </x:c>
      <x:c r="F62" s="490">
        <x:v>149.64</x:v>
      </x:c>
      <x:c r="G62" s="491">
        <x:v>642.85</x:v>
      </x:c>
      <x:c r="H62" s="490">
        <x:v>71.83</x:v>
      </x:c>
      <x:c r="I62" s="492">
        <x:v>45332</x:v>
      </x:c>
      <x:c r="J62" s="433">
        <x:f>+E62-F62</x:f>
      </x:c>
      <x:c r="K62" s="468">
        <x:f>+I62-D62</x:f>
      </x:c>
      <x:c r="L62" s="469">
        <x:v>0.03</x:v>
      </x:c>
      <x:c r="M62" s="433">
        <x:f>+J62*L62</x:f>
      </x:c>
      <x:c r="N62" s="470"/>
    </x:row>
    <x:row r="63" spans="1:30" ht="15" customHeight="1" s="434" customFormat="1" x14ac:dyDescent="0.25">
      <x:c r="A63" s="486" t="s">
        <x:v>127</x:v>
      </x:c>
      <x:c r="B63" s="487" t="s">
        <x:v>128</x:v>
      </x:c>
      <x:c r="C63" s="488" t="s">
        <x:v>134</x:v>
      </x:c>
      <x:c r="D63" s="489">
        <x:v>45303</x:v>
      </x:c>
      <x:c r="E63" s="490">
        <x:v>129.6</x:v>
      </x:c>
      <x:c r="F63" s="490">
        <x:v>19.44</x:v>
      </x:c>
      <x:c r="G63" s="491">
        <x:v>118.31</x:v>
      </x:c>
      <x:c r="H63" s="490">
        <x:v>13.22</x:v>
      </x:c>
      <x:c r="I63" s="492">
        <x:v>45330</x:v>
      </x:c>
      <x:c r="J63" s="433">
        <x:f>+E63-F63</x:f>
      </x:c>
      <x:c r="K63" s="468">
        <x:f>+I63-D63</x:f>
      </x:c>
      <x:c r="L63" s="469">
        <x:v>0.03</x:v>
      </x:c>
      <x:c r="M63" s="433">
        <x:f>+J63*L63</x:f>
      </x:c>
      <x:c r="N63" s="470"/>
    </x:row>
    <x:row r="64" spans="1:30" ht="15" customHeight="1" s="434" customFormat="1" x14ac:dyDescent="0.25">
      <x:c r="A64" s="486" t="s">
        <x:v>127</x:v>
      </x:c>
      <x:c r="B64" s="487" t="s">
        <x:v>128</x:v>
      </x:c>
      <x:c r="C64" s="488" t="s">
        <x:v>135</x:v>
      </x:c>
      <x:c r="D64" s="489">
        <x:v>45303</x:v>
      </x:c>
      <x:c r="E64" s="490">
        <x:v>10.8</x:v>
      </x:c>
      <x:c r="F64" s="490">
        <x:v>1.62</x:v>
      </x:c>
      <x:c r="G64" s="491">
        <x:v>9.86</x:v>
      </x:c>
      <x:c r="H64" s="490">
        <x:v>1.1</x:v>
      </x:c>
      <x:c r="I64" s="492">
        <x:v>45330</x:v>
      </x:c>
      <x:c r="J64" s="433">
        <x:f>+E64-F64</x:f>
      </x:c>
      <x:c r="K64" s="468">
        <x:f>+I64-D64</x:f>
      </x:c>
      <x:c r="L64" s="469">
        <x:v>0.03</x:v>
      </x:c>
      <x:c r="M64" s="433">
        <x:f>+J64*L64</x:f>
      </x:c>
      <x:c r="N64" s="470"/>
    </x:row>
    <x:row r="65" spans="1:30" ht="15" customHeight="1" s="434" customFormat="1" x14ac:dyDescent="0.25">
      <x:c r="A65" s="486" t="s">
        <x:v>136</x:v>
      </x:c>
      <x:c r="B65" s="487" t="s">
        <x:v>137</x:v>
      </x:c>
      <x:c r="C65" s="488" t="s">
        <x:v>138</x:v>
      </x:c>
      <x:c r="D65" s="489">
        <x:v>45303</x:v>
      </x:c>
      <x:c r="E65" s="490">
        <x:v>730.32</x:v>
      </x:c>
      <x:c r="F65" s="490">
        <x:v>182.58</x:v>
      </x:c>
      <x:c r="G65" s="491">
        <x:v>588.27</x:v>
      </x:c>
      <x:c r="H65" s="490">
        <x:v>65.73</x:v>
      </x:c>
      <x:c r="I65" s="492">
        <x:v>45336</x:v>
      </x:c>
      <x:c r="J65" s="433">
        <x:f>+E65-F65</x:f>
      </x:c>
      <x:c r="K65" s="468">
        <x:f>+I65-D65</x:f>
      </x:c>
      <x:c r="L65" s="469">
        <x:v>0.03</x:v>
      </x:c>
      <x:c r="M65" s="433">
        <x:f>+J65*L65</x:f>
      </x:c>
      <x:c r="N65" s="470"/>
    </x:row>
    <x:row r="66" spans="1:30" ht="15" customHeight="1" s="434" customFormat="1" x14ac:dyDescent="0.25">
      <x:c r="A66" s="486" t="s">
        <x:v>136</x:v>
      </x:c>
      <x:c r="B66" s="487" t="s">
        <x:v>139</x:v>
      </x:c>
      <x:c r="C66" s="488" t="s">
        <x:v>140</x:v>
      </x:c>
      <x:c r="D66" s="489">
        <x:v>45308</x:v>
      </x:c>
      <x:c r="E66" s="490">
        <x:v>1564.8</x:v>
      </x:c>
      <x:c r="F66" s="490">
        <x:v>391.2</x:v>
      </x:c>
      <x:c r="G66" s="491">
        <x:v>1260.45</x:v>
      </x:c>
      <x:c r="H66" s="490">
        <x:v>140.83</x:v>
      </x:c>
      <x:c r="I66" s="492">
        <x:v>45338</x:v>
      </x:c>
      <x:c r="J66" s="433">
        <x:f>+E66-F66</x:f>
      </x:c>
      <x:c r="K66" s="468">
        <x:f>+I66-D66</x:f>
      </x:c>
      <x:c r="L66" s="469">
        <x:v>0.03</x:v>
      </x:c>
      <x:c r="M66" s="433">
        <x:f>+J66*L66</x:f>
      </x:c>
      <x:c r="N66" s="470"/>
    </x:row>
    <x:row r="67" spans="1:30" ht="15" customHeight="1" s="434" customFormat="1" x14ac:dyDescent="0.25">
      <x:c r="A67" s="486" t="s">
        <x:v>136</x:v>
      </x:c>
      <x:c r="B67" s="487" t="s">
        <x:v>141</x:v>
      </x:c>
      <x:c r="C67" s="488" t="s">
        <x:v>142</x:v>
      </x:c>
      <x:c r="D67" s="489">
        <x:v>45309</x:v>
      </x:c>
      <x:c r="E67" s="490">
        <x:v>1108.8</x:v>
      </x:c>
      <x:c r="F67" s="490">
        <x:v>277.2</x:v>
      </x:c>
      <x:c r="G67" s="491">
        <x:v>893.14</x:v>
      </x:c>
      <x:c r="H67" s="490">
        <x:v>99.79</x:v>
      </x:c>
      <x:c r="I67" s="492">
        <x:v>45339</x:v>
      </x:c>
      <x:c r="J67" s="433">
        <x:f>+E67-F67</x:f>
      </x:c>
      <x:c r="K67" s="468">
        <x:f>+I67-D67</x:f>
      </x:c>
      <x:c r="L67" s="469">
        <x:v>0.03</x:v>
      </x:c>
      <x:c r="M67" s="433">
        <x:f>+J67*L67</x:f>
      </x:c>
      <x:c r="N67" s="470"/>
    </x:row>
    <x:row r="68" spans="1:30" ht="15" customHeight="1" s="434" customFormat="1" x14ac:dyDescent="0.25">
      <x:c r="A68" s="486" t="s">
        <x:v>118</x:v>
      </x:c>
      <x:c r="B68" s="487" t="s">
        <x:v>143</x:v>
      </x:c>
      <x:c r="C68" s="488" t="s">
        <x:v>144</x:v>
      </x:c>
      <x:c r="D68" s="489">
        <x:v>45314</x:v>
      </x:c>
      <x:c r="E68" s="490">
        <x:v>486</x:v>
      </x:c>
      <x:c r="F68" s="490">
        <x:v>97.2</x:v>
      </x:c>
      <x:c r="G68" s="491">
        <x:v>417.57</x:v>
      </x:c>
      <x:c r="H68" s="490">
        <x:v>46.66</x:v>
      </x:c>
      <x:c r="I68" s="492">
        <x:v>45345</x:v>
      </x:c>
      <x:c r="J68" s="433">
        <x:f>+E68-F68</x:f>
      </x:c>
      <x:c r="K68" s="468">
        <x:f>+I68-D68</x:f>
      </x:c>
      <x:c r="L68" s="469">
        <x:v>0.03</x:v>
      </x:c>
      <x:c r="M68" s="433">
        <x:f>+J68*L68</x:f>
      </x:c>
      <x:c r="N68" s="470"/>
    </x:row>
    <x:row r="69" spans="1:30" ht="15" customHeight="1" s="434" customFormat="1" x14ac:dyDescent="0.3">
      <x:c r="A69" s="471"/>
      <x:c r="B69" s="472"/>
      <x:c r="C69" s="472"/>
      <x:c r="D69" s="473"/>
      <x:c r="E69" s="474"/>
      <x:c r="F69" s="474"/>
      <x:c r="G69" s="475"/>
      <x:c r="H69" s="476"/>
      <x:c r="I69" s="477"/>
      <x:c r="J69" s="433"/>
      <x:c r="K69" s="468"/>
      <x:c r="L69" s="469"/>
      <x:c r="M69" s="433"/>
      <x:c r="N69" s="470"/>
    </x:row>
    <x:row r="70" spans="1:30" ht="15" customHeight="1" x14ac:dyDescent="0.35">
      <x:c r="A70" s="493" t="s">
        <x:v>43</x:v>
      </x:c>
      <x:c r="B70" s="493"/>
      <x:c r="C70" s="493"/>
      <x:c r="D70" s="493"/>
      <x:c r="E70" s="493"/>
      <x:c r="F70" s="493"/>
      <x:c r="G70" s="516">
        <x:f>SUM(G53:G69)</x:f>
      </x:c>
      <x:c r="J70" s="516">
        <x:f>SUM(J53:J69)</x:f>
      </x:c>
      <x:c r="L70" s="495"/>
      <x:c r="M70" s="519">
        <x:f>SUM(M53:M69)</x:f>
      </x:c>
    </x:row>
    <x:row r="71" spans="1:30" ht="15" customHeight="1" x14ac:dyDescent="0.3">
      <x:c r="A71" s="520"/>
      <x:c r="G71" s="435"/>
    </x:row>
    <x:row r="72" spans="1:30" ht="15" customHeight="1" x14ac:dyDescent="0.3">
      <x:c r="A72" s="499"/>
      <x:c r="G72" s="435"/>
      <x:c r="J72" s="435"/>
    </x:row>
    <x:row r="73" spans="1:30" ht="15" customHeight="1" x14ac:dyDescent="0.3">
      <x:c r="A73" s="499"/>
      <x:c r="G73" s="435"/>
      <x:c r="J73" s="435"/>
    </x:row>
    <x:row r="74" spans="1:30" ht="15" customHeight="1" x14ac:dyDescent="0.3">
      <x:c r="A74" s="499"/>
      <x:c r="G74" s="435"/>
      <x:c r="J74" s="435"/>
    </x:row>
    <x:row r="75" spans="1:30" ht="15" customHeight="1" x14ac:dyDescent="0.3">
      <x:c r="A75" s="499"/>
      <x:c r="G75" s="435"/>
      <x:c r="J75" s="435">
        <x:f>J20+J70</x:f>
      </x:c>
    </x:row>
    <x:row r="76" spans="1:30" ht="15" customHeight="1" x14ac:dyDescent="0.3">
      <x:c r="A76" s="499"/>
      <x:c r="G76" s="435"/>
      <x:c r="J76" s="435">
        <x:f>J75*2%</x:f>
      </x:c>
    </x:row>
    <x:row r="77" spans="1:30" ht="15" customHeight="1" x14ac:dyDescent="0.3">
      <x:c r="A77" s="499"/>
      <x:c r="G77" s="435"/>
      <x:c r="J77" s="435"/>
      <x:c r="M77" s="435"/>
    </x:row>
    <x:row r="78" spans="1:30" ht="15" customHeight="1" x14ac:dyDescent="0.3">
      <x:c r="A78" s="499"/>
      <x:c r="G78" s="435"/>
      <x:c r="J78" s="435"/>
    </x:row>
    <x:row r="79" spans="1:30" ht="15" customHeight="1" x14ac:dyDescent="0.3">
      <x:c r="A79" s="499"/>
      <x:c r="G79" s="435"/>
      <x:c r="J79" s="435"/>
    </x:row>
    <x:row r="80" spans="1:30" ht="15" customHeight="1" x14ac:dyDescent="0.3">
      <x:c r="A80" s="499"/>
      <x:c r="G80" s="435"/>
      <x:c r="J80" s="435"/>
    </x:row>
    <x:row r="81" spans="1:30" ht="15" customHeight="1" x14ac:dyDescent="0.3">
      <x:c r="A81" s="499"/>
      <x:c r="G81" s="435"/>
      <x:c r="J81" s="435"/>
    </x:row>
    <x:row r="82" spans="1:30" ht="15" customHeight="1" x14ac:dyDescent="0.3">
      <x:c r="A82" s="499"/>
      <x:c r="G82" s="435"/>
      <x:c r="J82" s="435"/>
    </x:row>
    <x:row r="83" spans="1:30" ht="15" customHeight="1" x14ac:dyDescent="0.3">
      <x:c r="A83" s="520"/>
      <x:c r="K83" s="515"/>
    </x:row>
  </x:sheetData>
  <x:sortState xmlns:xlrd2="http://schemas.microsoft.com/office/spreadsheetml/2017/richdata2" ref="A30:AD50">
    <x:sortCondition ref="C30:C50"/>
  </x:sortState>
  <x:mergeCells count="3">
    <x:mergeCell ref="A24:F24"/>
    <x:mergeCell ref="A25:F25"/>
    <x:mergeCell ref="A70:F70"/>
  </x:mergeCells>
  <x:printOptions horizontalCentered="0" verticalCentered="0" headings="0" gridLines="0"/>
  <x:pageMargins left="0.1968503937007874" right="0" top="0.3937007874015748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AD78"/>
  <x:sheetViews>
    <x:sheetView topLeftCell="A19" workbookViewId="0">
      <x:selection activeCell="A35" sqref="A35"/>
    </x:sheetView>
  </x:sheetViews>
  <x:sheetFormatPr baseColWidth="10" defaultColWidth="11.441406" defaultRowHeight="13.2" x14ac:dyDescent="0.25"/>
  <x:cols>
    <x:col min="1" max="1" width="25.109375" style="429" customWidth="1"/>
    <x:col min="2" max="2" width="27.554688" style="429" customWidth="1"/>
    <x:col min="3" max="3" width="10.886719" style="429" customWidth="1"/>
    <x:col min="4" max="4" width="10.886719" style="430" customWidth="1"/>
    <x:col min="5" max="5" width="11.441406" style="429" customWidth="1"/>
    <x:col min="6" max="6" width="8.554688" style="429" customWidth="1"/>
    <x:col min="7" max="7" width="12.554688" style="429" customWidth="1"/>
    <x:col min="8" max="8" width="8.332031" style="429" customWidth="1"/>
    <x:col min="9" max="9" width="13.664062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17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145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2" customFormat="1" x14ac:dyDescent="0.25">
      <x:c r="A8" s="461"/>
      <x:c r="B8" s="462"/>
      <x:c r="C8" s="463"/>
      <x:c r="D8" s="464"/>
      <x:c r="E8" s="465"/>
      <x:c r="F8" s="465"/>
      <x:c r="G8" s="466"/>
      <x:c r="H8" s="465"/>
      <x:c r="I8" s="467"/>
      <x:c r="J8" s="433"/>
      <x:c r="K8" s="468"/>
      <x:c r="L8" s="469"/>
      <x:c r="M8" s="433"/>
      <x:c r="N8" s="470"/>
    </x:row>
    <x:row r="9" spans="1:30" ht="15" customHeight="1" s="432" customFormat="1" x14ac:dyDescent="0.25">
      <x:c r="A9" s="461"/>
      <x:c r="B9" s="462"/>
      <x:c r="C9" s="463"/>
      <x:c r="D9" s="464"/>
      <x:c r="E9" s="465"/>
      <x:c r="F9" s="465"/>
      <x:c r="G9" s="466"/>
      <x:c r="H9" s="465"/>
      <x:c r="I9" s="467"/>
      <x:c r="J9" s="433"/>
      <x:c r="K9" s="468"/>
      <x:c r="L9" s="469"/>
      <x:c r="M9" s="433"/>
      <x:c r="N9" s="470"/>
    </x:row>
    <x:row r="10" spans="1:30" ht="15" customHeight="1" s="433" customFormat="1" x14ac:dyDescent="0.3">
      <x:c r="A10" s="471"/>
      <x:c r="B10" s="472"/>
      <x:c r="C10" s="472"/>
      <x:c r="D10" s="473"/>
      <x:c r="E10" s="474"/>
      <x:c r="F10" s="474"/>
      <x:c r="G10" s="475"/>
      <x:c r="H10" s="476"/>
      <x:c r="I10" s="477"/>
      <x:c r="K10" s="468"/>
      <x:c r="L10" s="469"/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4" customFormat="1" x14ac:dyDescent="0.25">
      <x:c r="A11" s="478"/>
      <x:c r="B11" s="478"/>
      <x:c r="C11" s="478"/>
      <x:c r="D11" s="478"/>
      <x:c r="E11" s="478"/>
      <x:c r="F11" s="478"/>
      <x:c r="G11" s="479">
        <x:f>SUM(G8:G10)</x:f>
      </x:c>
      <x:c r="H11" s="480"/>
      <x:c r="I11" s="481"/>
      <x:c r="J11" s="479">
        <x:f>SUM(J8:J10)</x:f>
      </x:c>
      <x:c r="K11" s="482"/>
      <x:c r="L11" s="482"/>
      <x:c r="M11" s="479">
        <x:f>SUM(M8:M10)</x:f>
      </x:c>
      <x:c r="N11" s="470"/>
    </x:row>
    <x:row r="12" spans="1:30" ht="15" customHeight="1" s="434" customFormat="1" x14ac:dyDescent="0.25">
      <x:c r="A12" s="483"/>
      <x:c r="B12" s="483"/>
      <x:c r="C12" s="483"/>
      <x:c r="D12" s="484"/>
      <x:c r="E12" s="483"/>
      <x:c r="F12" s="483"/>
      <x:c r="G12" s="432"/>
      <x:c r="I12" s="485"/>
      <x:c r="N12" s="470"/>
    </x:row>
    <x:row r="13" spans="1:30" ht="15" customHeight="1" s="434" customFormat="1" x14ac:dyDescent="0.25">
      <x:c r="A13" s="483"/>
      <x:c r="B13" s="483"/>
      <x:c r="C13" s="483"/>
      <x:c r="D13" s="484"/>
      <x:c r="E13" s="483"/>
      <x:c r="F13" s="483"/>
      <x:c r="G13" s="432"/>
      <x:c r="I13" s="485"/>
      <x:c r="J13" s="432"/>
      <x:c r="M13" s="432"/>
      <x:c r="N13" s="470"/>
    </x:row>
    <x:row r="14" spans="1:30" ht="15" customHeight="1" s="434" customFormat="1" x14ac:dyDescent="0.25">
      <x:c r="A14" s="434" t="s">
        <x:v>30</x:v>
      </x:c>
      <x:c r="B14" s="434" t="s">
        <x:v>31</x:v>
      </x:c>
      <x:c r="C14" s="483" t="s">
        <x:v>32</x:v>
      </x:c>
      <x:c r="D14" s="485"/>
      <x:c r="G14" s="432"/>
      <x:c r="I14" s="485"/>
      <x:c r="N14" s="470"/>
    </x:row>
    <x:row r="15" spans="1:30" ht="15" customHeight="1" s="432" customFormat="1" x14ac:dyDescent="0.25">
      <x:c r="A15" s="486" t="s">
        <x:v>33</x:v>
      </x:c>
      <x:c r="B15" s="487" t="s">
        <x:v>146</x:v>
      </x:c>
      <x:c r="C15" s="488" t="s">
        <x:v>147</x:v>
      </x:c>
      <x:c r="D15" s="489">
        <x:v>45300</x:v>
      </x:c>
      <x:c r="E15" s="490">
        <x:v>160.92</x:v>
      </x:c>
      <x:c r="F15" s="490">
        <x:v>24.14</x:v>
      </x:c>
      <x:c r="G15" s="491">
        <x:v>146.9</x:v>
      </x:c>
      <x:c r="H15" s="490">
        <x:v>16.41</x:v>
      </x:c>
      <x:c r="I15" s="492">
        <x:v>45356</x:v>
      </x:c>
      <x:c r="J15" s="433">
        <x:f>+E15-F15</x:f>
      </x:c>
      <x:c r="K15" s="468">
        <x:f>+I15-D15</x:f>
      </x:c>
      <x:c r="L15" s="469">
        <x:v>0.03</x:v>
      </x:c>
      <x:c r="M15" s="433">
        <x:f>+J15*L15</x:f>
      </x:c>
      <x:c r="N15" s="470"/>
    </x:row>
    <x:row r="16" spans="1:30" ht="15" customHeight="1" s="432" customFormat="1" x14ac:dyDescent="0.25">
      <x:c r="A16" s="486" t="s">
        <x:v>148</x:v>
      </x:c>
      <x:c r="B16" s="487" t="s">
        <x:v>149</x:v>
      </x:c>
      <x:c r="C16" s="488" t="s">
        <x:v>150</x:v>
      </x:c>
      <x:c r="D16" s="489">
        <x:v>45321</x:v>
      </x:c>
      <x:c r="E16" s="490">
        <x:v>109.44</x:v>
      </x:c>
      <x:c r="F16" s="490">
        <x:v>16.42</x:v>
      </x:c>
      <x:c r="G16" s="502">
        <x:v>99.9</x:v>
      </x:c>
      <x:c r="H16" s="490">
        <x:v>11.16</x:v>
      </x:c>
      <x:c r="I16" s="492">
        <x:v>45356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</x:row>
    <x:row r="17" spans="1:30" ht="15" customHeight="1" s="432" customFormat="1" x14ac:dyDescent="0.3">
      <x:c r="A17" s="486"/>
      <x:c r="B17" s="487"/>
      <x:c r="C17" s="488"/>
      <x:c r="D17" s="489"/>
      <x:c r="E17" s="490"/>
      <x:c r="F17" s="490"/>
      <x:c r="G17" s="491"/>
      <x:c r="H17" s="490"/>
      <x:c r="I17" s="492"/>
      <x:c r="J17" s="433"/>
      <x:c r="K17" s="468"/>
      <x:c r="L17" s="469"/>
      <x:c r="M17" s="433"/>
      <x:c r="N17" s="470"/>
    </x:row>
    <x:row r="18" spans="1:30" ht="15" customHeight="1" x14ac:dyDescent="0.35">
      <x:c r="A18" s="493" t="s">
        <x:v>43</x:v>
      </x:c>
      <x:c r="B18" s="493"/>
      <x:c r="C18" s="493"/>
      <x:c r="D18" s="493"/>
      <x:c r="E18" s="493"/>
      <x:c r="F18" s="493"/>
      <x:c r="G18" s="494">
        <x:f>SUM(G11:G17)</x:f>
      </x:c>
      <x:c r="J18" s="494">
        <x:f>SUM(J11:J17)</x:f>
      </x:c>
      <x:c r="L18" s="495"/>
      <x:c r="M18" s="496">
        <x:f>SUM(M11:M17)</x:f>
      </x:c>
    </x:row>
    <x:row r="19" spans="1:30" ht="15" customHeight="1" x14ac:dyDescent="0.25">
      <x:c r="A19" s="497"/>
      <x:c r="B19" s="497"/>
      <x:c r="C19" s="497"/>
      <x:c r="D19" s="498"/>
      <x:c r="E19" s="497"/>
      <x:c r="F19" s="497"/>
      <x:c r="G19" s="435"/>
      <x:c r="J19" s="435"/>
      <x:c r="M19" s="435"/>
    </x:row>
    <x:row r="20" spans="1:30" ht="15" customHeight="1" x14ac:dyDescent="0.3">
      <x:c r="A20" s="499"/>
      <x:c r="B20" s="497"/>
      <x:c r="C20" s="497"/>
      <x:c r="D20" s="498"/>
      <x:c r="E20" s="497"/>
      <x:c r="F20" s="497"/>
      <x:c r="G20" s="435"/>
      <x:c r="J20" s="435"/>
      <x:c r="M20" s="435"/>
    </x:row>
    <x:row r="21" spans="1:30" ht="15" customHeight="1" x14ac:dyDescent="0.25">
      <x:c r="A21" s="497"/>
      <x:c r="B21" s="497"/>
      <x:c r="C21" s="497"/>
      <x:c r="D21" s="498"/>
      <x:c r="E21" s="497"/>
      <x:c r="F21" s="497"/>
      <x:c r="G21" s="435"/>
      <x:c r="I21" s="500"/>
    </x:row>
    <x:row r="22" spans="1:30" ht="15" customHeight="1" x14ac:dyDescent="0.25">
      <x:c r="A22" s="436" t="s">
        <x:v>44</x:v>
      </x:c>
      <x:c r="B22" s="436"/>
      <x:c r="C22" s="436"/>
      <x:c r="D22" s="436"/>
      <x:c r="E22" s="436"/>
      <x:c r="F22" s="436"/>
      <x:c r="G22" s="437"/>
      <x:c r="H22" s="437"/>
      <x:c r="I22" s="439"/>
      <x:c r="J22" s="440"/>
      <x:c r="K22" s="441"/>
      <x:c r="L22" s="442"/>
      <x:c r="M22" s="443"/>
    </x:row>
    <x:row r="23" spans="1:30" ht="15" customHeight="1" x14ac:dyDescent="0.25">
      <x:c r="A23" s="436" t="s">
        <x:v>1</x:v>
      </x:c>
      <x:c r="B23" s="436"/>
      <x:c r="C23" s="436"/>
      <x:c r="D23" s="436"/>
      <x:c r="E23" s="436"/>
      <x:c r="F23" s="436"/>
      <x:c r="G23" s="437"/>
      <x:c r="H23" s="438"/>
      <x:c r="I23" s="439"/>
      <x:c r="J23" s="441"/>
      <x:c r="K23" s="441"/>
      <x:c r="L23" s="442"/>
      <x:c r="M23" s="443"/>
    </x:row>
    <x:row r="24" spans="1:30" ht="15" customHeight="1" x14ac:dyDescent="0.25">
      <x:c r="A24" s="436"/>
      <x:c r="B24" s="444" t="s">
        <x:v>145</x:v>
      </x:c>
      <x:c r="C24" s="436"/>
      <x:c r="D24" s="445"/>
      <x:c r="E24" s="436"/>
      <x:c r="F24" s="436"/>
      <x:c r="G24" s="437"/>
      <x:c r="H24" s="438"/>
      <x:c r="I24" s="439"/>
      <x:c r="J24" s="441"/>
      <x:c r="K24" s="441"/>
      <x:c r="L24" s="442"/>
      <x:c r="M24" s="443"/>
    </x:row>
    <x:row r="25" spans="1:30" ht="15" customHeight="1" x14ac:dyDescent="0.3">
      <x:c r="A25" s="436"/>
      <x:c r="B25" s="444" t="s">
        <x:v>45</x:v>
      </x:c>
      <x:c r="C25" s="436"/>
      <x:c r="D25" s="445"/>
      <x:c r="E25" s="436"/>
      <x:c r="F25" s="436"/>
      <x:c r="G25" s="443"/>
      <x:c r="H25" s="437"/>
      <x:c r="I25" s="446"/>
      <x:c r="J25" s="441"/>
      <x:c r="K25" s="441"/>
      <x:c r="L25" s="442"/>
      <x:c r="M25" s="443"/>
    </x:row>
    <x:row r="26" spans="1:30" ht="15" customHeight="1" x14ac:dyDescent="0.25">
      <x:c r="A26" s="447"/>
      <x:c r="B26" s="441"/>
      <x:c r="C26" s="441"/>
      <x:c r="D26" s="439"/>
      <x:c r="E26" s="441"/>
      <x:c r="F26" s="441"/>
      <x:c r="G26" s="448" t="s">
        <x:v>5</x:v>
      </x:c>
      <x:c r="H26" s="441"/>
      <x:c r="I26" s="439"/>
      <x:c r="J26" s="449" t="s">
        <x:v>6</x:v>
      </x:c>
      <x:c r="K26" s="450" t="s">
        <x:v>7</x:v>
      </x:c>
      <x:c r="L26" s="451" t="s">
        <x:v>8</x:v>
      </x:c>
      <x:c r="M26" s="449" t="s">
        <x:v>9</x:v>
      </x:c>
    </x:row>
    <x:row r="27" spans="1:30" ht="15" customHeight="1" x14ac:dyDescent="0.25">
      <x:c r="A27" s="452" t="s">
        <x:v>10</x:v>
      </x:c>
      <x:c r="B27" s="452" t="s">
        <x:v>11</x:v>
      </x:c>
      <x:c r="C27" s="452" t="s">
        <x:v>12</x:v>
      </x:c>
      <x:c r="D27" s="453" t="s">
        <x:v>13</x:v>
      </x:c>
      <x:c r="E27" s="452" t="s">
        <x:v>14</x:v>
      </x:c>
      <x:c r="F27" s="454" t="s">
        <x:v>15</x:v>
      </x:c>
      <x:c r="G27" s="501" t="s">
        <x:v>16</x:v>
      </x:c>
      <x:c r="H27" s="456" t="s">
        <x:v>17</x:v>
      </x:c>
      <x:c r="I27" s="457" t="s">
        <x:v>18</x:v>
      </x:c>
      <x:c r="J27" s="458" t="s">
        <x:v>19</x:v>
      </x:c>
      <x:c r="K27" s="459"/>
      <x:c r="L27" s="460" t="s">
        <x:v>20</x:v>
      </x:c>
      <x:c r="M27" s="458" t="s">
        <x:v>21</x:v>
      </x:c>
    </x:row>
    <x:row r="28" spans="1:30" ht="15" customHeight="1" x14ac:dyDescent="0.25">
      <x:c r="A28" s="486" t="s">
        <x:v>46</x:v>
      </x:c>
      <x:c r="B28" s="462" t="s">
        <x:v>47</x:v>
      </x:c>
      <x:c r="C28" s="488" t="s">
        <x:v>48</x:v>
      </x:c>
      <x:c r="D28" s="489">
        <x:v>45035</x:v>
      </x:c>
      <x:c r="E28" s="490">
        <x:v>1284.6</x:v>
      </x:c>
      <x:c r="F28" s="490">
        <x:v>218.39</x:v>
      </x:c>
      <x:c r="G28" s="502">
        <x:v>62.8000000000001</x:v>
      </x:c>
      <x:c r="H28" s="490">
        <x:v>127.95</x:v>
      </x:c>
      <x:c r="I28" s="467">
        <x:v>45331</x:v>
      </x:c>
      <x:c r="J28" s="433">
        <x:f>62.8/1.12</x:f>
      </x:c>
      <x:c r="K28" s="468">
        <x:f>+I28-D28</x:f>
      </x:c>
      <x:c r="L28" s="503">
        <x:v>0</x:v>
      </x:c>
      <x:c r="M28" s="504">
        <x:f>+J28*L28</x:f>
      </x:c>
    </x:row>
    <x:row r="29" spans="1:30" ht="15" customHeight="1" x14ac:dyDescent="0.25">
      <x:c r="A29" s="461" t="s">
        <x:v>151</x:v>
      </x:c>
      <x:c r="B29" s="505" t="s">
        <x:v>47</x:v>
      </x:c>
      <x:c r="C29" s="463" t="s">
        <x:v>152</x:v>
      </x:c>
      <x:c r="D29" s="464">
        <x:v>45107</x:v>
      </x:c>
      <x:c r="E29" s="465">
        <x:v>196.8</x:v>
      </x:c>
      <x:c r="F29" s="465">
        <x:v>29.52</x:v>
      </x:c>
      <x:c r="G29" s="466">
        <x:v>167.28</x:v>
      </x:c>
      <x:c r="H29" s="465">
        <x:v>0</x:v>
      </x:c>
      <x:c r="I29" s="467">
        <x:v>45331</x:v>
      </x:c>
      <x:c r="J29" s="433">
        <x:f>+E29-F29</x:f>
      </x:c>
      <x:c r="K29" s="468">
        <x:f>+I29-D29</x:f>
      </x:c>
      <x:c r="L29" s="503">
        <x:v>0</x:v>
      </x:c>
      <x:c r="M29" s="504">
        <x:f>+J29*L29</x:f>
      </x:c>
    </x:row>
    <x:row r="30" spans="1:30" ht="15" customHeight="1" x14ac:dyDescent="0.25">
      <x:c r="A30" s="461" t="s">
        <x:v>57</x:v>
      </x:c>
      <x:c r="B30" s="462" t="s">
        <x:v>26</x:v>
      </x:c>
      <x:c r="C30" s="463" t="s">
        <x:v>153</x:v>
      </x:c>
      <x:c r="D30" s="464">
        <x:v>45190</x:v>
      </x:c>
      <x:c r="E30" s="465">
        <x:v>1392</x:v>
      </x:c>
      <x:c r="F30" s="465">
        <x:v>278.4</x:v>
      </x:c>
      <x:c r="G30" s="466">
        <x:v>260.58</x:v>
      </x:c>
      <x:c r="H30" s="465">
        <x:v>133.63</x:v>
      </x:c>
      <x:c r="I30" s="492">
        <x:v>45342</x:v>
      </x:c>
      <x:c r="J30" s="433">
        <x:f>260.58/1.12</x:f>
      </x:c>
      <x:c r="K30" s="468">
        <x:f>+I30-D30</x:f>
      </x:c>
      <x:c r="L30" s="503">
        <x:v>0.03</x:v>
      </x:c>
      <x:c r="M30" s="504">
        <x:f>+J30*L30</x:f>
      </x:c>
    </x:row>
    <x:row r="31" spans="1:30" ht="15" customHeight="1" x14ac:dyDescent="0.25">
      <x:c r="A31" s="461" t="s">
        <x:v>154</x:v>
      </x:c>
      <x:c r="B31" s="505" t="s">
        <x:v>155</x:v>
      </x:c>
      <x:c r="C31" s="463" t="s">
        <x:v>156</x:v>
      </x:c>
      <x:c r="D31" s="464">
        <x:v>45216</x:v>
      </x:c>
      <x:c r="E31" s="465">
        <x:v>143.64</x:v>
      </x:c>
      <x:c r="F31" s="465">
        <x:v>21.54</x:v>
      </x:c>
      <x:c r="G31" s="466">
        <x:v>136.75</x:v>
      </x:c>
      <x:c r="H31" s="465">
        <x:v>14.65</x:v>
      </x:c>
      <x:c r="I31" s="467">
        <x:v>45327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</x:row>
    <x:row r="32" spans="1:30" ht="15" customHeight="1" x14ac:dyDescent="0.25">
      <x:c r="A32" s="461" t="s">
        <x:v>49</x:v>
      </x:c>
      <x:c r="B32" s="462" t="s">
        <x:v>26</x:v>
      </x:c>
      <x:c r="C32" s="463" t="s">
        <x:v>157</x:v>
      </x:c>
      <x:c r="D32" s="464">
        <x:v>45216</x:v>
      </x:c>
      <x:c r="E32" s="465">
        <x:v>356.4</x:v>
      </x:c>
      <x:c r="F32" s="465">
        <x:v>53.46</x:v>
      </x:c>
      <x:c r="G32" s="466">
        <x:v>325.35</x:v>
      </x:c>
      <x:c r="H32" s="465">
        <x:v>36.35</x:v>
      </x:c>
      <x:c r="I32" s="467">
        <x:v>45342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</x:row>
    <x:row r="33" spans="1:30" ht="15" customHeight="1" x14ac:dyDescent="0.25">
      <x:c r="A33" s="461" t="s">
        <x:v>49</x:v>
      </x:c>
      <x:c r="B33" s="462" t="s">
        <x:v>26</x:v>
      </x:c>
      <x:c r="C33" s="463" t="s">
        <x:v>158</x:v>
      </x:c>
      <x:c r="D33" s="464">
        <x:v>45217</x:v>
      </x:c>
      <x:c r="E33" s="465">
        <x:v>10.8</x:v>
      </x:c>
      <x:c r="F33" s="465">
        <x:v>1.62</x:v>
      </x:c>
      <x:c r="G33" s="466">
        <x:v>9.86</x:v>
      </x:c>
      <x:c r="H33" s="465">
        <x:v>1.1</x:v>
      </x:c>
      <x:c r="I33" s="467">
        <x:v>45342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</x:row>
    <x:row r="34" spans="1:30" ht="15" customHeight="1" x14ac:dyDescent="0.25">
      <x:c r="A34" s="461" t="s">
        <x:v>49</x:v>
      </x:c>
      <x:c r="B34" s="462" t="s">
        <x:v>26</x:v>
      </x:c>
      <x:c r="C34" s="463" t="s">
        <x:v>159</x:v>
      </x:c>
      <x:c r="D34" s="464">
        <x:v>45217</x:v>
      </x:c>
      <x:c r="E34" s="465">
        <x:v>46.8</x:v>
      </x:c>
      <x:c r="F34" s="465">
        <x:v>7.02</x:v>
      </x:c>
      <x:c r="G34" s="466">
        <x:v>42.72</x:v>
      </x:c>
      <x:c r="H34" s="465">
        <x:v>4.77</x:v>
      </x:c>
      <x:c r="I34" s="467">
        <x:v>45342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</x:row>
    <x:row r="35" spans="1:30" ht="15" customHeight="1" x14ac:dyDescent="0.25">
      <x:c r="A35" s="461" t="s">
        <x:v>49</x:v>
      </x:c>
      <x:c r="B35" s="462" t="s">
        <x:v>26</x:v>
      </x:c>
      <x:c r="C35" s="463" t="s">
        <x:v>160</x:v>
      </x:c>
      <x:c r="D35" s="464">
        <x:v>45223</x:v>
      </x:c>
      <x:c r="E35" s="465">
        <x:v>106.32</x:v>
      </x:c>
      <x:c r="F35" s="465">
        <x:v>15.95</x:v>
      </x:c>
      <x:c r="G35" s="466">
        <x:v>97.06</x:v>
      </x:c>
      <x:c r="H35" s="465">
        <x:v>10.84</x:v>
      </x:c>
      <x:c r="I35" s="467">
        <x:v>45342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</x:row>
    <x:row r="36" spans="1:30" ht="15" customHeight="1" x14ac:dyDescent="0.25">
      <x:c r="A36" s="461" t="s">
        <x:v>49</x:v>
      </x:c>
      <x:c r="B36" s="462" t="s">
        <x:v>26</x:v>
      </x:c>
      <x:c r="C36" s="463" t="s">
        <x:v>161</x:v>
      </x:c>
      <x:c r="D36" s="464">
        <x:v>45229</x:v>
      </x:c>
      <x:c r="E36" s="465">
        <x:v>23.4</x:v>
      </x:c>
      <x:c r="F36" s="465">
        <x:v>3.51</x:v>
      </x:c>
      <x:c r="G36" s="466">
        <x:v>21.36</x:v>
      </x:c>
      <x:c r="H36" s="465">
        <x:v>2.39</x:v>
      </x:c>
      <x:c r="I36" s="467">
        <x:v>45342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</x:row>
    <x:row r="37" spans="1:30" ht="15" customHeight="1" x14ac:dyDescent="0.25">
      <x:c r="A37" s="461" t="s">
        <x:v>49</x:v>
      </x:c>
      <x:c r="B37" s="462" t="s">
        <x:v>26</x:v>
      </x:c>
      <x:c r="C37" s="463" t="s">
        <x:v>162</x:v>
      </x:c>
      <x:c r="D37" s="464">
        <x:v>45236</x:v>
      </x:c>
      <x:c r="E37" s="465">
        <x:v>10.8</x:v>
      </x:c>
      <x:c r="F37" s="465">
        <x:v>1.62</x:v>
      </x:c>
      <x:c r="G37" s="466">
        <x:v>9.86</x:v>
      </x:c>
      <x:c r="H37" s="465">
        <x:v>1.1</x:v>
      </x:c>
      <x:c r="I37" s="467">
        <x:v>45342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</x:row>
    <x:row r="38" spans="1:30" ht="15" customHeight="1" x14ac:dyDescent="0.25">
      <x:c r="A38" s="461" t="s">
        <x:v>49</x:v>
      </x:c>
      <x:c r="B38" s="462" t="s">
        <x:v>26</x:v>
      </x:c>
      <x:c r="C38" s="463" t="s">
        <x:v>163</x:v>
      </x:c>
      <x:c r="D38" s="464">
        <x:v>45236</x:v>
      </x:c>
      <x:c r="E38" s="465">
        <x:v>71.76</x:v>
      </x:c>
      <x:c r="F38" s="465">
        <x:v>10.76</x:v>
      </x:c>
      <x:c r="G38" s="466">
        <x:v>65.51</x:v>
      </x:c>
      <x:c r="H38" s="465">
        <x:v>7.32</x:v>
      </x:c>
      <x:c r="I38" s="467">
        <x:v>45342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</x:row>
    <x:row r="39" spans="1:30" ht="15" customHeight="1" x14ac:dyDescent="0.25">
      <x:c r="A39" s="461" t="s">
        <x:v>62</x:v>
      </x:c>
      <x:c r="B39" s="506" t="s">
        <x:v>26</x:v>
      </x:c>
      <x:c r="C39" s="463" t="s">
        <x:v>121</x:v>
      </x:c>
      <x:c r="D39" s="464">
        <x:v>45308</x:v>
      </x:c>
      <x:c r="E39" s="465">
        <x:v>369.6</x:v>
      </x:c>
      <x:c r="F39" s="465">
        <x:v>92.4</x:v>
      </x:c>
      <x:c r="G39" s="466">
        <x:f>277.2-228.15</x:f>
      </x:c>
      <x:c r="H39" s="465">
        <x:v>0</x:v>
      </x:c>
      <x:c r="I39" s="492">
        <x:v>45309</x:v>
      </x:c>
      <x:c r="J39" s="433">
        <x:f>49.05</x:f>
      </x:c>
      <x:c r="K39" s="468">
        <x:f>+I39-D39</x:f>
      </x:c>
      <x:c r="L39" s="503">
        <x:v>0.04</x:v>
      </x:c>
      <x:c r="M39" s="504">
        <x:f>+J39*L39</x:f>
      </x:c>
    </x:row>
    <x:row r="40" spans="1:30" ht="15" customHeight="1" x14ac:dyDescent="0.25">
      <x:c r="A40" s="461" t="s">
        <x:v>164</x:v>
      </x:c>
      <x:c r="B40" s="506" t="s">
        <x:v>26</x:v>
      </x:c>
      <x:c r="C40" s="463" t="s">
        <x:v>165</x:v>
      </x:c>
      <x:c r="D40" s="464">
        <x:v>45314</x:v>
      </x:c>
      <x:c r="E40" s="465">
        <x:v>284.16</x:v>
      </x:c>
      <x:c r="F40" s="465">
        <x:v>42.62</x:v>
      </x:c>
      <x:c r="G40" s="466">
        <x:v>257.6</x:v>
      </x:c>
      <x:c r="H40" s="465">
        <x:v>28.98</x:v>
      </x:c>
      <x:c r="I40" s="492">
        <x:v>45345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</x:row>
    <x:row r="41" spans="1:30" ht="15" customHeight="1" s="434" customFormat="1" x14ac:dyDescent="0.25">
      <x:c r="A41" s="461" t="s">
        <x:v>52</x:v>
      </x:c>
      <x:c r="B41" s="505" t="s">
        <x:v>53</x:v>
      </x:c>
      <x:c r="C41" s="463" t="s">
        <x:v>166</x:v>
      </x:c>
      <x:c r="D41" s="464">
        <x:v>45315</x:v>
      </x:c>
      <x:c r="E41" s="465">
        <x:v>419.04</x:v>
      </x:c>
      <x:c r="F41" s="465">
        <x:v>104.76</x:v>
      </x:c>
      <x:c r="G41" s="466">
        <x:v>351.99</x:v>
      </x:c>
      <x:c r="H41" s="465">
        <x:v>37.71</x:v>
      </x:c>
      <x:c r="I41" s="492">
        <x:v>45328</x:v>
      </x:c>
      <x:c r="J41" s="433">
        <x:f>+E41-F41</x:f>
      </x:c>
      <x:c r="K41" s="468">
        <x:f>+I41-D41</x:f>
      </x:c>
      <x:c r="L41" s="469">
        <x:v>0.035</x:v>
      </x:c>
      <x:c r="M41" s="433">
        <x:f>+J41*L41</x:f>
      </x:c>
      <x:c r="N41" s="470"/>
    </x:row>
    <x:row r="42" spans="1:30" ht="15" customHeight="1" x14ac:dyDescent="0.25">
      <x:c r="A42" s="461" t="s">
        <x:v>167</x:v>
      </x:c>
      <x:c r="B42" s="506" t="s">
        <x:v>26</x:v>
      </x:c>
      <x:c r="C42" s="463" t="s">
        <x:v>168</x:v>
      </x:c>
      <x:c r="D42" s="464">
        <x:v>45320</x:v>
      </x:c>
      <x:c r="E42" s="465">
        <x:v>97.2</x:v>
      </x:c>
      <x:c r="F42" s="465">
        <x:v>14.58</x:v>
      </x:c>
      <x:c r="G42" s="466">
        <x:v>26.26</x:v>
      </x:c>
      <x:c r="H42" s="465">
        <x:v>9.91</x:v>
      </x:c>
      <x:c r="I42" s="492">
        <x:v>45323</x:v>
      </x:c>
      <x:c r="J42" s="433">
        <x:f>+E42-F42</x:f>
      </x:c>
      <x:c r="K42" s="468">
        <x:f>+I42-D42</x:f>
      </x:c>
      <x:c r="L42" s="503">
        <x:v>0.035</x:v>
      </x:c>
      <x:c r="M42" s="504">
        <x:f>+J42*L42</x:f>
      </x:c>
    </x:row>
    <x:row r="43" spans="1:30" ht="15" customHeight="1" x14ac:dyDescent="0.25">
      <x:c r="A43" s="461" t="s">
        <x:v>114</x:v>
      </x:c>
      <x:c r="B43" s="506" t="s">
        <x:v>26</x:v>
      </x:c>
      <x:c r="C43" s="463" t="s">
        <x:v>169</x:v>
      </x:c>
      <x:c r="D43" s="464">
        <x:v>45324</x:v>
      </x:c>
      <x:c r="E43" s="465">
        <x:v>21.6</x:v>
      </x:c>
      <x:c r="F43" s="465">
        <x:v>3.24</x:v>
      </x:c>
      <x:c r="G43" s="466">
        <x:v>19.72</x:v>
      </x:c>
      <x:c r="H43" s="465">
        <x:v>2.2</x:v>
      </x:c>
      <x:c r="I43" s="467">
        <x:v>45327</x:v>
      </x:c>
      <x:c r="J43" s="433">
        <x:f>+E43-F43</x:f>
      </x:c>
      <x:c r="K43" s="468">
        <x:f>+I43-D43</x:f>
      </x:c>
      <x:c r="L43" s="503">
        <x:v>0.035</x:v>
      </x:c>
      <x:c r="M43" s="504">
        <x:f>+J43*L43</x:f>
      </x:c>
    </x:row>
    <x:row r="44" spans="1:30" ht="15" customHeight="1" x14ac:dyDescent="0.25">
      <x:c r="A44" s="461" t="s">
        <x:v>170</x:v>
      </x:c>
      <x:c r="B44" s="505" t="s">
        <x:v>105</x:v>
      </x:c>
      <x:c r="C44" s="463" t="s">
        <x:v>171</x:v>
      </x:c>
      <x:c r="D44" s="464">
        <x:v>45324</x:v>
      </x:c>
      <x:c r="E44" s="465">
        <x:v>1188</x:v>
      </x:c>
      <x:c r="F44" s="465">
        <x:v>237.6</x:v>
      </x:c>
      <x:c r="G44" s="466">
        <x:v>1064.45</x:v>
      </x:c>
      <x:c r="H44" s="465">
        <x:v>114.05</x:v>
      </x:c>
      <x:c r="I44" s="467">
        <x:v>45330</x:v>
      </x:c>
      <x:c r="J44" s="433">
        <x:f>+E44-F44</x:f>
      </x:c>
      <x:c r="K44" s="468">
        <x:f>+I44-D44</x:f>
      </x:c>
      <x:c r="L44" s="503">
        <x:v>0.04</x:v>
      </x:c>
      <x:c r="M44" s="504">
        <x:f>+J44*L44</x:f>
      </x:c>
    </x:row>
    <x:row r="45" spans="1:30" ht="15" customHeight="1" x14ac:dyDescent="0.25">
      <x:c r="A45" s="461" t="s">
        <x:v>52</x:v>
      </x:c>
      <x:c r="B45" s="505" t="s">
        <x:v>53</x:v>
      </x:c>
      <x:c r="C45" s="463" t="s">
        <x:v>172</x:v>
      </x:c>
      <x:c r="D45" s="464">
        <x:v>45330</x:v>
      </x:c>
      <x:c r="E45" s="465">
        <x:v>1038.24</x:v>
      </x:c>
      <x:c r="F45" s="465">
        <x:v>259.56</x:v>
      </x:c>
      <x:c r="G45" s="466">
        <x:v>872.12</x:v>
      </x:c>
      <x:c r="H45" s="465">
        <x:v>93.44</x:v>
      </x:c>
      <x:c r="I45" s="467">
        <x:v>45339</x:v>
      </x:c>
      <x:c r="J45" s="433">
        <x:f>+E45-F45</x:f>
      </x:c>
      <x:c r="K45" s="468">
        <x:f>+I45-D45</x:f>
      </x:c>
      <x:c r="L45" s="503">
        <x:v>0.035</x:v>
      </x:c>
      <x:c r="M45" s="504">
        <x:f>+J45*L45</x:f>
      </x:c>
    </x:row>
    <x:row r="46" spans="1:30" ht="15" customHeight="1" x14ac:dyDescent="0.25">
      <x:c r="A46" s="461" t="s">
        <x:v>52</x:v>
      </x:c>
      <x:c r="B46" s="505" t="s">
        <x:v>53</x:v>
      </x:c>
      <x:c r="C46" s="463" t="s">
        <x:v>173</x:v>
      </x:c>
      <x:c r="D46" s="464">
        <x:v>45330</x:v>
      </x:c>
      <x:c r="E46" s="465">
        <x:v>259.2</x:v>
      </x:c>
      <x:c r="F46" s="465">
        <x:v>64.8</x:v>
      </x:c>
      <x:c r="G46" s="466">
        <x:v>217.73</x:v>
      </x:c>
      <x:c r="H46" s="465">
        <x:v>23.33</x:v>
      </x:c>
      <x:c r="I46" s="467">
        <x:v>45339</x:v>
      </x:c>
      <x:c r="J46" s="433">
        <x:f>+E46-F46</x:f>
      </x:c>
      <x:c r="K46" s="468">
        <x:f>+I46-D46</x:f>
      </x:c>
      <x:c r="L46" s="503">
        <x:v>0.035</x:v>
      </x:c>
      <x:c r="M46" s="504">
        <x:f>+J46*L46</x:f>
      </x:c>
    </x:row>
    <x:row r="47" spans="1:30" ht="15" customHeight="1" x14ac:dyDescent="0.25">
      <x:c r="A47" s="461" t="s">
        <x:v>52</x:v>
      </x:c>
      <x:c r="B47" s="505" t="s">
        <x:v>53</x:v>
      </x:c>
      <x:c r="C47" s="463" t="s">
        <x:v>174</x:v>
      </x:c>
      <x:c r="D47" s="464">
        <x:v>45331</x:v>
      </x:c>
      <x:c r="E47" s="465">
        <x:v>174</x:v>
      </x:c>
      <x:c r="F47" s="465">
        <x:v>43.5</x:v>
      </x:c>
      <x:c r="G47" s="466">
        <x:v>146.16</x:v>
      </x:c>
      <x:c r="H47" s="465">
        <x:v>15.66</x:v>
      </x:c>
      <x:c r="I47" s="467">
        <x:v>45344</x:v>
      </x:c>
      <x:c r="J47" s="433">
        <x:f>+E47-F47</x:f>
      </x:c>
      <x:c r="K47" s="468">
        <x:f>+I47-D47</x:f>
      </x:c>
      <x:c r="L47" s="503">
        <x:v>0.035</x:v>
      </x:c>
      <x:c r="M47" s="504">
        <x:f>+J47*L47</x:f>
      </x:c>
    </x:row>
    <x:row r="48" spans="1:30" ht="15" customHeight="1" x14ac:dyDescent="0.25">
      <x:c r="A48" s="461" t="s">
        <x:v>52</x:v>
      </x:c>
      <x:c r="B48" s="505" t="s">
        <x:v>53</x:v>
      </x:c>
      <x:c r="C48" s="463" t="s">
        <x:v>175</x:v>
      </x:c>
      <x:c r="D48" s="464">
        <x:v>45336</x:v>
      </x:c>
      <x:c r="E48" s="465">
        <x:v>626.4</x:v>
      </x:c>
      <x:c r="F48" s="465">
        <x:v>156.6</x:v>
      </x:c>
      <x:c r="G48" s="466">
        <x:v>526.18</x:v>
      </x:c>
      <x:c r="H48" s="465">
        <x:v>56.38</x:v>
      </x:c>
      <x:c r="I48" s="467">
        <x:v>45344</x:v>
      </x:c>
      <x:c r="J48" s="433">
        <x:f>+E48-F48</x:f>
      </x:c>
      <x:c r="K48" s="468">
        <x:f>+I48-D48</x:f>
      </x:c>
      <x:c r="L48" s="503">
        <x:v>0.035</x:v>
      </x:c>
      <x:c r="M48" s="504">
        <x:f>+J48*L48</x:f>
      </x:c>
    </x:row>
    <x:row r="49" spans="1:30" ht="15" customHeight="1" x14ac:dyDescent="0.25">
      <x:c r="A49" s="461" t="s">
        <x:v>176</x:v>
      </x:c>
      <x:c r="B49" s="505" t="s">
        <x:v>177</x:v>
      </x:c>
      <x:c r="C49" s="463" t="s">
        <x:v>178</x:v>
      </x:c>
      <x:c r="D49" s="464">
        <x:v>45348</x:v>
      </x:c>
      <x:c r="E49" s="465">
        <x:v>183.6</x:v>
      </x:c>
      <x:c r="F49" s="465">
        <x:v>27.54</x:v>
      </x:c>
      <x:c r="G49" s="466">
        <x:f>174.79</x:f>
      </x:c>
      <x:c r="H49" s="465">
        <x:v>18.73</x:v>
      </x:c>
      <x:c r="I49" s="467">
        <x:v>45349</x:v>
      </x:c>
      <x:c r="J49" s="433">
        <x:f>+E49-F49</x:f>
      </x:c>
      <x:c r="K49" s="468">
        <x:f>+I49-D49</x:f>
      </x:c>
      <x:c r="L49" s="503">
        <x:v>0.04</x:v>
      </x:c>
      <x:c r="M49" s="504">
        <x:f>+J49*L49</x:f>
      </x:c>
    </x:row>
    <x:row r="50" spans="1:30" ht="15" customHeight="1" x14ac:dyDescent="0.25">
      <x:c r="A50" s="461"/>
      <x:c r="B50" s="507"/>
      <x:c r="C50" s="463"/>
      <x:c r="D50" s="464"/>
      <x:c r="E50" s="465"/>
      <x:c r="F50" s="465"/>
      <x:c r="G50" s="466"/>
      <x:c r="H50" s="465"/>
      <x:c r="I50" s="492"/>
      <x:c r="J50" s="433"/>
      <x:c r="K50" s="468"/>
      <x:c r="L50" s="503"/>
      <x:c r="M50" s="504"/>
    </x:row>
    <x:row r="51" spans="1:30" ht="15" customHeight="1" x14ac:dyDescent="0.3">
      <x:c r="A51" s="508"/>
      <x:c r="B51" s="509"/>
      <x:c r="C51" s="509"/>
      <x:c r="D51" s="510"/>
      <x:c r="E51" s="511"/>
      <x:c r="F51" s="511"/>
      <x:c r="G51" s="512"/>
      <x:c r="H51" s="513"/>
      <x:c r="I51" s="514"/>
      <x:c r="J51" s="433"/>
      <x:c r="K51" s="468"/>
      <x:c r="L51" s="503"/>
      <x:c r="M51" s="504"/>
      <x:c r="O51" s="515"/>
      <x:c r="P51" s="435"/>
      <x:c r="Q51" s="435"/>
    </x:row>
    <x:row r="52" spans="1:30" ht="15" customHeight="1" x14ac:dyDescent="0.3">
      <x:c r="G52" s="516">
        <x:f>SUM(G28:G51)</x:f>
      </x:c>
      <x:c r="J52" s="516">
        <x:f>SUM(J28:J51)</x:f>
      </x:c>
      <x:c r="M52" s="516">
        <x:f>SUM(M28:M51)</x:f>
      </x:c>
    </x:row>
    <x:row r="53" spans="1:30" ht="15" customHeight="1" x14ac:dyDescent="0.25">
      <x:c r="G53" s="435"/>
      <x:c r="H53" s="435"/>
    </x:row>
    <x:row r="54" spans="1:30" ht="15" customHeight="1" x14ac:dyDescent="0.25">
      <x:c r="A54" s="517" t="s">
        <x:v>30</x:v>
      </x:c>
      <x:c r="B54" s="517" t="s">
        <x:v>31</x:v>
      </x:c>
      <x:c r="C54" s="518" t="s">
        <x:v>32</x:v>
      </x:c>
      <x:c r="I54" s="435"/>
      <x:c r="J54" s="435"/>
    </x:row>
    <x:row r="55" spans="1:30" ht="15" customHeight="1" s="434" customFormat="1" x14ac:dyDescent="0.25">
      <x:c r="A55" s="486" t="s">
        <x:v>179</x:v>
      </x:c>
      <x:c r="B55" s="487" t="s">
        <x:v>180</x:v>
      </x:c>
      <x:c r="C55" s="488" t="s">
        <x:v>181</x:v>
      </x:c>
      <x:c r="D55" s="489">
        <x:v>45266</x:v>
      </x:c>
      <x:c r="E55" s="490">
        <x:v>1133.52</x:v>
      </x:c>
      <x:c r="F55" s="490">
        <x:v>170.02</x:v>
      </x:c>
      <x:c r="G55" s="491">
        <x:v>1034.79</x:v>
      </x:c>
      <x:c r="H55" s="490">
        <x:v>115.62</x:v>
      </x:c>
      <x:c r="I55" s="492">
        <x:v>45415</x:v>
      </x:c>
      <x:c r="J55" s="433">
        <x:f>+E55-F55</x:f>
      </x:c>
      <x:c r="K55" s="468">
        <x:f>+I55-D55</x:f>
      </x:c>
      <x:c r="L55" s="469">
        <x:v>0.03</x:v>
      </x:c>
      <x:c r="M55" s="433">
        <x:f>+J55*L55</x:f>
      </x:c>
      <x:c r="N55" s="470"/>
    </x:row>
    <x:row r="56" spans="1:30" ht="15" customHeight="1" s="434" customFormat="1" x14ac:dyDescent="0.25">
      <x:c r="A56" s="486" t="s">
        <x:v>179</x:v>
      </x:c>
      <x:c r="B56" s="487" t="s">
        <x:v>180</x:v>
      </x:c>
      <x:c r="C56" s="488" t="s">
        <x:v>182</x:v>
      </x:c>
      <x:c r="D56" s="489">
        <x:v>45272</x:v>
      </x:c>
      <x:c r="E56" s="490">
        <x:v>132</x:v>
      </x:c>
      <x:c r="F56" s="490">
        <x:v>19.8</x:v>
      </x:c>
      <x:c r="G56" s="491">
        <x:v>120.5</x:v>
      </x:c>
      <x:c r="H56" s="490">
        <x:v>13.46</x:v>
      </x:c>
      <x:c r="I56" s="492">
        <x:v>45415</x:v>
      </x:c>
      <x:c r="J56" s="433">
        <x:f>+E56-F56</x:f>
      </x:c>
      <x:c r="K56" s="468">
        <x:f>+I56-D56</x:f>
      </x:c>
      <x:c r="L56" s="469">
        <x:v>0.03</x:v>
      </x:c>
      <x:c r="M56" s="433">
        <x:f>+J56*L56</x:f>
      </x:c>
      <x:c r="N56" s="470"/>
    </x:row>
    <x:row r="57" spans="1:30" ht="15" customHeight="1" s="434" customFormat="1" x14ac:dyDescent="0.25">
      <x:c r="A57" s="486" t="s">
        <x:v>67</x:v>
      </x:c>
      <x:c r="B57" s="487" t="s">
        <x:v>183</x:v>
      </x:c>
      <x:c r="C57" s="488" t="s">
        <x:v>184</x:v>
      </x:c>
      <x:c r="D57" s="489">
        <x:v>45310</x:v>
      </x:c>
      <x:c r="E57" s="490">
        <x:v>404.4</x:v>
      </x:c>
      <x:c r="F57" s="490">
        <x:v>68.75</x:v>
      </x:c>
      <x:c r="G57" s="491">
        <x:v>375.93</x:v>
      </x:c>
      <x:c r="H57" s="490">
        <x:v>40.28</x:v>
      </x:c>
      <x:c r="I57" s="492">
        <x:v>45370</x:v>
      </x:c>
      <x:c r="J57" s="433">
        <x:f>+E57-F57</x:f>
      </x:c>
      <x:c r="K57" s="468">
        <x:f>+I57-D57</x:f>
      </x:c>
      <x:c r="L57" s="469">
        <x:v>0.03</x:v>
      </x:c>
      <x:c r="M57" s="433">
        <x:f>+J57*L57</x:f>
      </x:c>
      <x:c r="N57" s="470"/>
    </x:row>
    <x:row r="58" spans="1:30" ht="15" customHeight="1" s="434" customFormat="1" x14ac:dyDescent="0.25">
      <x:c r="A58" s="486" t="s">
        <x:v>101</x:v>
      </x:c>
      <x:c r="B58" s="487" t="s">
        <x:v>185</x:v>
      </x:c>
      <x:c r="C58" s="488" t="s">
        <x:v>186</x:v>
      </x:c>
      <x:c r="D58" s="489">
        <x:v>45323</x:v>
      </x:c>
      <x:c r="E58" s="490">
        <x:v>121.68</x:v>
      </x:c>
      <x:c r="F58" s="490">
        <x:v>18.25</x:v>
      </x:c>
      <x:c r="G58" s="491">
        <x:v>111.09</x:v>
      </x:c>
      <x:c r="H58" s="490">
        <x:v>12.41</x:v>
      </x:c>
      <x:c r="I58" s="492">
        <x:v>45354</x:v>
      </x:c>
      <x:c r="J58" s="433">
        <x:f>+E58-F58</x:f>
      </x:c>
      <x:c r="K58" s="468">
        <x:f>+I58-D58</x:f>
      </x:c>
      <x:c r="L58" s="469">
        <x:v>0.03</x:v>
      </x:c>
      <x:c r="M58" s="433">
        <x:f>+J58*L58</x:f>
      </x:c>
      <x:c r="N58" s="470"/>
    </x:row>
    <x:row r="59" spans="1:30" ht="15" customHeight="1" s="434" customFormat="1" x14ac:dyDescent="0.25">
      <x:c r="A59" s="486" t="s">
        <x:v>101</x:v>
      </x:c>
      <x:c r="B59" s="487" t="s">
        <x:v>187</x:v>
      </x:c>
      <x:c r="C59" s="488" t="s">
        <x:v>188</x:v>
      </x:c>
      <x:c r="D59" s="489">
        <x:v>45327</x:v>
      </x:c>
      <x:c r="E59" s="490">
        <x:v>241.32</x:v>
      </x:c>
      <x:c r="F59" s="490">
        <x:v>36.2</x:v>
      </x:c>
      <x:c r="G59" s="491">
        <x:v>220.3</x:v>
      </x:c>
      <x:c r="H59" s="490">
        <x:v>24.61</x:v>
      </x:c>
      <x:c r="I59" s="492">
        <x:v>45357</x:v>
      </x:c>
      <x:c r="J59" s="433">
        <x:f>+E59-F59</x:f>
      </x:c>
      <x:c r="K59" s="468">
        <x:f>+I59-D59</x:f>
      </x:c>
      <x:c r="L59" s="469">
        <x:v>0.03</x:v>
      </x:c>
      <x:c r="M59" s="433">
        <x:f>+J59*L59</x:f>
      </x:c>
      <x:c r="N59" s="470"/>
    </x:row>
    <x:row r="60" spans="1:30" ht="15" customHeight="1" s="434" customFormat="1" x14ac:dyDescent="0.25">
      <x:c r="A60" s="486" t="s">
        <x:v>75</x:v>
      </x:c>
      <x:c r="B60" s="487" t="s">
        <x:v>189</x:v>
      </x:c>
      <x:c r="C60" s="488" t="s">
        <x:v>190</x:v>
      </x:c>
      <x:c r="D60" s="489">
        <x:v>45329</x:v>
      </x:c>
      <x:c r="E60" s="490">
        <x:v>110.88</x:v>
      </x:c>
      <x:c r="F60" s="490">
        <x:v>16.63</x:v>
      </x:c>
      <x:c r="G60" s="491">
        <x:v>105.56</x:v>
      </x:c>
      <x:c r="H60" s="490">
        <x:v>11.31</x:v>
      </x:c>
      <x:c r="I60" s="492">
        <x:v>45363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  <x:c r="N60" s="470"/>
    </x:row>
    <x:row r="61" spans="1:30" ht="15" customHeight="1" s="434" customFormat="1" x14ac:dyDescent="0.25">
      <x:c r="A61" s="486" t="s">
        <x:v>118</x:v>
      </x:c>
      <x:c r="B61" s="487" t="s">
        <x:v>191</x:v>
      </x:c>
      <x:c r="C61" s="488" t="s">
        <x:v>192</x:v>
      </x:c>
      <x:c r="D61" s="489">
        <x:v>45337</x:v>
      </x:c>
      <x:c r="E61" s="490">
        <x:v>1025.64</x:v>
      </x:c>
      <x:c r="F61" s="490">
        <x:v>205.13</x:v>
      </x:c>
      <x:c r="G61" s="491">
        <x:v>881.22</x:v>
      </x:c>
      <x:c r="H61" s="490">
        <x:v>98.46</x:v>
      </x:c>
      <x:c r="I61" s="492">
        <x:v>45367</x:v>
      </x:c>
      <x:c r="J61" s="433">
        <x:f>+E61-F61</x:f>
      </x:c>
      <x:c r="K61" s="468">
        <x:f>+I61-D61</x:f>
      </x:c>
      <x:c r="L61" s="469">
        <x:v>0.03</x:v>
      </x:c>
      <x:c r="M61" s="433">
        <x:f>+J61*L61</x:f>
      </x:c>
      <x:c r="N61" s="470"/>
    </x:row>
    <x:row r="62" spans="1:30" ht="15" customHeight="1" s="434" customFormat="1" x14ac:dyDescent="0.25">
      <x:c r="A62" s="486" t="s">
        <x:v>101</x:v>
      </x:c>
      <x:c r="B62" s="487" t="s">
        <x:v>193</x:v>
      </x:c>
      <x:c r="C62" s="488" t="s">
        <x:v>194</x:v>
      </x:c>
      <x:c r="D62" s="489">
        <x:v>45344</x:v>
      </x:c>
      <x:c r="E62" s="490">
        <x:v>305.28</x:v>
      </x:c>
      <x:c r="F62" s="490">
        <x:v>45.79</x:v>
      </x:c>
      <x:c r="G62" s="491">
        <x:v>278.7</x:v>
      </x:c>
      <x:c r="H62" s="490">
        <x:v>31.14</x:v>
      </x:c>
      <x:c r="I62" s="492">
        <x:v>45375</x:v>
      </x:c>
      <x:c r="J62" s="433">
        <x:f>+E62-F62</x:f>
      </x:c>
      <x:c r="K62" s="468">
        <x:f>+I62-D62</x:f>
      </x:c>
      <x:c r="L62" s="469">
        <x:v>0.03</x:v>
      </x:c>
      <x:c r="M62" s="433">
        <x:f>+J62*L62</x:f>
      </x:c>
      <x:c r="N62" s="470"/>
    </x:row>
    <x:row r="63" spans="1:30" ht="15" customHeight="1" s="434" customFormat="1" x14ac:dyDescent="0.25">
      <x:c r="A63" s="486" t="s">
        <x:v>195</x:v>
      </x:c>
      <x:c r="B63" s="487" t="s">
        <x:v>196</x:v>
      </x:c>
      <x:c r="C63" s="488" t="s">
        <x:v>197</x:v>
      </x:c>
      <x:c r="D63" s="489">
        <x:v>45351</x:v>
      </x:c>
      <x:c r="E63" s="490">
        <x:v>43.2</x:v>
      </x:c>
      <x:c r="F63" s="490">
        <x:v>5.2</x:v>
      </x:c>
      <x:c r="G63" s="491">
        <x:v>42.56</x:v>
      </x:c>
      <x:c r="H63" s="490">
        <x:v>4.56</x:v>
      </x:c>
      <x:c r="I63" s="492">
        <x:v>45366</x:v>
      </x:c>
      <x:c r="J63" s="433">
        <x:f>+E63-F63</x:f>
      </x:c>
      <x:c r="K63" s="468">
        <x:f>+I63-D63</x:f>
      </x:c>
      <x:c r="L63" s="469">
        <x:v>0.03</x:v>
      </x:c>
      <x:c r="M63" s="433">
        <x:f>+J63*L63</x:f>
      </x:c>
      <x:c r="N63" s="470"/>
    </x:row>
    <x:row r="64" spans="1:30" ht="15" customHeight="1" s="434" customFormat="1" x14ac:dyDescent="0.3">
      <x:c r="A64" s="471"/>
      <x:c r="B64" s="472"/>
      <x:c r="C64" s="472"/>
      <x:c r="D64" s="473"/>
      <x:c r="E64" s="474"/>
      <x:c r="F64" s="474"/>
      <x:c r="G64" s="475"/>
      <x:c r="H64" s="476"/>
      <x:c r="I64" s="477"/>
      <x:c r="J64" s="433"/>
      <x:c r="K64" s="468"/>
      <x:c r="L64" s="469"/>
      <x:c r="M64" s="433"/>
      <x:c r="N64" s="470"/>
    </x:row>
    <x:row r="65" spans="1:30" ht="15" customHeight="1" x14ac:dyDescent="0.35">
      <x:c r="A65" s="493" t="s">
        <x:v>43</x:v>
      </x:c>
      <x:c r="B65" s="493"/>
      <x:c r="C65" s="493"/>
      <x:c r="D65" s="493"/>
      <x:c r="E65" s="493"/>
      <x:c r="F65" s="493"/>
      <x:c r="G65" s="516">
        <x:f>SUM(G52:G64)</x:f>
      </x:c>
      <x:c r="J65" s="516">
        <x:f>SUM(J52:J64)</x:f>
      </x:c>
      <x:c r="L65" s="495"/>
      <x:c r="M65" s="519">
        <x:f>SUM(M52:M64)</x:f>
      </x:c>
    </x:row>
    <x:row r="66" spans="1:30" ht="15" customHeight="1" x14ac:dyDescent="0.3">
      <x:c r="A66" s="520"/>
      <x:c r="G66" s="435"/>
    </x:row>
    <x:row r="67" spans="1:30" ht="15" customHeight="1" x14ac:dyDescent="0.3">
      <x:c r="A67" s="499"/>
      <x:c r="G67" s="435"/>
      <x:c r="J67" s="435"/>
    </x:row>
    <x:row r="68" spans="1:30" ht="15" customHeight="1" x14ac:dyDescent="0.3">
      <x:c r="A68" s="499"/>
      <x:c r="G68" s="435"/>
      <x:c r="J68" s="435"/>
    </x:row>
    <x:row r="69" spans="1:30" ht="15" customHeight="1" x14ac:dyDescent="0.3">
      <x:c r="A69" s="499"/>
      <x:c r="G69" s="435"/>
      <x:c r="J69" s="435"/>
    </x:row>
    <x:row r="70" spans="1:30" ht="15" customHeight="1" x14ac:dyDescent="0.3">
      <x:c r="A70" s="499"/>
      <x:c r="G70" s="435"/>
      <x:c r="J70" s="435">
        <x:f>J18+J65</x:f>
      </x:c>
    </x:row>
    <x:row r="71" spans="1:30" ht="15" customHeight="1" x14ac:dyDescent="0.3">
      <x:c r="A71" s="499"/>
      <x:c r="G71" s="435"/>
      <x:c r="J71" s="435">
        <x:f>J70*2%</x:f>
      </x:c>
    </x:row>
    <x:row r="72" spans="1:30" ht="15" customHeight="1" x14ac:dyDescent="0.3">
      <x:c r="A72" s="499"/>
      <x:c r="G72" s="435"/>
      <x:c r="J72" s="435"/>
      <x:c r="M72" s="435"/>
    </x:row>
    <x:row r="73" spans="1:30" ht="15" customHeight="1" x14ac:dyDescent="0.3">
      <x:c r="A73" s="499"/>
      <x:c r="G73" s="435"/>
      <x:c r="J73" s="435"/>
    </x:row>
    <x:row r="74" spans="1:30" ht="15" customHeight="1" x14ac:dyDescent="0.3">
      <x:c r="A74" s="499"/>
      <x:c r="G74" s="435"/>
      <x:c r="J74" s="435"/>
    </x:row>
    <x:row r="75" spans="1:30" ht="15" customHeight="1" x14ac:dyDescent="0.3">
      <x:c r="A75" s="499"/>
      <x:c r="G75" s="435"/>
      <x:c r="J75" s="435"/>
    </x:row>
    <x:row r="76" spans="1:30" ht="15" customHeight="1" x14ac:dyDescent="0.3">
      <x:c r="A76" s="499"/>
      <x:c r="G76" s="435"/>
      <x:c r="J76" s="435"/>
    </x:row>
    <x:row r="77" spans="1:30" ht="15" customHeight="1" x14ac:dyDescent="0.3">
      <x:c r="A77" s="499"/>
      <x:c r="G77" s="435"/>
      <x:c r="J77" s="435"/>
    </x:row>
    <x:row r="78" spans="1:30" ht="15" customHeight="1" x14ac:dyDescent="0.3">
      <x:c r="A78" s="520"/>
      <x:c r="K78" s="515"/>
    </x:row>
  </x:sheetData>
  <x:sortState xmlns:xlrd2="http://schemas.microsoft.com/office/spreadsheetml/2017/richdata2" ref="A30:AD49">
    <x:sortCondition ref="D30:D49"/>
  </x:sortState>
  <x:mergeCells count="7">
    <x:mergeCell ref="A2:F2"/>
    <x:mergeCell ref="A3:F3"/>
    <x:mergeCell ref="A11:F11"/>
    <x:mergeCell ref="A18:F18"/>
    <x:mergeCell ref="A22:F22"/>
    <x:mergeCell ref="A23:F23"/>
    <x:mergeCell ref="A65:F65"/>
  </x:mergeCells>
  <x:printOptions horizontalCentered="0" verticalCentered="0" headings="0" gridLines="0"/>
  <x:pageMargins left="0.1968503937007874" right="0" top="0.3937007874015748" bottom="0" header="0" footer="0"/>
  <x:pageSetup paperSize="9" scale="85" pageOrder="downThenOver" orientation="landscape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D77"/>
  <x:sheetViews>
    <x:sheetView topLeftCell="H58" workbookViewId="0">
      <x:selection activeCell="J73" sqref="J73"/>
    </x:sheetView>
  </x:sheetViews>
  <x:sheetFormatPr baseColWidth="10" defaultColWidth="11.441406" defaultRowHeight="13.2" x14ac:dyDescent="0.25"/>
  <x:cols>
    <x:col min="1" max="1" width="25.109375" style="429" customWidth="1"/>
    <x:col min="2" max="2" width="32.886719" style="429" customWidth="1"/>
    <x:col min="3" max="3" width="10.886719" style="429" customWidth="1"/>
    <x:col min="4" max="4" width="10.886719" style="430" customWidth="1"/>
    <x:col min="5" max="5" width="11.441406" style="429" customWidth="1"/>
    <x:col min="6" max="6" width="8.554688" style="429" customWidth="1"/>
    <x:col min="7" max="7" width="12.554688" style="429" customWidth="1"/>
    <x:col min="8" max="8" width="8.332031" style="429" customWidth="1"/>
    <x:col min="9" max="9" width="13.664062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17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198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2" customFormat="1" x14ac:dyDescent="0.25">
      <x:c r="A8" s="461" t="s">
        <x:v>88</x:v>
      </x:c>
      <x:c r="B8" s="462" t="s">
        <x:v>26</x:v>
      </x:c>
      <x:c r="C8" s="463" t="s">
        <x:v>199</x:v>
      </x:c>
      <x:c r="D8" s="464">
        <x:v>45280</x:v>
      </x:c>
      <x:c r="E8" s="465">
        <x:v>712.8</x:v>
      </x:c>
      <x:c r="F8" s="465">
        <x:v>106.92</x:v>
      </x:c>
      <x:c r="G8" s="466">
        <x:v>650.72</x:v>
      </x:c>
      <x:c r="H8" s="465">
        <x:v>72.71</x:v>
      </x:c>
      <x:c r="I8" s="492">
        <x:v>45363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</x:row>
    <x:row r="9" spans="1:30" ht="15" customHeight="1" s="432" customFormat="1" x14ac:dyDescent="0.25">
      <x:c r="A9" s="461" t="s">
        <x:v>25</x:v>
      </x:c>
      <x:c r="B9" s="506" t="s">
        <x:v>26</x:v>
      </x:c>
      <x:c r="C9" s="463" t="s">
        <x:v>200</x:v>
      </x:c>
      <x:c r="D9" s="464">
        <x:v>45299</x:v>
      </x:c>
      <x:c r="E9" s="465">
        <x:v>626.4</x:v>
      </x:c>
      <x:c r="F9" s="465">
        <x:v>156.6</x:v>
      </x:c>
      <x:c r="G9" s="466">
        <x:v>504.57</x:v>
      </x:c>
      <x:c r="H9" s="465">
        <x:v>56.38</x:v>
      </x:c>
      <x:c r="I9" s="492">
        <x:v>45355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</x:row>
    <x:row r="10" spans="1:30" ht="15" customHeight="1" s="432" customFormat="1" x14ac:dyDescent="0.25">
      <x:c r="A10" s="461" t="s">
        <x:v>25</x:v>
      </x:c>
      <x:c r="B10" s="506" t="s">
        <x:v>26</x:v>
      </x:c>
      <x:c r="C10" s="463" t="s">
        <x:v>201</x:v>
      </x:c>
      <x:c r="D10" s="464">
        <x:v>45308</x:v>
      </x:c>
      <x:c r="E10" s="465">
        <x:v>540</x:v>
      </x:c>
      <x:c r="F10" s="465">
        <x:v>108</x:v>
      </x:c>
      <x:c r="G10" s="466">
        <x:v>463.97</x:v>
      </x:c>
      <x:c r="H10" s="465">
        <x:v>51.84</x:v>
      </x:c>
      <x:c r="I10" s="492">
        <x:v>45355</x:v>
      </x:c>
      <x:c r="J10" s="433">
        <x:f>+E10-F10</x:f>
      </x:c>
      <x:c r="K10" s="468">
        <x:f>+I10-D10</x:f>
      </x:c>
      <x:c r="L10" s="469">
        <x:v>0.03</x:v>
      </x:c>
      <x:c r="M10" s="433">
        <x:f>+J10*L10</x:f>
      </x:c>
      <x:c r="N10" s="470"/>
    </x:row>
    <x:row r="11" spans="1:30" ht="15" customHeight="1" s="432" customFormat="1" x14ac:dyDescent="0.25">
      <x:c r="A11" s="461" t="s">
        <x:v>33</x:v>
      </x:c>
      <x:c r="B11" s="506" t="s">
        <x:v>26</x:v>
      </x:c>
      <x:c r="C11" s="463" t="s">
        <x:v>202</x:v>
      </x:c>
      <x:c r="D11" s="464">
        <x:v>45330</x:v>
      </x:c>
      <x:c r="E11" s="465">
        <x:v>64.44</x:v>
      </x:c>
      <x:c r="F11" s="465">
        <x:v>9.67</x:v>
      </x:c>
      <x:c r="G11" s="466">
        <x:v>58.82</x:v>
      </x:c>
      <x:c r="H11" s="465">
        <x:v>6.57</x:v>
      </x:c>
      <x:c r="I11" s="467">
        <x:v>45374</x:v>
      </x:c>
      <x:c r="J11" s="433">
        <x:f>+E11-F11</x:f>
      </x:c>
      <x:c r="K11" s="468">
        <x:f>+I11-D11</x:f>
      </x:c>
      <x:c r="L11" s="469">
        <x:v>0.03</x:v>
      </x:c>
      <x:c r="M11" s="433">
        <x:f>+J11*L11</x:f>
      </x:c>
      <x:c r="N11" s="470"/>
    </x:row>
    <x:row r="12" spans="1:30" ht="15" customHeight="1" s="432" customFormat="1" x14ac:dyDescent="0.25">
      <x:c r="A12" s="461" t="s">
        <x:v>25</x:v>
      </x:c>
      <x:c r="B12" s="506" t="s">
        <x:v>26</x:v>
      </x:c>
      <x:c r="C12" s="463" t="s">
        <x:v>203</x:v>
      </x:c>
      <x:c r="D12" s="464">
        <x:v>45337</x:v>
      </x:c>
      <x:c r="E12" s="465">
        <x:v>810</x:v>
      </x:c>
      <x:c r="F12" s="465">
        <x:v>162</x:v>
      </x:c>
      <x:c r="G12" s="466">
        <x:v>695.95</x:v>
      </x:c>
      <x:c r="H12" s="465">
        <x:v>77.76</x:v>
      </x:c>
      <x:c r="I12" s="467">
        <x:v>45379</x:v>
      </x:c>
      <x:c r="J12" s="433">
        <x:f>+E12-F12</x:f>
      </x:c>
      <x:c r="K12" s="468">
        <x:f>+I12-D12</x:f>
      </x:c>
      <x:c r="L12" s="469">
        <x:v>0.03</x:v>
      </x:c>
      <x:c r="M12" s="433">
        <x:f>+J12*L12</x:f>
      </x:c>
      <x:c r="N12" s="470"/>
    </x:row>
    <x:row r="13" spans="1:30" ht="15" customHeight="1" s="432" customFormat="1" x14ac:dyDescent="0.25">
      <x:c r="A13" s="461" t="s">
        <x:v>25</x:v>
      </x:c>
      <x:c r="B13" s="506" t="s">
        <x:v>26</x:v>
      </x:c>
      <x:c r="C13" s="463" t="s">
        <x:v>204</x:v>
      </x:c>
      <x:c r="D13" s="464">
        <x:v>45344</x:v>
      </x:c>
      <x:c r="E13" s="465">
        <x:v>86.4</x:v>
      </x:c>
      <x:c r="F13" s="465">
        <x:v>17.28</x:v>
      </x:c>
      <x:c r="G13" s="466">
        <x:v>74.23</x:v>
      </x:c>
      <x:c r="H13" s="465">
        <x:v>8.29</x:v>
      </x:c>
      <x:c r="I13" s="467">
        <x:v>45379</x:v>
      </x:c>
      <x:c r="J13" s="433">
        <x:f>+E13-F13</x:f>
      </x:c>
      <x:c r="K13" s="468">
        <x:f>+I13-D13</x:f>
      </x:c>
      <x:c r="L13" s="469">
        <x:v>0.03</x:v>
      </x:c>
      <x:c r="M13" s="433">
        <x:f>+J13*L13</x:f>
      </x:c>
      <x:c r="N13" s="470"/>
    </x:row>
    <x:row r="14" spans="1:30" ht="15" customHeight="1" s="432" customFormat="1" x14ac:dyDescent="0.25">
      <x:c r="A14" s="461" t="s">
        <x:v>205</x:v>
      </x:c>
      <x:c r="B14" s="506" t="s">
        <x:v>26</x:v>
      </x:c>
      <x:c r="C14" s="463" t="s">
        <x:v>206</x:v>
      </x:c>
      <x:c r="D14" s="464">
        <x:v>45363</x:v>
      </x:c>
      <x:c r="E14" s="465">
        <x:v>64.8</x:v>
      </x:c>
      <x:c r="F14" s="465">
        <x:v>0</x:v>
      </x:c>
      <x:c r="G14" s="466">
        <x:v>72.58</x:v>
      </x:c>
      <x:c r="H14" s="465">
        <x:v>7.78</x:v>
      </x:c>
      <x:c r="I14" s="467">
        <x:v>45365</x:v>
      </x:c>
      <x:c r="J14" s="433">
        <x:f>+E14-F14</x:f>
      </x:c>
      <x:c r="K14" s="468">
        <x:f>+I14-D14</x:f>
      </x:c>
      <x:c r="L14" s="469">
        <x:v>0.04</x:v>
      </x:c>
      <x:c r="M14" s="433">
        <x:f>+J14*L14</x:f>
      </x:c>
      <x:c r="N14" s="470"/>
    </x:row>
    <x:row r="15" spans="1:30" ht="15" customHeight="1" s="432" customFormat="1" x14ac:dyDescent="0.25">
      <x:c r="A15" s="461"/>
      <x:c r="B15" s="462"/>
      <x:c r="C15" s="463"/>
      <x:c r="D15" s="464"/>
      <x:c r="E15" s="465"/>
      <x:c r="F15" s="465"/>
      <x:c r="G15" s="466"/>
      <x:c r="H15" s="465"/>
      <x:c r="I15" s="467"/>
      <x:c r="J15" s="433"/>
      <x:c r="K15" s="468"/>
      <x:c r="L15" s="469"/>
      <x:c r="M15" s="433"/>
      <x:c r="N15" s="470"/>
    </x:row>
    <x:row r="16" spans="1:30" ht="15" customHeight="1" s="433" customFormat="1" x14ac:dyDescent="0.3">
      <x:c r="A16" s="471"/>
      <x:c r="B16" s="472"/>
      <x:c r="C16" s="472"/>
      <x:c r="D16" s="473"/>
      <x:c r="E16" s="474"/>
      <x:c r="F16" s="474"/>
      <x:c r="G16" s="475"/>
      <x:c r="H16" s="476"/>
      <x:c r="I16" s="477"/>
      <x:c r="K16" s="468"/>
      <x:c r="L16" s="469"/>
      <x:c r="N16" s="470"/>
      <x:c r="O16" s="432"/>
      <x:c r="P16" s="432"/>
      <x:c r="Q16" s="432"/>
      <x:c r="R16" s="432"/>
      <x:c r="S16" s="432"/>
      <x:c r="T16" s="432"/>
      <x:c r="U16" s="432"/>
      <x:c r="V16" s="432"/>
      <x:c r="W16" s="432"/>
      <x:c r="X16" s="432"/>
      <x:c r="Y16" s="432"/>
      <x:c r="Z16" s="432"/>
      <x:c r="AA16" s="432"/>
      <x:c r="AB16" s="432"/>
      <x:c r="AC16" s="432"/>
      <x:c r="AD16" s="432"/>
    </x:row>
    <x:row r="17" spans="1:30" ht="15" customHeight="1" s="434" customFormat="1" x14ac:dyDescent="0.25">
      <x:c r="A17" s="478"/>
      <x:c r="B17" s="478"/>
      <x:c r="C17" s="478"/>
      <x:c r="D17" s="478"/>
      <x:c r="E17" s="478"/>
      <x:c r="F17" s="478"/>
      <x:c r="G17" s="479">
        <x:f>SUM(G8:G16)</x:f>
      </x:c>
      <x:c r="H17" s="480"/>
      <x:c r="I17" s="481"/>
      <x:c r="J17" s="479">
        <x:f>SUM(J8:J16)</x:f>
      </x:c>
      <x:c r="K17" s="482"/>
      <x:c r="L17" s="482"/>
      <x:c r="M17" s="479">
        <x:f>SUM(M8:M16)</x:f>
      </x:c>
      <x:c r="N17" s="470"/>
    </x:row>
    <x:row r="18" spans="1:30" ht="15" customHeight="1" s="434" customFormat="1" x14ac:dyDescent="0.25">
      <x:c r="A18" s="483"/>
      <x:c r="B18" s="483"/>
      <x:c r="C18" s="483"/>
      <x:c r="D18" s="484"/>
      <x:c r="E18" s="483"/>
      <x:c r="F18" s="483"/>
      <x:c r="G18" s="432"/>
      <x:c r="I18" s="485"/>
      <x:c r="N18" s="470"/>
    </x:row>
    <x:row r="19" spans="1:30" ht="15" customHeight="1" s="434" customFormat="1" x14ac:dyDescent="0.25">
      <x:c r="A19" s="483"/>
      <x:c r="B19" s="483"/>
      <x:c r="C19" s="483"/>
      <x:c r="D19" s="484"/>
      <x:c r="E19" s="483"/>
      <x:c r="F19" s="483"/>
      <x:c r="G19" s="432"/>
      <x:c r="I19" s="485"/>
      <x:c r="J19" s="432"/>
      <x:c r="M19" s="432"/>
      <x:c r="N19" s="470"/>
    </x:row>
    <x:row r="20" spans="1:30" ht="15" customHeight="1" s="434" customFormat="1" x14ac:dyDescent="0.25">
      <x:c r="A20" s="434" t="s">
        <x:v>30</x:v>
      </x:c>
      <x:c r="B20" s="434" t="s">
        <x:v>31</x:v>
      </x:c>
      <x:c r="C20" s="483" t="s">
        <x:v>32</x:v>
      </x:c>
      <x:c r="D20" s="485"/>
      <x:c r="G20" s="432"/>
      <x:c r="I20" s="485"/>
      <x:c r="N20" s="470"/>
    </x:row>
    <x:row r="21" spans="1:30" ht="15" customHeight="1" s="432" customFormat="1" x14ac:dyDescent="0.25">
      <x:c r="A21" s="486" t="s">
        <x:v>36</x:v>
      </x:c>
      <x:c r="B21" s="487" t="s">
        <x:v>207</x:v>
      </x:c>
      <x:c r="C21" s="488" t="s">
        <x:v>208</x:v>
      </x:c>
      <x:c r="D21" s="489">
        <x:v>45323</x:v>
      </x:c>
      <x:c r="E21" s="490">
        <x:v>54</x:v>
      </x:c>
      <x:c r="F21" s="490">
        <x:v>13.5</x:v>
      </x:c>
      <x:c r="G21" s="491">
        <x:f>45.36-0.41-1.46</x:f>
      </x:c>
      <x:c r="H21" s="490">
        <x:v>4.86</x:v>
      </x:c>
      <x:c r="I21" s="492">
        <x:v>45412</x:v>
      </x:c>
      <x:c r="J21" s="433">
        <x:f>+E21-F21</x:f>
      </x:c>
      <x:c r="K21" s="468">
        <x:f>+I21-D21</x:f>
      </x:c>
      <x:c r="L21" s="469">
        <x:v>0.03</x:v>
      </x:c>
      <x:c r="M21" s="433">
        <x:f>+J21*L21</x:f>
      </x:c>
      <x:c r="N21" s="470"/>
    </x:row>
    <x:row r="22" spans="1:30" ht="15" customHeight="1" s="432" customFormat="1" x14ac:dyDescent="0.25">
      <x:c r="A22" s="486" t="s">
        <x:v>36</x:v>
      </x:c>
      <x:c r="B22" s="487" t="s">
        <x:v>207</x:v>
      </x:c>
      <x:c r="C22" s="488" t="s">
        <x:v>209</x:v>
      </x:c>
      <x:c r="D22" s="489">
        <x:v>45348</x:v>
      </x:c>
      <x:c r="E22" s="490">
        <x:v>140.4</x:v>
      </x:c>
      <x:c r="F22" s="490">
        <x:v>35.1</x:v>
      </x:c>
      <x:c r="G22" s="491">
        <x:f>117.94-1.05-3.79</x:f>
      </x:c>
      <x:c r="H22" s="490">
        <x:v>12.64</x:v>
      </x:c>
      <x:c r="I22" s="492">
        <x:v>45412</x:v>
      </x:c>
      <x:c r="J22" s="433">
        <x:f>+E22-F22</x:f>
      </x:c>
      <x:c r="K22" s="468">
        <x:f>+I22-D22</x:f>
      </x:c>
      <x:c r="L22" s="469">
        <x:v>0.03</x:v>
      </x:c>
      <x:c r="M22" s="433">
        <x:f>+J22*L22</x:f>
      </x:c>
      <x:c r="N22" s="470"/>
    </x:row>
    <x:row r="23" spans="1:30" ht="15" customHeight="1" s="432" customFormat="1" x14ac:dyDescent="0.25">
      <x:c r="A23" s="486" t="s">
        <x:v>36</x:v>
      </x:c>
      <x:c r="B23" s="487" t="s">
        <x:v>207</x:v>
      </x:c>
      <x:c r="C23" s="488" t="s">
        <x:v>210</x:v>
      </x:c>
      <x:c r="D23" s="489">
        <x:v>45363</x:v>
      </x:c>
      <x:c r="E23" s="490">
        <x:v>150.48</x:v>
      </x:c>
      <x:c r="F23" s="490">
        <x:v>37.62</x:v>
      </x:c>
      <x:c r="G23" s="491">
        <x:f>126.4-1.13-4.06</x:f>
      </x:c>
      <x:c r="H23" s="490">
        <x:v>13.54</x:v>
      </x:c>
      <x:c r="I23" s="492">
        <x:v>45412</x:v>
      </x:c>
      <x:c r="J23" s="433">
        <x:f>+E23-F23</x:f>
      </x:c>
      <x:c r="K23" s="468">
        <x:f>+I23-D23</x:f>
      </x:c>
      <x:c r="L23" s="469">
        <x:v>0.03</x:v>
      </x:c>
      <x:c r="M23" s="433">
        <x:f>+J23*L23</x:f>
      </x:c>
      <x:c r="N23" s="470"/>
    </x:row>
    <x:row r="24" spans="1:30" ht="15" customHeight="1" s="432" customFormat="1" x14ac:dyDescent="0.3">
      <x:c r="A24" s="486"/>
      <x:c r="B24" s="487"/>
      <x:c r="C24" s="488"/>
      <x:c r="D24" s="489"/>
      <x:c r="E24" s="490"/>
      <x:c r="F24" s="490"/>
      <x:c r="G24" s="491"/>
      <x:c r="H24" s="490"/>
      <x:c r="I24" s="492"/>
      <x:c r="J24" s="433"/>
      <x:c r="K24" s="468"/>
      <x:c r="L24" s="469"/>
      <x:c r="M24" s="433"/>
      <x:c r="N24" s="470"/>
    </x:row>
    <x:row r="25" spans="1:30" ht="15" customHeight="1" x14ac:dyDescent="0.35">
      <x:c r="A25" s="493" t="s">
        <x:v>43</x:v>
      </x:c>
      <x:c r="B25" s="493"/>
      <x:c r="C25" s="493"/>
      <x:c r="D25" s="493"/>
      <x:c r="E25" s="493"/>
      <x:c r="F25" s="493"/>
      <x:c r="G25" s="494">
        <x:f>SUM(G17:G24)</x:f>
      </x:c>
      <x:c r="J25" s="494">
        <x:f>SUM(J17:J24)</x:f>
      </x:c>
      <x:c r="L25" s="495"/>
      <x:c r="M25" s="496">
        <x:f>SUM(M17:M24)</x:f>
      </x:c>
    </x:row>
    <x:row r="26" spans="1:30" ht="15" customHeight="1" x14ac:dyDescent="0.25">
      <x:c r="A26" s="497"/>
      <x:c r="B26" s="497"/>
      <x:c r="C26" s="497"/>
      <x:c r="D26" s="498"/>
      <x:c r="E26" s="497"/>
      <x:c r="F26" s="497"/>
      <x:c r="G26" s="435"/>
      <x:c r="J26" s="435"/>
      <x:c r="M26" s="435"/>
    </x:row>
    <x:row r="27" spans="1:30" ht="15" customHeight="1" x14ac:dyDescent="0.3">
      <x:c r="A27" s="499"/>
      <x:c r="B27" s="497"/>
      <x:c r="C27" s="497"/>
      <x:c r="D27" s="498"/>
      <x:c r="E27" s="497"/>
      <x:c r="F27" s="497"/>
      <x:c r="G27" s="435"/>
      <x:c r="J27" s="435"/>
      <x:c r="M27" s="435"/>
    </x:row>
    <x:row r="28" spans="1:30" ht="15" customHeight="1" x14ac:dyDescent="0.25">
      <x:c r="A28" s="497"/>
      <x:c r="B28" s="497"/>
      <x:c r="C28" s="497"/>
      <x:c r="D28" s="498"/>
      <x:c r="E28" s="497"/>
      <x:c r="F28" s="497"/>
      <x:c r="G28" s="435"/>
      <x:c r="I28" s="500"/>
    </x:row>
    <x:row r="29" spans="1:30" ht="15" customHeight="1" x14ac:dyDescent="0.25">
      <x:c r="A29" s="436" t="s">
        <x:v>44</x:v>
      </x:c>
      <x:c r="B29" s="436"/>
      <x:c r="C29" s="436"/>
      <x:c r="D29" s="436"/>
      <x:c r="E29" s="436"/>
      <x:c r="F29" s="436"/>
      <x:c r="G29" s="437"/>
      <x:c r="H29" s="437"/>
      <x:c r="I29" s="439"/>
      <x:c r="J29" s="440"/>
      <x:c r="K29" s="441"/>
      <x:c r="L29" s="442"/>
      <x:c r="M29" s="443"/>
    </x:row>
    <x:row r="30" spans="1:30" ht="15" customHeight="1" x14ac:dyDescent="0.25">
      <x:c r="A30" s="436" t="s">
        <x:v>1</x:v>
      </x:c>
      <x:c r="B30" s="436"/>
      <x:c r="C30" s="436"/>
      <x:c r="D30" s="436"/>
      <x:c r="E30" s="436"/>
      <x:c r="F30" s="436"/>
      <x:c r="G30" s="437"/>
      <x:c r="H30" s="438"/>
      <x:c r="I30" s="439"/>
      <x:c r="J30" s="441"/>
      <x:c r="K30" s="441"/>
      <x:c r="L30" s="442"/>
      <x:c r="M30" s="443"/>
    </x:row>
    <x:row r="31" spans="1:30" ht="15" customHeight="1" x14ac:dyDescent="0.25">
      <x:c r="A31" s="436"/>
      <x:c r="B31" s="444" t="s">
        <x:v>198</x:v>
      </x:c>
      <x:c r="C31" s="436"/>
      <x:c r="D31" s="445"/>
      <x:c r="E31" s="436"/>
      <x:c r="F31" s="436"/>
      <x:c r="G31" s="437"/>
      <x:c r="H31" s="438"/>
      <x:c r="I31" s="439"/>
      <x:c r="J31" s="441"/>
      <x:c r="K31" s="441"/>
      <x:c r="L31" s="442"/>
      <x:c r="M31" s="443"/>
    </x:row>
    <x:row r="32" spans="1:30" ht="15" customHeight="1" x14ac:dyDescent="0.3">
      <x:c r="A32" s="436"/>
      <x:c r="B32" s="444" t="s">
        <x:v>45</x:v>
      </x:c>
      <x:c r="C32" s="436"/>
      <x:c r="D32" s="445"/>
      <x:c r="E32" s="436"/>
      <x:c r="F32" s="436"/>
      <x:c r="G32" s="443"/>
      <x:c r="H32" s="437"/>
      <x:c r="I32" s="446"/>
      <x:c r="J32" s="441"/>
      <x:c r="K32" s="441"/>
      <x:c r="L32" s="442"/>
      <x:c r="M32" s="443"/>
    </x:row>
    <x:row r="33" spans="1:30" ht="15" customHeight="1" x14ac:dyDescent="0.25">
      <x:c r="A33" s="447"/>
      <x:c r="B33" s="441"/>
      <x:c r="C33" s="441"/>
      <x:c r="D33" s="439"/>
      <x:c r="E33" s="441"/>
      <x:c r="F33" s="441"/>
      <x:c r="G33" s="448" t="s">
        <x:v>5</x:v>
      </x:c>
      <x:c r="H33" s="441"/>
      <x:c r="I33" s="439"/>
      <x:c r="J33" s="449" t="s">
        <x:v>6</x:v>
      </x:c>
      <x:c r="K33" s="450" t="s">
        <x:v>7</x:v>
      </x:c>
      <x:c r="L33" s="451" t="s">
        <x:v>8</x:v>
      </x:c>
      <x:c r="M33" s="449" t="s">
        <x:v>9</x:v>
      </x:c>
    </x:row>
    <x:row r="34" spans="1:30" ht="15" customHeight="1" x14ac:dyDescent="0.25">
      <x:c r="A34" s="452" t="s">
        <x:v>10</x:v>
      </x:c>
      <x:c r="B34" s="452" t="s">
        <x:v>11</x:v>
      </x:c>
      <x:c r="C34" s="452" t="s">
        <x:v>12</x:v>
      </x:c>
      <x:c r="D34" s="453" t="s">
        <x:v>13</x:v>
      </x:c>
      <x:c r="E34" s="452" t="s">
        <x:v>14</x:v>
      </x:c>
      <x:c r="F34" s="454" t="s">
        <x:v>15</x:v>
      </x:c>
      <x:c r="G34" s="501" t="s">
        <x:v>16</x:v>
      </x:c>
      <x:c r="H34" s="456" t="s">
        <x:v>17</x:v>
      </x:c>
      <x:c r="I34" s="457" t="s">
        <x:v>18</x:v>
      </x:c>
      <x:c r="J34" s="458" t="s">
        <x:v>19</x:v>
      </x:c>
      <x:c r="K34" s="459"/>
      <x:c r="L34" s="460" t="s">
        <x:v>20</x:v>
      </x:c>
      <x:c r="M34" s="458" t="s">
        <x:v>21</x:v>
      </x:c>
    </x:row>
    <x:row r="35" spans="1:30" ht="15" customHeight="1" x14ac:dyDescent="0.25">
      <x:c r="A35" s="461" t="s">
        <x:v>49</x:v>
      </x:c>
      <x:c r="B35" s="462" t="s">
        <x:v>26</x:v>
      </x:c>
      <x:c r="C35" s="463" t="s">
        <x:v>211</x:v>
      </x:c>
      <x:c r="D35" s="464">
        <x:v>45238</x:v>
      </x:c>
      <x:c r="E35" s="465">
        <x:v>32.4</x:v>
      </x:c>
      <x:c r="F35" s="465">
        <x:v>4.86</x:v>
      </x:c>
      <x:c r="G35" s="466">
        <x:v>29.57</x:v>
      </x:c>
      <x:c r="H35" s="465">
        <x:v>3.3</x:v>
      </x:c>
      <x:c r="I35" s="467">
        <x:v>45363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</x:row>
    <x:row r="36" spans="1:30" ht="15" customHeight="1" x14ac:dyDescent="0.25">
      <x:c r="A36" s="461" t="s">
        <x:v>49</x:v>
      </x:c>
      <x:c r="B36" s="462" t="s">
        <x:v>26</x:v>
      </x:c>
      <x:c r="C36" s="463" t="s">
        <x:v>212</x:v>
      </x:c>
      <x:c r="D36" s="464">
        <x:v>45251</x:v>
      </x:c>
      <x:c r="E36" s="465">
        <x:v>75.24</x:v>
      </x:c>
      <x:c r="F36" s="465">
        <x:v>11.29</x:v>
      </x:c>
      <x:c r="G36" s="466">
        <x:v>68.68</x:v>
      </x:c>
      <x:c r="H36" s="465">
        <x:v>7.67</x:v>
      </x:c>
      <x:c r="I36" s="467">
        <x:v>45363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</x:row>
    <x:row r="37" spans="1:30" ht="15" customHeight="1" x14ac:dyDescent="0.25">
      <x:c r="A37" s="461" t="s">
        <x:v>114</x:v>
      </x:c>
      <x:c r="B37" s="506" t="s">
        <x:v>26</x:v>
      </x:c>
      <x:c r="C37" s="463" t="s">
        <x:v>213</x:v>
      </x:c>
      <x:c r="D37" s="464">
        <x:v>45274</x:v>
      </x:c>
      <x:c r="E37" s="465">
        <x:v>823.08</x:v>
      </x:c>
      <x:c r="F37" s="465">
        <x:v>164.62</x:v>
      </x:c>
      <x:c r="G37" s="466">
        <x:v>707.19</x:v>
      </x:c>
      <x:c r="H37" s="465">
        <x:v>79.02</x:v>
      </x:c>
      <x:c r="I37" s="492">
        <x:v>45352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</x:row>
    <x:row r="38" spans="1:30" ht="15" customHeight="1" x14ac:dyDescent="0.25">
      <x:c r="A38" s="461" t="s">
        <x:v>49</x:v>
      </x:c>
      <x:c r="B38" s="506" t="s">
        <x:v>26</x:v>
      </x:c>
      <x:c r="C38" s="463" t="s">
        <x:v>214</x:v>
      </x:c>
      <x:c r="D38" s="464">
        <x:v>45279</x:v>
      </x:c>
      <x:c r="E38" s="465">
        <x:v>21.6</x:v>
      </x:c>
      <x:c r="F38" s="465">
        <x:v>3.24</x:v>
      </x:c>
      <x:c r="G38" s="466">
        <x:v>19.72</x:v>
      </x:c>
      <x:c r="H38" s="465">
        <x:v>2.2</x:v>
      </x:c>
      <x:c r="I38" s="492">
        <x:v>45363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</x:row>
    <x:row r="39" spans="1:30" ht="15" customHeight="1" x14ac:dyDescent="0.25">
      <x:c r="A39" s="461" t="s">
        <x:v>49</x:v>
      </x:c>
      <x:c r="B39" s="506" t="s">
        <x:v>26</x:v>
      </x:c>
      <x:c r="C39" s="463" t="s">
        <x:v>215</x:v>
      </x:c>
      <x:c r="D39" s="464">
        <x:v>45279</x:v>
      </x:c>
      <x:c r="E39" s="465">
        <x:v>70.2</x:v>
      </x:c>
      <x:c r="F39" s="465">
        <x:v>10.53</x:v>
      </x:c>
      <x:c r="G39" s="466">
        <x:v>64.08</x:v>
      </x:c>
      <x:c r="H39" s="465">
        <x:v>7.16</x:v>
      </x:c>
      <x:c r="I39" s="492">
        <x:v>45363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</x:row>
    <x:row r="40" spans="1:30" ht="15" customHeight="1" x14ac:dyDescent="0.25">
      <x:c r="A40" s="461" t="s">
        <x:v>49</x:v>
      </x:c>
      <x:c r="B40" s="506" t="s">
        <x:v>26</x:v>
      </x:c>
      <x:c r="C40" s="463" t="s">
        <x:v>216</x:v>
      </x:c>
      <x:c r="D40" s="464">
        <x:v>45282</x:v>
      </x:c>
      <x:c r="E40" s="465">
        <x:v>271.8</x:v>
      </x:c>
      <x:c r="F40" s="465">
        <x:v>40.77</x:v>
      </x:c>
      <x:c r="G40" s="466">
        <x:v>248.12</x:v>
      </x:c>
      <x:c r="H40" s="465">
        <x:v>27.72</x:v>
      </x:c>
      <x:c r="I40" s="492">
        <x:v>45363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</x:row>
    <x:row r="41" spans="1:30" ht="15" customHeight="1" x14ac:dyDescent="0.25">
      <x:c r="A41" s="461" t="s">
        <x:v>167</x:v>
      </x:c>
      <x:c r="B41" s="506" t="s">
        <x:v>26</x:v>
      </x:c>
      <x:c r="C41" s="463" t="s">
        <x:v>168</x:v>
      </x:c>
      <x:c r="D41" s="464">
        <x:v>45320</x:v>
      </x:c>
      <x:c r="E41" s="465">
        <x:v>97.2</x:v>
      </x:c>
      <x:c r="F41" s="465">
        <x:v>14.58</x:v>
      </x:c>
      <x:c r="G41" s="466">
        <x:v>26.26</x:v>
      </x:c>
      <x:c r="H41" s="465">
        <x:v>9.91</x:v>
      </x:c>
      <x:c r="I41" s="492">
        <x:v>45379</x:v>
      </x:c>
      <x:c r="J41" s="433">
        <x:f>26.26/1.12</x:f>
      </x:c>
      <x:c r="K41" s="468">
        <x:f>+I41-D41</x:f>
      </x:c>
      <x:c r="L41" s="503">
        <x:v>0.04</x:v>
      </x:c>
      <x:c r="M41" s="504">
        <x:f>+J41*L41</x:f>
      </x:c>
    </x:row>
    <x:row r="42" spans="1:30" ht="15" customHeight="1" x14ac:dyDescent="0.25">
      <x:c r="A42" s="486" t="s">
        <x:v>101</x:v>
      </x:c>
      <x:c r="B42" s="462" t="s">
        <x:v>26</x:v>
      </x:c>
      <x:c r="C42" s="488" t="s">
        <x:v>186</x:v>
      </x:c>
      <x:c r="D42" s="489">
        <x:v>45323</x:v>
      </x:c>
      <x:c r="E42" s="490">
        <x:v>121.68</x:v>
      </x:c>
      <x:c r="F42" s="490">
        <x:v>18.25</x:v>
      </x:c>
      <x:c r="G42" s="502">
        <x:v>111.09</x:v>
      </x:c>
      <x:c r="H42" s="490">
        <x:v>12.41</x:v>
      </x:c>
      <x:c r="I42" s="467">
        <x:v>45354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</x:row>
    <x:row r="43" spans="1:30" ht="15" customHeight="1" x14ac:dyDescent="0.25">
      <x:c r="A43" s="486" t="s">
        <x:v>75</x:v>
      </x:c>
      <x:c r="B43" s="462" t="s">
        <x:v>26</x:v>
      </x:c>
      <x:c r="C43" s="488" t="s">
        <x:v>190</x:v>
      </x:c>
      <x:c r="D43" s="489">
        <x:v>45329</x:v>
      </x:c>
      <x:c r="E43" s="490">
        <x:v>110.88</x:v>
      </x:c>
      <x:c r="F43" s="490">
        <x:v>16.63</x:v>
      </x:c>
      <x:c r="G43" s="502">
        <x:v>105.56</x:v>
      </x:c>
      <x:c r="H43" s="490">
        <x:v>11.31</x:v>
      </x:c>
      <x:c r="I43" s="467">
        <x:v>45363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</x:row>
    <x:row r="44" spans="1:30" ht="15" customHeight="1" x14ac:dyDescent="0.25">
      <x:c r="A44" s="461" t="s">
        <x:v>217</x:v>
      </x:c>
      <x:c r="B44" s="462" t="s">
        <x:v>53</x:v>
      </x:c>
      <x:c r="C44" s="463" t="s">
        <x:v>218</x:v>
      </x:c>
      <x:c r="D44" s="464">
        <x:v>45348</x:v>
      </x:c>
      <x:c r="E44" s="465">
        <x:v>1618.08</x:v>
      </x:c>
      <x:c r="F44" s="465">
        <x:v>404.52</x:v>
      </x:c>
      <x:c r="G44" s="466">
        <x:v>1303.36</x:v>
      </x:c>
      <x:c r="H44" s="465">
        <x:v>145.63</x:v>
      </x:c>
      <x:c r="I44" s="467">
        <x:v>45357</x:v>
      </x:c>
      <x:c r="J44" s="433">
        <x:f>+E44-F44</x:f>
      </x:c>
      <x:c r="K44" s="468">
        <x:f>+I44-D44</x:f>
      </x:c>
      <x:c r="L44" s="503">
        <x:v>0.035</x:v>
      </x:c>
      <x:c r="M44" s="504">
        <x:f>+J44*L44</x:f>
      </x:c>
    </x:row>
    <x:row r="45" spans="1:30" ht="15" customHeight="1" x14ac:dyDescent="0.25">
      <x:c r="A45" s="461" t="s">
        <x:v>127</x:v>
      </x:c>
      <x:c r="B45" s="462" t="s">
        <x:v>26</x:v>
      </x:c>
      <x:c r="C45" s="463" t="s">
        <x:v>219</x:v>
      </x:c>
      <x:c r="D45" s="464">
        <x:v>45348</x:v>
      </x:c>
      <x:c r="E45" s="465">
        <x:v>11.4</x:v>
      </x:c>
      <x:c r="F45" s="465">
        <x:v>1.37</x:v>
      </x:c>
      <x:c r="G45" s="466">
        <x:v>10.77</x:v>
      </x:c>
      <x:c r="H45" s="465">
        <x:v>1.2</x:v>
      </x:c>
      <x:c r="I45" s="467">
        <x:v>45352</x:v>
      </x:c>
      <x:c r="J45" s="433">
        <x:f>+E45-F45</x:f>
      </x:c>
      <x:c r="K45" s="468">
        <x:f>+I45-D45</x:f>
      </x:c>
      <x:c r="L45" s="503">
        <x:v>0.04</x:v>
      </x:c>
      <x:c r="M45" s="504">
        <x:f>+J45*L45</x:f>
      </x:c>
    </x:row>
    <x:row r="46" spans="1:30" ht="15" customHeight="1" x14ac:dyDescent="0.25">
      <x:c r="A46" s="486" t="s">
        <x:v>195</x:v>
      </x:c>
      <x:c r="B46" s="462" t="s">
        <x:v>26</x:v>
      </x:c>
      <x:c r="C46" s="488" t="s">
        <x:v>197</x:v>
      </x:c>
      <x:c r="D46" s="489">
        <x:v>45351</x:v>
      </x:c>
      <x:c r="E46" s="490">
        <x:v>43.2</x:v>
      </x:c>
      <x:c r="F46" s="490">
        <x:v>5.2</x:v>
      </x:c>
      <x:c r="G46" s="502">
        <x:v>42.56</x:v>
      </x:c>
      <x:c r="H46" s="490">
        <x:v>4.56</x:v>
      </x:c>
      <x:c r="I46" s="467">
        <x:v>45366</x:v>
      </x:c>
      <x:c r="J46" s="433">
        <x:f>+E46-F46</x:f>
      </x:c>
      <x:c r="K46" s="468">
        <x:f>+I46-D46</x:f>
      </x:c>
      <x:c r="L46" s="503">
        <x:v>0.035</x:v>
      </x:c>
      <x:c r="M46" s="504">
        <x:f>+J46*L46</x:f>
      </x:c>
    </x:row>
    <x:row r="47" spans="1:30" ht="15" customHeight="1" x14ac:dyDescent="0.25">
      <x:c r="A47" s="461" t="s">
        <x:v>170</x:v>
      </x:c>
      <x:c r="B47" s="506" t="s">
        <x:v>105</x:v>
      </x:c>
      <x:c r="C47" s="463" t="s">
        <x:v>220</x:v>
      </x:c>
      <x:c r="D47" s="464">
        <x:v>45352</x:v>
      </x:c>
      <x:c r="E47" s="465">
        <x:v>182.16</x:v>
      </x:c>
      <x:c r="F47" s="465">
        <x:v>27.33</x:v>
      </x:c>
      <x:c r="G47" s="466">
        <x:v>173.41</x:v>
      </x:c>
      <x:c r="H47" s="465">
        <x:v>18.58</x:v>
      </x:c>
      <x:c r="I47" s="464">
        <x:v>45366</x:v>
      </x:c>
      <x:c r="J47" s="433">
        <x:f>+E47-F47</x:f>
      </x:c>
      <x:c r="K47" s="468">
        <x:f>+I47-D47</x:f>
      </x:c>
      <x:c r="L47" s="503">
        <x:v>0.035</x:v>
      </x:c>
      <x:c r="M47" s="504">
        <x:f>+J47*L47</x:f>
      </x:c>
    </x:row>
    <x:row r="48" spans="1:30" ht="15" customHeight="1" x14ac:dyDescent="0.25">
      <x:c r="A48" s="461" t="s">
        <x:v>170</x:v>
      </x:c>
      <x:c r="B48" s="505" t="s">
        <x:v>105</x:v>
      </x:c>
      <x:c r="C48" s="463" t="s">
        <x:v>221</x:v>
      </x:c>
      <x:c r="D48" s="464">
        <x:v>45355</x:v>
      </x:c>
      <x:c r="E48" s="465">
        <x:v>30.36</x:v>
      </x:c>
      <x:c r="F48" s="465">
        <x:v>4.55</x:v>
      </x:c>
      <x:c r="G48" s="466">
        <x:v>28.91</x:v>
      </x:c>
      <x:c r="H48" s="465">
        <x:v>3.1</x:v>
      </x:c>
      <x:c r="I48" s="464">
        <x:v>45366</x:v>
      </x:c>
      <x:c r="J48" s="433">
        <x:f>+E48-F48</x:f>
      </x:c>
      <x:c r="K48" s="468">
        <x:f>+I48-D48</x:f>
      </x:c>
      <x:c r="L48" s="503">
        <x:v>0.035</x:v>
      </x:c>
      <x:c r="M48" s="504">
        <x:f>+J48*L48</x:f>
      </x:c>
    </x:row>
    <x:row r="49" spans="1:30" ht="15" customHeight="1" x14ac:dyDescent="0.25">
      <x:c r="A49" s="461" t="s">
        <x:v>127</x:v>
      </x:c>
      <x:c r="B49" s="506" t="s">
        <x:v>26</x:v>
      </x:c>
      <x:c r="C49" s="463" t="s">
        <x:v>222</x:v>
      </x:c>
      <x:c r="D49" s="464">
        <x:v>45357</x:v>
      </x:c>
      <x:c r="E49" s="465">
        <x:v>30.36</x:v>
      </x:c>
      <x:c r="F49" s="465">
        <x:v>3.64</x:v>
      </x:c>
      <x:c r="G49" s="466">
        <x:v>28.7</x:v>
      </x:c>
      <x:c r="H49" s="465">
        <x:v>3.21</x:v>
      </x:c>
      <x:c r="I49" s="464">
        <x:v>45359</x:v>
      </x:c>
      <x:c r="J49" s="433">
        <x:f>+E49-F49</x:f>
      </x:c>
      <x:c r="K49" s="468">
        <x:f>+I49-D49</x:f>
      </x:c>
      <x:c r="L49" s="503">
        <x:v>0.04</x:v>
      </x:c>
      <x:c r="M49" s="504">
        <x:f>+J49*L49</x:f>
      </x:c>
    </x:row>
    <x:row r="50" spans="1:30" ht="15" customHeight="1" x14ac:dyDescent="0.25">
      <x:c r="A50" s="461" t="s">
        <x:v>223</x:v>
      </x:c>
      <x:c r="B50" s="505" t="s">
        <x:v>26</x:v>
      </x:c>
      <x:c r="C50" s="463" t="s">
        <x:v>224</x:v>
      </x:c>
      <x:c r="D50" s="464">
        <x:v>45366</x:v>
      </x:c>
      <x:c r="E50" s="465">
        <x:v>32.4</x:v>
      </x:c>
      <x:c r="F50" s="465">
        <x:v>3.89</x:v>
      </x:c>
      <x:c r="G50" s="466">
        <x:v>31.93</x:v>
      </x:c>
      <x:c r="H50" s="465">
        <x:v>3.42</x:v>
      </x:c>
      <x:c r="I50" s="467">
        <x:v>45366</x:v>
      </x:c>
      <x:c r="J50" s="433">
        <x:f>+E50-F50</x:f>
      </x:c>
      <x:c r="K50" s="468">
        <x:f>+I50-D50</x:f>
      </x:c>
      <x:c r="L50" s="503">
        <x:v>0.04</x:v>
      </x:c>
      <x:c r="M50" s="504">
        <x:f>+J50*L50</x:f>
      </x:c>
    </x:row>
    <x:row r="51" spans="1:30" ht="15" customHeight="1" x14ac:dyDescent="0.25">
      <x:c r="A51" s="461" t="s">
        <x:v>225</x:v>
      </x:c>
      <x:c r="B51" s="505" t="s">
        <x:v>105</x:v>
      </x:c>
      <x:c r="C51" s="463" t="s">
        <x:v>226</x:v>
      </x:c>
      <x:c r="D51" s="464">
        <x:v>45373</x:v>
      </x:c>
      <x:c r="E51" s="465">
        <x:v>1246.68</x:v>
      </x:c>
      <x:c r="F51" s="465">
        <x:v>311.67</x:v>
      </x:c>
      <x:c r="G51" s="466">
        <x:v>1004.2</x:v>
      </x:c>
      <x:c r="H51" s="465">
        <x:v>112.2</x:v>
      </x:c>
      <x:c r="I51" s="521">
        <x:v>45378</x:v>
      </x:c>
      <x:c r="J51" s="433">
        <x:f>+E51-F51</x:f>
      </x:c>
      <x:c r="K51" s="468">
        <x:f>+I51-D51</x:f>
      </x:c>
      <x:c r="L51" s="503">
        <x:v>0.04</x:v>
      </x:c>
      <x:c r="M51" s="504">
        <x:f>+J51*L51</x:f>
      </x:c>
    </x:row>
    <x:row r="52" spans="1:30" ht="15" customHeight="1" x14ac:dyDescent="0.25">
      <x:c r="A52" s="461" t="s">
        <x:v>225</x:v>
      </x:c>
      <x:c r="B52" s="505" t="s">
        <x:v>105</x:v>
      </x:c>
      <x:c r="C52" s="463" t="s">
        <x:v>227</x:v>
      </x:c>
      <x:c r="D52" s="464">
        <x:v>45373</x:v>
      </x:c>
      <x:c r="E52" s="465">
        <x:v>213.84</x:v>
      </x:c>
      <x:c r="F52" s="465">
        <x:v>53.46</x:v>
      </x:c>
      <x:c r="G52" s="466">
        <x:v>172.25</x:v>
      </x:c>
      <x:c r="H52" s="465">
        <x:v>19.25</x:v>
      </x:c>
      <x:c r="I52" s="521">
        <x:v>45378</x:v>
      </x:c>
      <x:c r="J52" s="433">
        <x:f>+E52-F52</x:f>
      </x:c>
      <x:c r="K52" s="468">
        <x:f>+I52-D52</x:f>
      </x:c>
      <x:c r="L52" s="503">
        <x:v>0.04</x:v>
      </x:c>
      <x:c r="M52" s="504">
        <x:f>+J52*L52</x:f>
      </x:c>
    </x:row>
    <x:row r="53" spans="1:30" ht="15" customHeight="1" x14ac:dyDescent="0.25">
      <x:c r="A53" s="461" t="s">
        <x:v>228</x:v>
      </x:c>
      <x:c r="B53" s="505" t="s">
        <x:v>155</x:v>
      </x:c>
      <x:c r="C53" s="463" t="s">
        <x:v>229</x:v>
      </x:c>
      <x:c r="D53" s="464">
        <x:v>45373</x:v>
      </x:c>
      <x:c r="E53" s="465">
        <x:v>709.2</x:v>
      </x:c>
      <x:c r="F53" s="465">
        <x:v>141.84</x:v>
      </x:c>
      <x:c r="G53" s="466">
        <x:v>605.09</x:v>
      </x:c>
      <x:c r="H53" s="465">
        <x:v>68.08</x:v>
      </x:c>
      <x:c r="I53" s="521">
        <x:v>45376</x:v>
      </x:c>
      <x:c r="J53" s="433">
        <x:f>+E53-F53</x:f>
      </x:c>
      <x:c r="K53" s="468">
        <x:f>+I53-D53</x:f>
      </x:c>
      <x:c r="L53" s="503">
        <x:v>0.04</x:v>
      </x:c>
      <x:c r="M53" s="504">
        <x:f>+J53*L53</x:f>
      </x:c>
    </x:row>
    <x:row r="54" spans="1:30" ht="15" customHeight="1" x14ac:dyDescent="0.25">
      <x:c r="A54" s="461" t="s">
        <x:v>223</x:v>
      </x:c>
      <x:c r="B54" s="505" t="s">
        <x:v>26</x:v>
      </x:c>
      <x:c r="C54" s="463" t="s">
        <x:v>230</x:v>
      </x:c>
      <x:c r="D54" s="464">
        <x:v>45374</x:v>
      </x:c>
      <x:c r="E54" s="465">
        <x:v>23.4</x:v>
      </x:c>
      <x:c r="F54" s="465">
        <x:v>2.81</x:v>
      </x:c>
      <x:c r="G54" s="466">
        <x:v>23.06</x:v>
      </x:c>
      <x:c r="H54" s="465">
        <x:v>2.47</x:v>
      </x:c>
      <x:c r="I54" s="521">
        <x:v>45376</x:v>
      </x:c>
      <x:c r="J54" s="433">
        <x:f>+E54-F54</x:f>
      </x:c>
      <x:c r="K54" s="468">
        <x:f>+I54-D54</x:f>
      </x:c>
      <x:c r="L54" s="503">
        <x:v>0.04</x:v>
      </x:c>
      <x:c r="M54" s="504">
        <x:f>+J54*L54</x:f>
      </x:c>
    </x:row>
    <x:row r="55" spans="1:30" ht="15" customHeight="1" x14ac:dyDescent="0.25">
      <x:c r="A55" s="461"/>
      <x:c r="B55" s="507"/>
      <x:c r="C55" s="463"/>
      <x:c r="D55" s="464"/>
      <x:c r="E55" s="465"/>
      <x:c r="F55" s="465"/>
      <x:c r="G55" s="466"/>
      <x:c r="H55" s="465"/>
      <x:c r="I55" s="492"/>
      <x:c r="J55" s="433"/>
      <x:c r="K55" s="468"/>
      <x:c r="L55" s="503"/>
      <x:c r="M55" s="504"/>
    </x:row>
    <x:row r="56" spans="1:30" ht="15" customHeight="1" x14ac:dyDescent="0.3">
      <x:c r="A56" s="508"/>
      <x:c r="B56" s="509"/>
      <x:c r="C56" s="509"/>
      <x:c r="D56" s="510"/>
      <x:c r="E56" s="511"/>
      <x:c r="F56" s="511"/>
      <x:c r="G56" s="512"/>
      <x:c r="H56" s="513"/>
      <x:c r="I56" s="514"/>
      <x:c r="J56" s="433"/>
      <x:c r="K56" s="468"/>
      <x:c r="L56" s="503"/>
      <x:c r="M56" s="504"/>
      <x:c r="O56" s="515"/>
      <x:c r="P56" s="435"/>
      <x:c r="Q56" s="435"/>
    </x:row>
    <x:row r="57" spans="1:30" ht="15" customHeight="1" x14ac:dyDescent="0.3">
      <x:c r="G57" s="516">
        <x:f>SUM(G35:G56)</x:f>
      </x:c>
      <x:c r="J57" s="516">
        <x:f>SUM(J35:J56)</x:f>
      </x:c>
      <x:c r="M57" s="516">
        <x:f>SUM(M35:M56)</x:f>
      </x:c>
    </x:row>
    <x:row r="58" spans="1:30" ht="15" customHeight="1" x14ac:dyDescent="0.25">
      <x:c r="G58" s="435"/>
      <x:c r="H58" s="435"/>
    </x:row>
    <x:row r="59" spans="1:30" ht="15" customHeight="1" x14ac:dyDescent="0.25">
      <x:c r="A59" s="517" t="s">
        <x:v>30</x:v>
      </x:c>
      <x:c r="B59" s="517" t="s">
        <x:v>31</x:v>
      </x:c>
      <x:c r="C59" s="518" t="s">
        <x:v>32</x:v>
      </x:c>
      <x:c r="I59" s="435"/>
      <x:c r="J59" s="435"/>
    </x:row>
    <x:row r="60" spans="1:30" ht="15" customHeight="1" s="434" customFormat="1" x14ac:dyDescent="0.25">
      <x:c r="A60" s="486" t="s">
        <x:v>118</x:v>
      </x:c>
      <x:c r="B60" s="487" t="s">
        <x:v>231</x:v>
      </x:c>
      <x:c r="C60" s="488" t="s">
        <x:v>232</x:v>
      </x:c>
      <x:c r="D60" s="489">
        <x:v>45351</x:v>
      </x:c>
      <x:c r="E60" s="490">
        <x:v>441.72</x:v>
      </x:c>
      <x:c r="F60" s="490">
        <x:v>88.35</x:v>
      </x:c>
      <x:c r="G60" s="491">
        <x:v>379.52</x:v>
      </x:c>
      <x:c r="H60" s="490">
        <x:v>42.4</x:v>
      </x:c>
      <x:c r="I60" s="492">
        <x:v>45381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  <x:c r="N60" s="470"/>
    </x:row>
    <x:row r="61" spans="1:30" ht="15" customHeight="1" s="434" customFormat="1" x14ac:dyDescent="0.25">
      <x:c r="A61" s="486" t="s">
        <x:v>136</x:v>
      </x:c>
      <x:c r="B61" s="487" t="s">
        <x:v>233</x:v>
      </x:c>
      <x:c r="C61" s="488" t="s">
        <x:v>234</x:v>
      </x:c>
      <x:c r="D61" s="489">
        <x:v>45356</x:v>
      </x:c>
      <x:c r="E61" s="490">
        <x:v>1044</x:v>
      </x:c>
      <x:c r="F61" s="490">
        <x:v>261</x:v>
      </x:c>
      <x:c r="G61" s="491">
        <x:v>840.92</x:v>
      </x:c>
      <x:c r="H61" s="490">
        <x:v>93.96</x:v>
      </x:c>
      <x:c r="I61" s="489">
        <x:v>45386</x:v>
      </x:c>
      <x:c r="J61" s="433">
        <x:f>+E61-F61</x:f>
      </x:c>
      <x:c r="K61" s="468">
        <x:f>+I61-D61</x:f>
      </x:c>
      <x:c r="L61" s="469">
        <x:v>0.03</x:v>
      </x:c>
      <x:c r="M61" s="433">
        <x:f>+J61*L61</x:f>
      </x:c>
      <x:c r="N61" s="470"/>
    </x:row>
    <x:row r="62" spans="1:30" ht="15" customHeight="1" s="434" customFormat="1" x14ac:dyDescent="0.25">
      <x:c r="A62" s="486" t="s">
        <x:v>136</x:v>
      </x:c>
      <x:c r="B62" s="487" t="s">
        <x:v>235</x:v>
      </x:c>
      <x:c r="C62" s="488" t="s">
        <x:v>236</x:v>
      </x:c>
      <x:c r="D62" s="489">
        <x:v>45379</x:v>
      </x:c>
      <x:c r="E62" s="490">
        <x:v>501.6</x:v>
      </x:c>
      <x:c r="F62" s="490">
        <x:v>100.32</x:v>
      </x:c>
      <x:c r="G62" s="491">
        <x:v>430.97</x:v>
      </x:c>
      <x:c r="H62" s="490">
        <x:v>48.15</x:v>
      </x:c>
      <x:c r="I62" s="489">
        <x:v>45413</x:v>
      </x:c>
      <x:c r="J62" s="433">
        <x:f>+E62-F62</x:f>
      </x:c>
      <x:c r="K62" s="468">
        <x:f>+I62-D62</x:f>
      </x:c>
      <x:c r="L62" s="469">
        <x:v>0.03</x:v>
      </x:c>
      <x:c r="M62" s="433">
        <x:f>+J62*L62</x:f>
      </x:c>
      <x:c r="N62" s="470"/>
    </x:row>
    <x:row r="63" spans="1:30" ht="15" customHeight="1" s="434" customFormat="1" x14ac:dyDescent="0.3">
      <x:c r="A63" s="471"/>
      <x:c r="B63" s="472"/>
      <x:c r="C63" s="472"/>
      <x:c r="D63" s="473"/>
      <x:c r="E63" s="474"/>
      <x:c r="F63" s="474"/>
      <x:c r="G63" s="475"/>
      <x:c r="H63" s="476"/>
      <x:c r="I63" s="477"/>
      <x:c r="J63" s="433"/>
      <x:c r="K63" s="468"/>
      <x:c r="L63" s="469"/>
      <x:c r="M63" s="433"/>
      <x:c r="N63" s="470"/>
    </x:row>
    <x:row r="64" spans="1:30" ht="15" customHeight="1" x14ac:dyDescent="0.35">
      <x:c r="A64" s="493" t="s">
        <x:v>43</x:v>
      </x:c>
      <x:c r="B64" s="493"/>
      <x:c r="C64" s="493"/>
      <x:c r="D64" s="493"/>
      <x:c r="E64" s="493"/>
      <x:c r="F64" s="493"/>
      <x:c r="G64" s="516">
        <x:f>SUM(G57:G63)</x:f>
      </x:c>
      <x:c r="J64" s="516">
        <x:f>SUM(J57:J63)</x:f>
      </x:c>
      <x:c r="L64" s="495"/>
      <x:c r="M64" s="519">
        <x:f>SUM(M57:M63)</x:f>
      </x:c>
    </x:row>
    <x:row r="65" spans="1:30" ht="15" customHeight="1" x14ac:dyDescent="0.3">
      <x:c r="A65" s="520"/>
      <x:c r="G65" s="435"/>
    </x:row>
    <x:row r="66" spans="1:30" ht="15" customHeight="1" x14ac:dyDescent="0.3">
      <x:c r="A66" s="499"/>
      <x:c r="G66" s="435"/>
      <x:c r="J66" s="435"/>
    </x:row>
    <x:row r="67" spans="1:30" ht="15" customHeight="1" x14ac:dyDescent="0.3">
      <x:c r="A67" s="499"/>
      <x:c r="G67" s="435"/>
      <x:c r="J67" s="435">
        <x:f>(J25+J64)*2%</x:f>
      </x:c>
      <x:c r="M67" s="435">
        <x:f>M25/12</x:f>
      </x:c>
      <x:c r="N67" s="431" t="s">
        <x:v>237</x:v>
      </x:c>
    </x:row>
    <x:row r="68" spans="1:30" ht="15" customHeight="1" x14ac:dyDescent="0.3">
      <x:c r="A68" s="499"/>
      <x:c r="G68" s="435"/>
      <x:c r="J68" s="435">
        <x:f>J67/12</x:f>
      </x:c>
      <x:c r="M68" s="435">
        <x:f>M25/24</x:f>
      </x:c>
      <x:c r="N68" s="431" t="s">
        <x:v>237</x:v>
      </x:c>
    </x:row>
    <x:row r="69" spans="1:30" ht="15" customHeight="1" x14ac:dyDescent="0.3">
      <x:c r="A69" s="499"/>
      <x:c r="G69" s="435"/>
      <x:c r="J69" s="435">
        <x:f>J67/24</x:f>
      </x:c>
      <x:c r="M69" s="435">
        <x:f>M64/12</x:f>
      </x:c>
      <x:c r="N69" s="431" t="s">
        <x:v>238</x:v>
      </x:c>
      <x:c r="O69" s="435">
        <x:f>M67+M69</x:f>
      </x:c>
    </x:row>
    <x:row r="70" spans="1:30" ht="15" customHeight="1" x14ac:dyDescent="0.3">
      <x:c r="A70" s="499"/>
      <x:c r="G70" s="435"/>
      <x:c r="J70" s="435"/>
      <x:c r="M70" s="435">
        <x:f>M64/24</x:f>
      </x:c>
      <x:c r="N70" s="431" t="s">
        <x:v>238</x:v>
      </x:c>
      <x:c r="O70" s="435">
        <x:f>M68+M70</x:f>
      </x:c>
    </x:row>
    <x:row r="71" spans="1:30" ht="15" customHeight="1" x14ac:dyDescent="0.3">
      <x:c r="A71" s="499"/>
      <x:c r="G71" s="435"/>
      <x:c r="J71" s="435"/>
      <x:c r="M71" s="435"/>
    </x:row>
    <x:row r="72" spans="1:30" ht="15" customHeight="1" x14ac:dyDescent="0.3">
      <x:c r="A72" s="499"/>
      <x:c r="G72" s="435"/>
      <x:c r="J72" s="435"/>
      <x:c r="M72" s="429">
        <x:f>14.34+23.63</x:f>
      </x:c>
    </x:row>
    <x:row r="73" spans="1:30" ht="15" customHeight="1" x14ac:dyDescent="0.3">
      <x:c r="A73" s="499"/>
      <x:c r="G73" s="435"/>
      <x:c r="J73" s="435">
        <x:f>389.76-172.03-213.13</x:f>
      </x:c>
    </x:row>
    <x:row r="74" spans="1:30" ht="15" customHeight="1" x14ac:dyDescent="0.3">
      <x:c r="A74" s="499"/>
      <x:c r="G74" s="435"/>
      <x:c r="J74" s="435"/>
    </x:row>
    <x:row r="75" spans="1:30" ht="15" customHeight="1" x14ac:dyDescent="0.3">
      <x:c r="A75" s="499"/>
      <x:c r="G75" s="435"/>
      <x:c r="J75" s="435"/>
    </x:row>
    <x:row r="76" spans="1:30" ht="15" customHeight="1" x14ac:dyDescent="0.3">
      <x:c r="A76" s="499"/>
      <x:c r="G76" s="435"/>
      <x:c r="J76" s="435"/>
    </x:row>
    <x:row r="77" spans="1:30" ht="15" customHeight="1" x14ac:dyDescent="0.3">
      <x:c r="A77" s="520"/>
      <x:c r="K77" s="515"/>
    </x:row>
  </x:sheetData>
  <x:mergeCells count="7">
    <x:mergeCell ref="A2:F2"/>
    <x:mergeCell ref="A3:F3"/>
    <x:mergeCell ref="A17:F17"/>
    <x:mergeCell ref="A25:F25"/>
    <x:mergeCell ref="A29:F29"/>
    <x:mergeCell ref="A30:F30"/>
    <x:mergeCell ref="A64:F64"/>
  </x:mergeCells>
  <x:printOptions horizontalCentered="0" verticalCentered="0" headings="0" gridLines="0"/>
  <x:pageMargins left="0.3937007874015748" right="0" top="0.3937007874015748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AD79"/>
  <x:sheetViews>
    <x:sheetView topLeftCell="G47" workbookViewId="0">
      <x:selection activeCell="O62" sqref="O62"/>
    </x:sheetView>
  </x:sheetViews>
  <x:sheetFormatPr baseColWidth="10" defaultColWidth="11.441406" defaultRowHeight="13.2" x14ac:dyDescent="0.25"/>
  <x:cols>
    <x:col min="1" max="1" width="25.109375" style="429" customWidth="1"/>
    <x:col min="2" max="2" width="27.554688" style="429" customWidth="1"/>
    <x:col min="3" max="3" width="10.886719" style="429" customWidth="1"/>
    <x:col min="4" max="4" width="10.886719" style="430" customWidth="1"/>
    <x:col min="5" max="5" width="11.441406" style="429" customWidth="1"/>
    <x:col min="6" max="6" width="8.554688" style="429" customWidth="1"/>
    <x:col min="7" max="7" width="12.554688" style="429" customWidth="1"/>
    <x:col min="8" max="8" width="8.332031" style="429" customWidth="1"/>
    <x:col min="9" max="9" width="13.664062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9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239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2" customFormat="1" x14ac:dyDescent="0.25">
      <x:c r="A8" s="461"/>
      <x:c r="B8" s="462"/>
      <x:c r="C8" s="463"/>
      <x:c r="D8" s="464"/>
      <x:c r="E8" s="465"/>
      <x:c r="F8" s="465"/>
      <x:c r="G8" s="466"/>
      <x:c r="H8" s="465"/>
      <x:c r="I8" s="492"/>
      <x:c r="J8" s="433"/>
      <x:c r="K8" s="468"/>
      <x:c r="L8" s="469"/>
      <x:c r="M8" s="433"/>
      <x:c r="N8" s="470"/>
    </x:row>
    <x:row r="9" spans="1:30" ht="15" customHeight="1" s="433" customFormat="1" x14ac:dyDescent="0.3">
      <x:c r="A9" s="471"/>
      <x:c r="B9" s="472"/>
      <x:c r="C9" s="472"/>
      <x:c r="D9" s="473"/>
      <x:c r="E9" s="474"/>
      <x:c r="F9" s="474"/>
      <x:c r="G9" s="475"/>
      <x:c r="H9" s="476"/>
      <x:c r="I9" s="477"/>
      <x:c r="K9" s="468"/>
      <x:c r="L9" s="469"/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4" customFormat="1" x14ac:dyDescent="0.25">
      <x:c r="A10" s="478"/>
      <x:c r="B10" s="478"/>
      <x:c r="C10" s="478"/>
      <x:c r="D10" s="478"/>
      <x:c r="E10" s="478"/>
      <x:c r="F10" s="478"/>
      <x:c r="G10" s="479">
        <x:f>SUM(G8:G9)</x:f>
      </x:c>
      <x:c r="H10" s="480"/>
      <x:c r="I10" s="481"/>
      <x:c r="J10" s="479">
        <x:f>SUM(J8:J9)</x:f>
      </x:c>
      <x:c r="K10" s="482"/>
      <x:c r="L10" s="482"/>
      <x:c r="M10" s="479">
        <x:f>SUM(M8:M9)</x:f>
      </x:c>
      <x:c r="N10" s="470"/>
    </x:row>
    <x:row r="11" spans="1:30" ht="15" customHeight="1" s="434" customFormat="1" x14ac:dyDescent="0.25">
      <x:c r="A11" s="483"/>
      <x:c r="B11" s="483"/>
      <x:c r="C11" s="483"/>
      <x:c r="D11" s="484"/>
      <x:c r="E11" s="483"/>
      <x:c r="F11" s="483"/>
      <x:c r="G11" s="432"/>
      <x:c r="I11" s="485"/>
      <x:c r="N11" s="470"/>
    </x:row>
    <x:row r="12" spans="1:30" ht="15" customHeight="1" s="434" customFormat="1" x14ac:dyDescent="0.25">
      <x:c r="A12" s="483"/>
      <x:c r="B12" s="483"/>
      <x:c r="C12" s="483"/>
      <x:c r="D12" s="484"/>
      <x:c r="E12" s="483"/>
      <x:c r="F12" s="483"/>
      <x:c r="G12" s="432"/>
      <x:c r="I12" s="485"/>
      <x:c r="J12" s="432"/>
      <x:c r="M12" s="432"/>
      <x:c r="N12" s="470"/>
    </x:row>
    <x:row r="13" spans="1:30" ht="15" customHeight="1" s="434" customFormat="1" x14ac:dyDescent="0.25">
      <x:c r="A13" s="434" t="s">
        <x:v>30</x:v>
      </x:c>
      <x:c r="B13" s="434" t="s">
        <x:v>31</x:v>
      </x:c>
      <x:c r="C13" s="483" t="s">
        <x:v>32</x:v>
      </x:c>
      <x:c r="D13" s="485"/>
      <x:c r="G13" s="432"/>
      <x:c r="I13" s="485"/>
      <x:c r="N13" s="470"/>
    </x:row>
    <x:row r="14" spans="1:30" ht="15" customHeight="1" s="432" customFormat="1" x14ac:dyDescent="0.25">
      <x:c r="A14" s="486" t="s">
        <x:v>36</x:v>
      </x:c>
      <x:c r="B14" s="487" t="s">
        <x:v>240</x:v>
      </x:c>
      <x:c r="C14" s="488" t="s">
        <x:v>241</x:v>
      </x:c>
      <x:c r="D14" s="489">
        <x:v>45376</x:v>
      </x:c>
      <x:c r="E14" s="490">
        <x:v>108</x:v>
      </x:c>
      <x:c r="F14" s="490">
        <x:v>27</x:v>
      </x:c>
      <x:c r="G14" s="491">
        <x:v>86.99</x:v>
      </x:c>
      <x:c r="H14" s="490">
        <x:v>9.72</x:v>
      </x:c>
      <x:c r="I14" s="489">
        <x:v>45437</x:v>
      </x:c>
      <x:c r="J14" s="433">
        <x:f>+E14-F14</x:f>
      </x:c>
      <x:c r="K14" s="468">
        <x:f>+I14-D14</x:f>
      </x:c>
      <x:c r="L14" s="469">
        <x:v>0.03</x:v>
      </x:c>
      <x:c r="M14" s="433">
        <x:f>+J14*L14</x:f>
      </x:c>
      <x:c r="N14" s="470"/>
    </x:row>
    <x:row r="15" spans="1:30" ht="15" customHeight="1" s="432" customFormat="1" x14ac:dyDescent="0.25">
      <x:c r="A15" s="486" t="s">
        <x:v>242</x:v>
      </x:c>
      <x:c r="B15" s="487" t="s">
        <x:v>243</x:v>
      </x:c>
      <x:c r="C15" s="488" t="s">
        <x:v>244</x:v>
      </x:c>
      <x:c r="D15" s="489">
        <x:v>45387</x:v>
      </x:c>
      <x:c r="E15" s="490">
        <x:v>201.96</x:v>
      </x:c>
      <x:c r="F15" s="490">
        <x:v>30.3</x:v>
      </x:c>
      <x:c r="G15" s="491">
        <x:v>187.96</x:v>
      </x:c>
      <x:c r="H15" s="490">
        <x:v>25.75</x:v>
      </x:c>
      <x:c r="I15" s="492">
        <x:v>45423</x:v>
      </x:c>
      <x:c r="J15" s="433">
        <x:f>+E15-F15</x:f>
      </x:c>
      <x:c r="K15" s="468">
        <x:f>+I15-D15</x:f>
      </x:c>
      <x:c r="L15" s="469">
        <x:v>0.03</x:v>
      </x:c>
      <x:c r="M15" s="433">
        <x:f>+J15*L15</x:f>
      </x:c>
      <x:c r="N15" s="470"/>
    </x:row>
    <x:row r="16" spans="1:30" ht="15" customHeight="1" s="432" customFormat="1" x14ac:dyDescent="0.25">
      <x:c r="A16" s="486" t="s">
        <x:v>36</x:v>
      </x:c>
      <x:c r="B16" s="487" t="s">
        <x:v>245</x:v>
      </x:c>
      <x:c r="C16" s="488" t="s">
        <x:v>246</x:v>
      </x:c>
      <x:c r="D16" s="489">
        <x:v>45404</x:v>
      </x:c>
      <x:c r="E16" s="490">
        <x:v>536.4</x:v>
      </x:c>
      <x:c r="F16" s="490">
        <x:v>134.1</x:v>
      </x:c>
      <x:c r="G16" s="491">
        <x:v>440.52</x:v>
      </x:c>
      <x:c r="H16" s="490">
        <x:v>60.35</x:v>
      </x:c>
      <x:c r="I16" s="492">
        <x:v>45468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</x:row>
    <x:row r="17" spans="1:30" ht="15" customHeight="1" s="432" customFormat="1" x14ac:dyDescent="0.25">
      <x:c r="A17" s="486" t="s">
        <x:v>36</x:v>
      </x:c>
      <x:c r="B17" s="487" t="s">
        <x:v>245</x:v>
      </x:c>
      <x:c r="C17" s="488" t="s">
        <x:v>247</x:v>
      </x:c>
      <x:c r="D17" s="489">
        <x:v>45406</x:v>
      </x:c>
      <x:c r="E17" s="490">
        <x:v>369.6</x:v>
      </x:c>
      <x:c r="F17" s="490">
        <x:v>92.4</x:v>
      </x:c>
      <x:c r="G17" s="491">
        <x:v>303.54</x:v>
      </x:c>
      <x:c r="H17" s="490">
        <x:v>41.58</x:v>
      </x:c>
      <x:c r="I17" s="492">
        <x:v>45468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</x:row>
    <x:row r="18" spans="1:30" ht="15" customHeight="1" s="432" customFormat="1" x14ac:dyDescent="0.3">
      <x:c r="A18" s="486"/>
      <x:c r="B18" s="487"/>
      <x:c r="C18" s="488"/>
      <x:c r="D18" s="489"/>
      <x:c r="E18" s="490"/>
      <x:c r="F18" s="490"/>
      <x:c r="G18" s="491"/>
      <x:c r="H18" s="490"/>
      <x:c r="I18" s="492"/>
      <x:c r="J18" s="433"/>
      <x:c r="K18" s="468"/>
      <x:c r="L18" s="469"/>
      <x:c r="M18" s="433"/>
      <x:c r="N18" s="470"/>
    </x:row>
    <x:row r="19" spans="1:30" ht="15" customHeight="1" x14ac:dyDescent="0.35">
      <x:c r="A19" s="493" t="s">
        <x:v>43</x:v>
      </x:c>
      <x:c r="B19" s="493"/>
      <x:c r="C19" s="493"/>
      <x:c r="D19" s="493"/>
      <x:c r="E19" s="493"/>
      <x:c r="F19" s="493"/>
      <x:c r="G19" s="494">
        <x:f>SUM(G10:G18)</x:f>
      </x:c>
      <x:c r="J19" s="494">
        <x:f>SUM(J10:J18)</x:f>
      </x:c>
      <x:c r="L19" s="495"/>
      <x:c r="M19" s="496">
        <x:f>SUM(M10:M18)</x:f>
      </x:c>
    </x:row>
    <x:row r="20" spans="1:30" ht="15" customHeight="1" x14ac:dyDescent="0.25">
      <x:c r="A20" s="497"/>
      <x:c r="B20" s="497"/>
      <x:c r="C20" s="497"/>
      <x:c r="D20" s="498"/>
      <x:c r="E20" s="497"/>
      <x:c r="F20" s="497"/>
      <x:c r="G20" s="435"/>
      <x:c r="J20" s="435"/>
      <x:c r="M20" s="435"/>
    </x:row>
    <x:row r="21" spans="1:30" ht="15" customHeight="1" x14ac:dyDescent="0.3">
      <x:c r="A21" s="499"/>
      <x:c r="B21" s="497"/>
      <x:c r="C21" s="497"/>
      <x:c r="D21" s="498"/>
      <x:c r="E21" s="497"/>
      <x:c r="F21" s="497"/>
      <x:c r="G21" s="435"/>
      <x:c r="J21" s="435"/>
      <x:c r="M21" s="435"/>
    </x:row>
    <x:row r="22" spans="1:30" ht="15" customHeight="1" x14ac:dyDescent="0.25">
      <x:c r="A22" s="497"/>
      <x:c r="B22" s="497"/>
      <x:c r="C22" s="497"/>
      <x:c r="D22" s="498"/>
      <x:c r="E22" s="497"/>
      <x:c r="F22" s="497"/>
      <x:c r="G22" s="435"/>
      <x:c r="I22" s="500"/>
    </x:row>
    <x:row r="23" spans="1:30" ht="15" customHeight="1" x14ac:dyDescent="0.25">
      <x:c r="A23" s="436" t="s">
        <x:v>44</x:v>
      </x:c>
      <x:c r="B23" s="436"/>
      <x:c r="C23" s="436"/>
      <x:c r="D23" s="436"/>
      <x:c r="E23" s="436"/>
      <x:c r="F23" s="436"/>
      <x:c r="G23" s="437"/>
      <x:c r="H23" s="437"/>
      <x:c r="I23" s="439"/>
      <x:c r="J23" s="440"/>
      <x:c r="K23" s="441"/>
      <x:c r="L23" s="442"/>
      <x:c r="M23" s="443"/>
    </x:row>
    <x:row r="24" spans="1:30" ht="15" customHeight="1" x14ac:dyDescent="0.25">
      <x:c r="A24" s="436" t="s">
        <x:v>1</x:v>
      </x:c>
      <x:c r="B24" s="436"/>
      <x:c r="C24" s="436"/>
      <x:c r="D24" s="436"/>
      <x:c r="E24" s="436"/>
      <x:c r="F24" s="436"/>
      <x:c r="G24" s="437"/>
      <x:c r="H24" s="438"/>
      <x:c r="I24" s="439"/>
      <x:c r="J24" s="441"/>
      <x:c r="K24" s="441"/>
      <x:c r="L24" s="442"/>
      <x:c r="M24" s="443"/>
    </x:row>
    <x:row r="25" spans="1:30" ht="15" customHeight="1" x14ac:dyDescent="0.25">
      <x:c r="A25" s="436"/>
      <x:c r="B25" s="444" t="s">
        <x:v>198</x:v>
      </x:c>
      <x:c r="C25" s="436"/>
      <x:c r="D25" s="445"/>
      <x:c r="E25" s="436"/>
      <x:c r="F25" s="436"/>
      <x:c r="G25" s="437"/>
      <x:c r="H25" s="438"/>
      <x:c r="I25" s="439"/>
      <x:c r="J25" s="441"/>
      <x:c r="K25" s="441"/>
      <x:c r="L25" s="442"/>
      <x:c r="M25" s="443"/>
    </x:row>
    <x:row r="26" spans="1:30" ht="15" customHeight="1" x14ac:dyDescent="0.3">
      <x:c r="A26" s="436"/>
      <x:c r="B26" s="444" t="s">
        <x:v>45</x:v>
      </x:c>
      <x:c r="C26" s="436"/>
      <x:c r="D26" s="445"/>
      <x:c r="E26" s="436"/>
      <x:c r="F26" s="436"/>
      <x:c r="G26" s="443"/>
      <x:c r="H26" s="437"/>
      <x:c r="I26" s="446"/>
      <x:c r="J26" s="441"/>
      <x:c r="K26" s="441"/>
      <x:c r="L26" s="442"/>
      <x:c r="M26" s="443"/>
    </x:row>
    <x:row r="27" spans="1:30" ht="15" customHeight="1" x14ac:dyDescent="0.25">
      <x:c r="A27" s="447"/>
      <x:c r="B27" s="441"/>
      <x:c r="C27" s="441"/>
      <x:c r="D27" s="439"/>
      <x:c r="E27" s="441"/>
      <x:c r="F27" s="441"/>
      <x:c r="G27" s="448" t="s">
        <x:v>5</x:v>
      </x:c>
      <x:c r="H27" s="441"/>
      <x:c r="I27" s="439"/>
      <x:c r="J27" s="449" t="s">
        <x:v>6</x:v>
      </x:c>
      <x:c r="K27" s="450" t="s">
        <x:v>7</x:v>
      </x:c>
      <x:c r="L27" s="451" t="s">
        <x:v>8</x:v>
      </x:c>
      <x:c r="M27" s="449" t="s">
        <x:v>9</x:v>
      </x:c>
    </x:row>
    <x:row r="28" spans="1:30" ht="15" customHeight="1" x14ac:dyDescent="0.25">
      <x:c r="A28" s="452" t="s">
        <x:v>10</x:v>
      </x:c>
      <x:c r="B28" s="452" t="s">
        <x:v>11</x:v>
      </x:c>
      <x:c r="C28" s="452" t="s">
        <x:v>12</x:v>
      </x:c>
      <x:c r="D28" s="453" t="s">
        <x:v>13</x:v>
      </x:c>
      <x:c r="E28" s="452" t="s">
        <x:v>14</x:v>
      </x:c>
      <x:c r="F28" s="454" t="s">
        <x:v>15</x:v>
      </x:c>
      <x:c r="G28" s="501" t="s">
        <x:v>16</x:v>
      </x:c>
      <x:c r="H28" s="456" t="s">
        <x:v>17</x:v>
      </x:c>
      <x:c r="I28" s="457" t="s">
        <x:v>18</x:v>
      </x:c>
      <x:c r="J28" s="458" t="s">
        <x:v>19</x:v>
      </x:c>
      <x:c r="K28" s="459"/>
      <x:c r="L28" s="460" t="s">
        <x:v>20</x:v>
      </x:c>
      <x:c r="M28" s="458" t="s">
        <x:v>21</x:v>
      </x:c>
    </x:row>
    <x:row r="29" spans="1:30" ht="15" customHeight="1" x14ac:dyDescent="0.25">
      <x:c r="A29" s="461" t="s">
        <x:v>49</x:v>
      </x:c>
      <x:c r="B29" s="462" t="s">
        <x:v>26</x:v>
      </x:c>
      <x:c r="C29" s="463" t="s">
        <x:v>248</x:v>
      </x:c>
      <x:c r="D29" s="464">
        <x:v>45266</x:v>
      </x:c>
      <x:c r="E29" s="465">
        <x:v>10.8</x:v>
      </x:c>
      <x:c r="F29" s="465">
        <x:v>1.62</x:v>
      </x:c>
      <x:c r="G29" s="466">
        <x:v>9.86</x:v>
      </x:c>
      <x:c r="H29" s="465">
        <x:v>1.1</x:v>
      </x:c>
      <x:c r="I29" s="467">
        <x:v>45391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</x:row>
    <x:row r="30" spans="1:30" ht="15" customHeight="1" x14ac:dyDescent="0.25">
      <x:c r="A30" s="461" t="s">
        <x:v>49</x:v>
      </x:c>
      <x:c r="B30" s="462" t="s">
        <x:v>26</x:v>
      </x:c>
      <x:c r="C30" s="463" t="s">
        <x:v>249</x:v>
      </x:c>
      <x:c r="D30" s="464">
        <x:v>45267</x:v>
      </x:c>
      <x:c r="E30" s="465">
        <x:v>21.6</x:v>
      </x:c>
      <x:c r="F30" s="465">
        <x:v>3.24</x:v>
      </x:c>
      <x:c r="G30" s="466">
        <x:v>19.72</x:v>
      </x:c>
      <x:c r="H30" s="465">
        <x:v>2.2</x:v>
      </x:c>
      <x:c r="I30" s="467">
        <x:v>45391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</x:row>
    <x:row r="31" spans="1:30" ht="15" customHeight="1" x14ac:dyDescent="0.25">
      <x:c r="A31" s="461" t="s">
        <x:v>49</x:v>
      </x:c>
      <x:c r="B31" s="462" t="s">
        <x:v>26</x:v>
      </x:c>
      <x:c r="C31" s="463" t="s">
        <x:v>250</x:v>
      </x:c>
      <x:c r="D31" s="464">
        <x:v>45268</x:v>
      </x:c>
      <x:c r="E31" s="465">
        <x:v>2527.2</x:v>
      </x:c>
      <x:c r="F31" s="465">
        <x:v>379.08</x:v>
      </x:c>
      <x:c r="G31" s="466">
        <x:v>2307.08</x:v>
      </x:c>
      <x:c r="H31" s="465">
        <x:v>257.77</x:v>
      </x:c>
      <x:c r="I31" s="467">
        <x:v>45391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</x:row>
    <x:row r="32" spans="1:30" ht="15" customHeight="1" x14ac:dyDescent="0.25">
      <x:c r="A32" s="461" t="s">
        <x:v>49</x:v>
      </x:c>
      <x:c r="B32" s="462" t="s">
        <x:v>26</x:v>
      </x:c>
      <x:c r="C32" s="463" t="s">
        <x:v>251</x:v>
      </x:c>
      <x:c r="D32" s="464">
        <x:v>45268</x:v>
      </x:c>
      <x:c r="E32" s="465">
        <x:v>129.6</x:v>
      </x:c>
      <x:c r="F32" s="465">
        <x:v>19.44</x:v>
      </x:c>
      <x:c r="G32" s="466">
        <x:v>118.31</x:v>
      </x:c>
      <x:c r="H32" s="465">
        <x:v>13.22</x:v>
      </x:c>
      <x:c r="I32" s="467">
        <x:v>45391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</x:row>
    <x:row r="33" spans="1:30" ht="15" customHeight="1" x14ac:dyDescent="0.25">
      <x:c r="A33" s="461" t="s">
        <x:v>49</x:v>
      </x:c>
      <x:c r="B33" s="506" t="s">
        <x:v>26</x:v>
      </x:c>
      <x:c r="C33" s="463" t="s">
        <x:v>252</x:v>
      </x:c>
      <x:c r="D33" s="464">
        <x:v>45273</x:v>
      </x:c>
      <x:c r="E33" s="465">
        <x:v>21.6</x:v>
      </x:c>
      <x:c r="F33" s="465">
        <x:v>3.24</x:v>
      </x:c>
      <x:c r="G33" s="466">
        <x:v>19.72</x:v>
      </x:c>
      <x:c r="H33" s="465">
        <x:v>2.2</x:v>
      </x:c>
      <x:c r="I33" s="467">
        <x:v>45391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</x:row>
    <x:row r="34" spans="1:30" ht="15" customHeight="1" x14ac:dyDescent="0.25">
      <x:c r="A34" s="461" t="s">
        <x:v>49</x:v>
      </x:c>
      <x:c r="B34" s="506" t="s">
        <x:v>26</x:v>
      </x:c>
      <x:c r="C34" s="463" t="s">
        <x:v>253</x:v>
      </x:c>
      <x:c r="D34" s="464">
        <x:v>45293</x:v>
      </x:c>
      <x:c r="E34" s="465">
        <x:v>163.8</x:v>
      </x:c>
      <x:c r="F34" s="465">
        <x:v>24.57</x:v>
      </x:c>
      <x:c r="G34" s="466">
        <x:v>149.54</x:v>
      </x:c>
      <x:c r="H34" s="465">
        <x:v>16.71</x:v>
      </x:c>
      <x:c r="I34" s="467">
        <x:v>45391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</x:row>
    <x:row r="35" spans="1:30" ht="15" customHeight="1" x14ac:dyDescent="0.25">
      <x:c r="A35" s="461" t="s">
        <x:v>49</x:v>
      </x:c>
      <x:c r="B35" s="506" t="s">
        <x:v>26</x:v>
      </x:c>
      <x:c r="C35" s="463" t="s">
        <x:v>254</x:v>
      </x:c>
      <x:c r="D35" s="464">
        <x:v>45293</x:v>
      </x:c>
      <x:c r="E35" s="465">
        <x:v>154.08</x:v>
      </x:c>
      <x:c r="F35" s="465">
        <x:v>23.11</x:v>
      </x:c>
      <x:c r="G35" s="466">
        <x:v>140.66</x:v>
      </x:c>
      <x:c r="H35" s="465">
        <x:v>15.72</x:v>
      </x:c>
      <x:c r="I35" s="492">
        <x:v>45412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</x:row>
    <x:row r="36" spans="1:30" ht="15" customHeight="1" x14ac:dyDescent="0.25">
      <x:c r="A36" s="461" t="s">
        <x:v>49</x:v>
      </x:c>
      <x:c r="B36" s="506" t="s">
        <x:v>26</x:v>
      </x:c>
      <x:c r="C36" s="463" t="s">
        <x:v>255</x:v>
      </x:c>
      <x:c r="D36" s="464">
        <x:v>45296</x:v>
      </x:c>
      <x:c r="E36" s="465">
        <x:v>343.2</x:v>
      </x:c>
      <x:c r="F36" s="465">
        <x:v>51.48</x:v>
      </x:c>
      <x:c r="G36" s="466">
        <x:v>313.31</x:v>
      </x:c>
      <x:c r="H36" s="465">
        <x:v>35.01</x:v>
      </x:c>
      <x:c r="I36" s="492">
        <x:v>45412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</x:row>
    <x:row r="37" spans="1:30" ht="15" customHeight="1" x14ac:dyDescent="0.25">
      <x:c r="A37" s="461" t="s">
        <x:v>49</x:v>
      </x:c>
      <x:c r="B37" s="506" t="s">
        <x:v>26</x:v>
      </x:c>
      <x:c r="C37" s="463" t="s">
        <x:v>256</x:v>
      </x:c>
      <x:c r="D37" s="464">
        <x:v>45302</x:v>
      </x:c>
      <x:c r="E37" s="465">
        <x:v>46.8</x:v>
      </x:c>
      <x:c r="F37" s="465">
        <x:v>7.02</x:v>
      </x:c>
      <x:c r="G37" s="466">
        <x:v>42.72</x:v>
      </x:c>
      <x:c r="H37" s="465">
        <x:v>4.77</x:v>
      </x:c>
      <x:c r="I37" s="492">
        <x:v>45391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</x:row>
    <x:row r="38" spans="1:30" ht="15" customHeight="1" x14ac:dyDescent="0.25">
      <x:c r="A38" s="461" t="s">
        <x:v>49</x:v>
      </x:c>
      <x:c r="B38" s="506" t="s">
        <x:v>26</x:v>
      </x:c>
      <x:c r="C38" s="463" t="s">
        <x:v>257</x:v>
      </x:c>
      <x:c r="D38" s="464">
        <x:v>45302</x:v>
      </x:c>
      <x:c r="E38" s="465">
        <x:v>10.8</x:v>
      </x:c>
      <x:c r="F38" s="465">
        <x:v>1.62</x:v>
      </x:c>
      <x:c r="G38" s="466">
        <x:v>9.86</x:v>
      </x:c>
      <x:c r="H38" s="465">
        <x:v>1.1</x:v>
      </x:c>
      <x:c r="I38" s="492">
        <x:v>45412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</x:row>
    <x:row r="39" spans="1:30" ht="15" customHeight="1" x14ac:dyDescent="0.25">
      <x:c r="A39" s="461" t="s">
        <x:v>114</x:v>
      </x:c>
      <x:c r="B39" s="506" t="s">
        <x:v>26</x:v>
      </x:c>
      <x:c r="C39" s="463" t="s">
        <x:v>258</x:v>
      </x:c>
      <x:c r="D39" s="464">
        <x:v>45320</x:v>
      </x:c>
      <x:c r="E39" s="465">
        <x:v>347.16</x:v>
      </x:c>
      <x:c r="F39" s="465">
        <x:v>69.43</x:v>
      </x:c>
      <x:c r="G39" s="466">
        <x:v>298.28</x:v>
      </x:c>
      <x:c r="H39" s="465">
        <x:v>33.33</x:v>
      </x:c>
      <x:c r="I39" s="492">
        <x:v>45390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</x:row>
    <x:row r="40" spans="1:30" ht="15" customHeight="1" x14ac:dyDescent="0.25">
      <x:c r="A40" s="461" t="s">
        <x:v>49</x:v>
      </x:c>
      <x:c r="B40" s="506" t="s">
        <x:v>26</x:v>
      </x:c>
      <x:c r="C40" s="463" t="s">
        <x:v>259</x:v>
      </x:c>
      <x:c r="D40" s="464">
        <x:v>45330</x:v>
      </x:c>
      <x:c r="E40" s="465">
        <x:v>110.88</x:v>
      </x:c>
      <x:c r="F40" s="465">
        <x:v>16.63</x:v>
      </x:c>
      <x:c r="G40" s="466">
        <x:v>101.23</x:v>
      </x:c>
      <x:c r="H40" s="465">
        <x:v>11.31</x:v>
      </x:c>
      <x:c r="I40" s="467">
        <x:v>45412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</x:row>
    <x:row r="41" spans="1:30" ht="15" customHeight="1" x14ac:dyDescent="0.25">
      <x:c r="A41" s="461" t="s">
        <x:v>49</x:v>
      </x:c>
      <x:c r="B41" s="506" t="s">
        <x:v>26</x:v>
      </x:c>
      <x:c r="C41" s="463" t="s">
        <x:v>260</x:v>
      </x:c>
      <x:c r="D41" s="464">
        <x:v>45336</x:v>
      </x:c>
      <x:c r="E41" s="465">
        <x:v>128.52</x:v>
      </x:c>
      <x:c r="F41" s="465">
        <x:v>19.28</x:v>
      </x:c>
      <x:c r="G41" s="466">
        <x:v>117.33</x:v>
      </x:c>
      <x:c r="H41" s="465">
        <x:v>13.11</x:v>
      </x:c>
      <x:c r="I41" s="467">
        <x:v>45412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</x:row>
    <x:row r="42" spans="1:30" ht="15" customHeight="1" x14ac:dyDescent="0.25">
      <x:c r="A42" s="461" t="s">
        <x:v>114</x:v>
      </x:c>
      <x:c r="B42" s="506" t="s">
        <x:v>26</x:v>
      </x:c>
      <x:c r="C42" s="463" t="s">
        <x:v>261</x:v>
      </x:c>
      <x:c r="D42" s="464">
        <x:v>45342</x:v>
      </x:c>
      <x:c r="E42" s="465">
        <x:v>214.2</x:v>
      </x:c>
      <x:c r="F42" s="465">
        <x:v>42.84</x:v>
      </x:c>
      <x:c r="G42" s="466">
        <x:v>184.04</x:v>
      </x:c>
      <x:c r="H42" s="465">
        <x:v>20.56</x:v>
      </x:c>
      <x:c r="I42" s="467">
        <x:v>45390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</x:row>
    <x:row r="43" spans="1:30" ht="15" customHeight="1" x14ac:dyDescent="0.25">
      <x:c r="A43" s="461" t="s">
        <x:v>101</x:v>
      </x:c>
      <x:c r="B43" s="506" t="s">
        <x:v>26</x:v>
      </x:c>
      <x:c r="C43" s="463" t="s">
        <x:v>262</x:v>
      </x:c>
      <x:c r="D43" s="464">
        <x:v>45359</x:v>
      </x:c>
      <x:c r="E43" s="465">
        <x:v>169.2</x:v>
      </x:c>
      <x:c r="F43" s="465">
        <x:v>25.38</x:v>
      </x:c>
      <x:c r="G43" s="466">
        <x:v>154.46</x:v>
      </x:c>
      <x:c r="H43" s="465">
        <x:v>17.26</x:v>
      </x:c>
      <x:c r="I43" s="467">
        <x:v>45392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</x:row>
    <x:row r="44" spans="1:30" ht="15" customHeight="1" x14ac:dyDescent="0.25">
      <x:c r="A44" s="461" t="s">
        <x:v>164</x:v>
      </x:c>
      <x:c r="B44" s="506" t="s">
        <x:v>26</x:v>
      </x:c>
      <x:c r="C44" s="463" t="s">
        <x:v>263</x:v>
      </x:c>
      <x:c r="D44" s="464">
        <x:v>45366</x:v>
      </x:c>
      <x:c r="E44" s="465">
        <x:v>216</x:v>
      </x:c>
      <x:c r="F44" s="465">
        <x:v>32.4</x:v>
      </x:c>
      <x:c r="G44" s="466">
        <x:v>195.81</x:v>
      </x:c>
      <x:c r="H44" s="465">
        <x:v>22.03</x:v>
      </x:c>
      <x:c r="I44" s="467">
        <x:v>45405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</x:row>
    <x:row r="45" spans="1:30" ht="15" customHeight="1" x14ac:dyDescent="0.25">
      <x:c r="A45" s="461" t="s">
        <x:v>52</x:v>
      </x:c>
      <x:c r="B45" s="505" t="s">
        <x:v>53</x:v>
      </x:c>
      <x:c r="C45" s="463" t="s">
        <x:v>264</x:v>
      </x:c>
      <x:c r="D45" s="464">
        <x:v>45379</x:v>
      </x:c>
      <x:c r="E45" s="465">
        <x:v>634.32</x:v>
      </x:c>
      <x:c r="F45" s="465">
        <x:v>158.58</x:v>
      </x:c>
      <x:c r="G45" s="466">
        <x:v>532.83</x:v>
      </x:c>
      <x:c r="H45" s="465">
        <x:v>57.09</x:v>
      </x:c>
      <x:c r="I45" s="521">
        <x:v>45401</x:v>
      </x:c>
      <x:c r="J45" s="433">
        <x:f>+E45-F45</x:f>
      </x:c>
      <x:c r="K45" s="468">
        <x:f>+I45-D45</x:f>
      </x:c>
      <x:c r="L45" s="503">
        <x:v>0.035</x:v>
      </x:c>
      <x:c r="M45" s="504">
        <x:f>+J45*L45</x:f>
      </x:c>
    </x:row>
    <x:row r="46" spans="1:30" ht="15" customHeight="1" x14ac:dyDescent="0.25">
      <x:c r="A46" s="461" t="s">
        <x:v>52</x:v>
      </x:c>
      <x:c r="B46" s="505" t="s">
        <x:v>53</x:v>
      </x:c>
      <x:c r="C46" s="463" t="s">
        <x:v>265</x:v>
      </x:c>
      <x:c r="D46" s="464">
        <x:v>45383</x:v>
      </x:c>
      <x:c r="E46" s="465">
        <x:v>1108.8</x:v>
      </x:c>
      <x:c r="F46" s="465">
        <x:v>277.2</x:v>
      </x:c>
      <x:c r="G46" s="466">
        <x:v>956.34</x:v>
      </x:c>
      <x:c r="H46" s="465">
        <x:v>124.74</x:v>
      </x:c>
      <x:c r="I46" s="521">
        <x:v>45401</x:v>
      </x:c>
      <x:c r="J46" s="433">
        <x:f>+E46-F46</x:f>
      </x:c>
      <x:c r="K46" s="468">
        <x:f>+I46-D46</x:f>
      </x:c>
      <x:c r="L46" s="503">
        <x:v>0.035</x:v>
      </x:c>
      <x:c r="M46" s="504">
        <x:f>+J46*L46</x:f>
      </x:c>
    </x:row>
    <x:row r="47" spans="1:30" ht="15" customHeight="1" x14ac:dyDescent="0.25">
      <x:c r="A47" s="461" t="s">
        <x:v>217</x:v>
      </x:c>
      <x:c r="B47" s="505" t="s">
        <x:v>53</x:v>
      </x:c>
      <x:c r="C47" s="463" t="s">
        <x:v>266</x:v>
      </x:c>
      <x:c r="D47" s="464">
        <x:v>45383</x:v>
      </x:c>
      <x:c r="E47" s="465">
        <x:v>797.04</x:v>
      </x:c>
      <x:c r="F47" s="465">
        <x:v>199.26</x:v>
      </x:c>
      <x:c r="G47" s="466">
        <x:v>654.57</x:v>
      </x:c>
      <x:c r="H47" s="465">
        <x:v>89.67</x:v>
      </x:c>
      <x:c r="I47" s="492">
        <x:v>45392</x:v>
      </x:c>
      <x:c r="J47" s="433">
        <x:f>+E47-F47</x:f>
      </x:c>
      <x:c r="K47" s="468">
        <x:f>+I47-D47</x:f>
      </x:c>
      <x:c r="L47" s="503">
        <x:v>0.035</x:v>
      </x:c>
      <x:c r="M47" s="504">
        <x:f>+J47*L47</x:f>
      </x:c>
    </x:row>
    <x:row r="48" spans="1:30" ht="15" customHeight="1" s="434" customFormat="1" x14ac:dyDescent="0.25">
      <x:c r="A48" s="461" t="s">
        <x:v>267</x:v>
      </x:c>
      <x:c r="B48" s="505" t="s">
        <x:v>26</x:v>
      </x:c>
      <x:c r="C48" s="463" t="s">
        <x:v>268</x:v>
      </x:c>
      <x:c r="D48" s="464">
        <x:v>45386</x:v>
      </x:c>
      <x:c r="E48" s="465">
        <x:v>86.4</x:v>
      </x:c>
      <x:c r="F48" s="465">
        <x:v>10.36</x:v>
      </x:c>
      <x:c r="G48" s="466">
        <x:v>83.17</x:v>
      </x:c>
      <x:c r="H48" s="465">
        <x:v>11.41</x:v>
      </x:c>
      <x:c r="I48" s="492">
        <x:v>45390</x:v>
      </x:c>
      <x:c r="J48" s="433">
        <x:f>+E48-F48</x:f>
      </x:c>
      <x:c r="K48" s="468">
        <x:f>+I48-D48</x:f>
      </x:c>
      <x:c r="L48" s="503">
        <x:v>0.04</x:v>
      </x:c>
      <x:c r="M48" s="504">
        <x:f>+J48*L48</x:f>
      </x:c>
      <x:c r="N48" s="470"/>
    </x:row>
    <x:row r="49" spans="1:30" ht="15" customHeight="1" x14ac:dyDescent="0.25">
      <x:c r="A49" s="461" t="s">
        <x:v>75</x:v>
      </x:c>
      <x:c r="B49" s="505" t="s">
        <x:v>26</x:v>
      </x:c>
      <x:c r="C49" s="463" t="s">
        <x:v>269</x:v>
      </x:c>
      <x:c r="D49" s="464">
        <x:v>45392</x:v>
      </x:c>
      <x:c r="E49" s="465">
        <x:v>70.2</x:v>
      </x:c>
      <x:c r="F49" s="465">
        <x:v>10.53</x:v>
      </x:c>
      <x:c r="G49" s="466">
        <x:v>68.62</x:v>
      </x:c>
      <x:c r="H49" s="465">
        <x:v>8.95</x:v>
      </x:c>
      <x:c r="I49" s="492">
        <x:v>45407</x:v>
      </x:c>
      <x:c r="J49" s="433">
        <x:f>+E49-F49</x:f>
      </x:c>
      <x:c r="K49" s="468">
        <x:f>+I49-D49</x:f>
      </x:c>
      <x:c r="L49" s="503">
        <x:v>0.035</x:v>
      </x:c>
      <x:c r="M49" s="504">
        <x:f>+J49*L49</x:f>
      </x:c>
    </x:row>
    <x:row r="50" spans="1:30" ht="15" customHeight="1" x14ac:dyDescent="0.25">
      <x:c r="A50" s="461" t="s">
        <x:v>109</x:v>
      </x:c>
      <x:c r="B50" s="505" t="s">
        <x:v>110</x:v>
      </x:c>
      <x:c r="C50" s="463" t="s">
        <x:v>270</x:v>
      </x:c>
      <x:c r="D50" s="464">
        <x:v>45404</x:v>
      </x:c>
      <x:c r="E50" s="465">
        <x:v>83.16</x:v>
      </x:c>
      <x:c r="F50" s="465">
        <x:v>12.47</x:v>
      </x:c>
      <x:c r="G50" s="466">
        <x:v>76.87</x:v>
      </x:c>
      <x:c r="H50" s="465">
        <x:v>10.6</x:v>
      </x:c>
      <x:c r="I50" s="492">
        <x:v>45411</x:v>
      </x:c>
      <x:c r="J50" s="433">
        <x:f>+E50-F50</x:f>
      </x:c>
      <x:c r="K50" s="468">
        <x:f>+I50-D50</x:f>
      </x:c>
      <x:c r="L50" s="503">
        <x:v>0.04</x:v>
      </x:c>
      <x:c r="M50" s="504">
        <x:f>+J50*L50</x:f>
      </x:c>
    </x:row>
    <x:row r="51" spans="1:30" ht="15" customHeight="1" x14ac:dyDescent="0.25">
      <x:c r="A51" s="461"/>
      <x:c r="B51" s="507"/>
      <x:c r="C51" s="463"/>
      <x:c r="D51" s="464"/>
      <x:c r="E51" s="465"/>
      <x:c r="F51" s="465"/>
      <x:c r="G51" s="466"/>
      <x:c r="H51" s="465"/>
      <x:c r="I51" s="492"/>
      <x:c r="J51" s="433"/>
      <x:c r="K51" s="468"/>
      <x:c r="L51" s="503"/>
      <x:c r="M51" s="504"/>
    </x:row>
    <x:row r="52" spans="1:30" ht="15" customHeight="1" x14ac:dyDescent="0.3">
      <x:c r="A52" s="508"/>
      <x:c r="B52" s="509"/>
      <x:c r="C52" s="509"/>
      <x:c r="D52" s="510"/>
      <x:c r="E52" s="511"/>
      <x:c r="F52" s="511"/>
      <x:c r="G52" s="512"/>
      <x:c r="H52" s="513"/>
      <x:c r="I52" s="514"/>
      <x:c r="J52" s="433"/>
      <x:c r="K52" s="468"/>
      <x:c r="L52" s="503"/>
      <x:c r="M52" s="504"/>
      <x:c r="O52" s="515"/>
      <x:c r="P52" s="435"/>
      <x:c r="Q52" s="435"/>
    </x:row>
    <x:row r="53" spans="1:30" ht="15" customHeight="1" x14ac:dyDescent="0.3">
      <x:c r="G53" s="516">
        <x:f>SUM(G29:G52)</x:f>
      </x:c>
      <x:c r="J53" s="516">
        <x:f>SUM(J29:J52)</x:f>
      </x:c>
      <x:c r="M53" s="516">
        <x:f>SUM(M29:M52)</x:f>
      </x:c>
    </x:row>
    <x:row r="54" spans="1:30" ht="15" customHeight="1" x14ac:dyDescent="0.25">
      <x:c r="G54" s="435"/>
      <x:c r="H54" s="435"/>
    </x:row>
    <x:row r="55" spans="1:30" ht="15" customHeight="1" x14ac:dyDescent="0.25">
      <x:c r="A55" s="517" t="s">
        <x:v>30</x:v>
      </x:c>
      <x:c r="B55" s="517" t="s">
        <x:v>31</x:v>
      </x:c>
      <x:c r="C55" s="518" t="s">
        <x:v>32</x:v>
      </x:c>
      <x:c r="I55" s="435"/>
      <x:c r="J55" s="435"/>
    </x:row>
    <x:row r="56" spans="1:30" ht="15" customHeight="1" s="434" customFormat="1" x14ac:dyDescent="0.25">
      <x:c r="A56" s="486" t="s">
        <x:v>67</x:v>
      </x:c>
      <x:c r="B56" s="487" t="s">
        <x:v>271</x:v>
      </x:c>
      <x:c r="C56" s="488" t="s">
        <x:v>272</x:v>
      </x:c>
      <x:c r="D56" s="489">
        <x:v>45365</x:v>
      </x:c>
      <x:c r="E56" s="490">
        <x:v>232.56</x:v>
      </x:c>
      <x:c r="F56" s="490">
        <x:v>39.54</x:v>
      </x:c>
      <x:c r="G56" s="491">
        <x:v>216.18</x:v>
      </x:c>
      <x:c r="H56" s="490">
        <x:v>23.16</x:v>
      </x:c>
      <x:c r="I56" s="492">
        <x:v>45426</x:v>
      </x:c>
      <x:c r="J56" s="433">
        <x:f>+E56-F56</x:f>
      </x:c>
      <x:c r="K56" s="468">
        <x:f>+I56-D56</x:f>
      </x:c>
      <x:c r="L56" s="469">
        <x:v>0.03</x:v>
      </x:c>
      <x:c r="M56" s="433">
        <x:f>+J56*L56</x:f>
      </x:c>
      <x:c r="N56" s="470"/>
    </x:row>
    <x:row r="57" spans="1:30" ht="15" customHeight="1" s="434" customFormat="1" x14ac:dyDescent="0.25">
      <x:c r="A57" s="486" t="s">
        <x:v>118</x:v>
      </x:c>
      <x:c r="B57" s="487" t="s">
        <x:v>273</x:v>
      </x:c>
      <x:c r="C57" s="488" t="s">
        <x:v>274</x:v>
      </x:c>
      <x:c r="D57" s="489">
        <x:v>45379</x:v>
      </x:c>
      <x:c r="E57" s="490">
        <x:v>3022.2</x:v>
      </x:c>
      <x:c r="F57" s="490">
        <x:v>664.89</x:v>
      </x:c>
      <x:c r="G57" s="491">
        <x:v>2531.76</x:v>
      </x:c>
      <x:c r="H57" s="490">
        <x:v>282.88</x:v>
      </x:c>
      <x:c r="I57" s="489">
        <x:v>45417</x:v>
      </x:c>
      <x:c r="J57" s="433">
        <x:f>+E57-F57</x:f>
      </x:c>
      <x:c r="K57" s="468">
        <x:f>+I57-D57</x:f>
      </x:c>
      <x:c r="L57" s="469">
        <x:v>0.03</x:v>
      </x:c>
      <x:c r="M57" s="433">
        <x:f>+J57*L57</x:f>
      </x:c>
      <x:c r="N57" s="470"/>
    </x:row>
    <x:row r="58" spans="1:30" ht="15" customHeight="1" s="434" customFormat="1" x14ac:dyDescent="0.25">
      <x:c r="A58" s="486" t="s">
        <x:v>136</x:v>
      </x:c>
      <x:c r="B58" s="522" t="s">
        <x:v>275</x:v>
      </x:c>
      <x:c r="C58" s="488" t="s">
        <x:v>276</x:v>
      </x:c>
      <x:c r="D58" s="489">
        <x:v>45383</x:v>
      </x:c>
      <x:c r="E58" s="490">
        <x:v>912</x:v>
      </x:c>
      <x:c r="F58" s="490">
        <x:v>228</x:v>
      </x:c>
      <x:c r="G58" s="491">
        <x:f>786.6-6.84-30.78</x:f>
      </x:c>
      <x:c r="H58" s="490">
        <x:v>102.6</x:v>
      </x:c>
      <x:c r="I58" s="492">
        <x:v>45413</x:v>
      </x:c>
      <x:c r="J58" s="433">
        <x:f>+E58-F58</x:f>
      </x:c>
      <x:c r="K58" s="468">
        <x:f>+I58-D58</x:f>
      </x:c>
      <x:c r="L58" s="469">
        <x:v>0.03</x:v>
      </x:c>
      <x:c r="M58" s="433">
        <x:f>+J58*L58</x:f>
      </x:c>
      <x:c r="N58" s="470"/>
    </x:row>
    <x:row r="59" spans="1:30" ht="15" customHeight="1" s="434" customFormat="1" x14ac:dyDescent="0.25">
      <x:c r="A59" s="486" t="s">
        <x:v>67</x:v>
      </x:c>
      <x:c r="B59" s="487" t="s">
        <x:v>277</x:v>
      </x:c>
      <x:c r="C59" s="488" t="s">
        <x:v>278</x:v>
      </x:c>
      <x:c r="D59" s="489">
        <x:v>45384</x:v>
      </x:c>
      <x:c r="E59" s="490">
        <x:v>404.4</x:v>
      </x:c>
      <x:c r="F59" s="490">
        <x:v>68.74</x:v>
      </x:c>
      <x:c r="G59" s="502">
        <x:v>386.01</x:v>
      </x:c>
      <x:c r="H59" s="490">
        <x:v>50.35</x:v>
      </x:c>
      <x:c r="I59" s="492">
        <x:v>45445</x:v>
      </x:c>
      <x:c r="J59" s="433">
        <x:f>+E59-F59</x:f>
      </x:c>
      <x:c r="K59" s="468">
        <x:f>+I59-D59</x:f>
      </x:c>
      <x:c r="L59" s="469">
        <x:v>0.03</x:v>
      </x:c>
      <x:c r="M59" s="433">
        <x:f>+J59*L59</x:f>
      </x:c>
      <x:c r="N59" s="470"/>
    </x:row>
    <x:row r="60" spans="1:30" ht="15" customHeight="1" s="434" customFormat="1" x14ac:dyDescent="0.25">
      <x:c r="A60" s="486" t="s">
        <x:v>101</x:v>
      </x:c>
      <x:c r="B60" s="487" t="s">
        <x:v>279</x:v>
      </x:c>
      <x:c r="C60" s="488" t="s">
        <x:v>280</x:v>
      </x:c>
      <x:c r="D60" s="489">
        <x:v>45387</x:v>
      </x:c>
      <x:c r="E60" s="490">
        <x:v>174</x:v>
      </x:c>
      <x:c r="F60" s="490">
        <x:v>26.1</x:v>
      </x:c>
      <x:c r="G60" s="502">
        <x:v>161.95</x:v>
      </x:c>
      <x:c r="H60" s="490">
        <x:v>22.19</x:v>
      </x:c>
      <x:c r="I60" s="492">
        <x:v>45420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  <x:c r="N60" s="470"/>
    </x:row>
    <x:row r="61" spans="1:30" ht="15" customHeight="1" s="434" customFormat="1" x14ac:dyDescent="0.3">
      <x:c r="A61" s="471"/>
      <x:c r="B61" s="472"/>
      <x:c r="C61" s="472"/>
      <x:c r="D61" s="473"/>
      <x:c r="E61" s="474"/>
      <x:c r="F61" s="474"/>
      <x:c r="G61" s="475"/>
      <x:c r="H61" s="476"/>
      <x:c r="I61" s="477"/>
      <x:c r="J61" s="433"/>
      <x:c r="K61" s="468"/>
      <x:c r="L61" s="469"/>
      <x:c r="M61" s="433"/>
      <x:c r="N61" s="470"/>
    </x:row>
    <x:row r="62" spans="1:30" ht="15" customHeight="1" x14ac:dyDescent="0.35">
      <x:c r="A62" s="493" t="s">
        <x:v>43</x:v>
      </x:c>
      <x:c r="B62" s="493"/>
      <x:c r="C62" s="493"/>
      <x:c r="D62" s="493"/>
      <x:c r="E62" s="493"/>
      <x:c r="F62" s="493"/>
      <x:c r="G62" s="516">
        <x:f>SUM(G53:G61)</x:f>
      </x:c>
      <x:c r="J62" s="516">
        <x:f>SUM(J53:J61)</x:f>
      </x:c>
      <x:c r="L62" s="495"/>
      <x:c r="M62" s="519">
        <x:f>SUM(M53:M61)</x:f>
      </x:c>
      <x:c r="O62" s="429">
        <x:f>204.84+303.03</x:f>
      </x:c>
    </x:row>
    <x:row r="63" spans="1:30" ht="15" customHeight="1" x14ac:dyDescent="0.3">
      <x:c r="A63" s="520"/>
      <x:c r="G63" s="435"/>
    </x:row>
    <x:row r="64" spans="1:30" ht="15" customHeight="1" x14ac:dyDescent="0.3">
      <x:c r="A64" s="499"/>
      <x:c r="G64" s="435"/>
      <x:c r="J64" s="435"/>
    </x:row>
    <x:row r="65" spans="1:30" ht="15" customHeight="1" x14ac:dyDescent="0.3">
      <x:c r="A65" s="499"/>
      <x:c r="G65" s="435"/>
      <x:c r="J65" s="435"/>
    </x:row>
    <x:row r="66" spans="1:30" ht="15" customHeight="1" x14ac:dyDescent="0.3">
      <x:c r="A66" s="499"/>
      <x:c r="G66" s="435"/>
      <x:c r="J66" s="435"/>
    </x:row>
    <x:row r="67" spans="1:30" ht="15" customHeight="1" x14ac:dyDescent="0.3">
      <x:c r="A67" s="499"/>
      <x:c r="G67" s="435"/>
      <x:c r="J67" s="435"/>
    </x:row>
    <x:row r="68" spans="1:30" ht="15" customHeight="1" x14ac:dyDescent="0.3">
      <x:c r="A68" s="499"/>
      <x:c r="G68" s="435"/>
      <x:c r="J68" s="435"/>
    </x:row>
    <x:row r="69" spans="1:30" ht="15" customHeight="1" x14ac:dyDescent="0.3">
      <x:c r="A69" s="499"/>
      <x:c r="G69" s="435"/>
      <x:c r="J69" s="435">
        <x:f>(J19+J62)*2%</x:f>
      </x:c>
      <x:c r="M69" s="435">
        <x:f>M19/12</x:f>
      </x:c>
      <x:c r="N69" s="431" t="s">
        <x:v>237</x:v>
      </x:c>
    </x:row>
    <x:row r="70" spans="1:30" ht="15" customHeight="1" x14ac:dyDescent="0.3">
      <x:c r="A70" s="499"/>
      <x:c r="G70" s="435"/>
      <x:c r="J70" s="435">
        <x:f>J69/12</x:f>
      </x:c>
      <x:c r="M70" s="435">
        <x:f>M19/24</x:f>
      </x:c>
      <x:c r="N70" s="431" t="s">
        <x:v>237</x:v>
      </x:c>
    </x:row>
    <x:row r="71" spans="1:30" ht="15" customHeight="1" x14ac:dyDescent="0.3">
      <x:c r="A71" s="499"/>
      <x:c r="G71" s="435"/>
      <x:c r="J71" s="435">
        <x:f>J69/24</x:f>
      </x:c>
      <x:c r="M71" s="435">
        <x:f>M62/12</x:f>
      </x:c>
      <x:c r="N71" s="431" t="s">
        <x:v>238</x:v>
      </x:c>
      <x:c r="O71" s="435">
        <x:f>M69+M71</x:f>
      </x:c>
    </x:row>
    <x:row r="72" spans="1:30" ht="15" customHeight="1" x14ac:dyDescent="0.3">
      <x:c r="A72" s="499"/>
      <x:c r="G72" s="435"/>
      <x:c r="J72" s="435"/>
      <x:c r="M72" s="435">
        <x:f>M62/24</x:f>
      </x:c>
      <x:c r="N72" s="431" t="s">
        <x:v>238</x:v>
      </x:c>
      <x:c r="O72" s="435">
        <x:f>M70+M72</x:f>
      </x:c>
    </x:row>
    <x:row r="73" spans="1:30" ht="15" customHeight="1" x14ac:dyDescent="0.3">
      <x:c r="A73" s="499"/>
      <x:c r="G73" s="435"/>
      <x:c r="J73" s="435"/>
      <x:c r="M73" s="435"/>
    </x:row>
    <x:row r="74" spans="1:30" ht="15" customHeight="1" x14ac:dyDescent="0.3">
      <x:c r="A74" s="499"/>
      <x:c r="G74" s="435"/>
      <x:c r="J74" s="435"/>
      <x:c r="M74" s="429">
        <x:f>17.76+27.58</x:f>
      </x:c>
    </x:row>
    <x:row r="75" spans="1:30" ht="15" customHeight="1" x14ac:dyDescent="0.3">
      <x:c r="A75" s="499"/>
      <x:c r="G75" s="435"/>
      <x:c r="J75" s="435"/>
    </x:row>
    <x:row r="76" spans="1:30" ht="15" customHeight="1" x14ac:dyDescent="0.3">
      <x:c r="A76" s="499"/>
      <x:c r="G76" s="435"/>
      <x:c r="J76" s="435"/>
    </x:row>
    <x:row r="77" spans="1:30" ht="15" customHeight="1" x14ac:dyDescent="0.3">
      <x:c r="A77" s="499"/>
      <x:c r="G77" s="435"/>
      <x:c r="J77" s="435"/>
    </x:row>
    <x:row r="78" spans="1:30" ht="15" customHeight="1" x14ac:dyDescent="0.3">
      <x:c r="A78" s="499"/>
      <x:c r="G78" s="435"/>
      <x:c r="J78" s="435"/>
    </x:row>
    <x:row r="79" spans="1:30" ht="15" customHeight="1" x14ac:dyDescent="0.3">
      <x:c r="A79" s="520"/>
      <x:c r="K79" s="515"/>
    </x:row>
  </x:sheetData>
  <x:sortState xmlns:xlrd2="http://schemas.microsoft.com/office/spreadsheetml/2017/richdata2" ref="A29:AD50">
    <x:sortCondition ref="C29:C50"/>
  </x:sortState>
  <x:mergeCells count="7">
    <x:mergeCell ref="A2:F2"/>
    <x:mergeCell ref="A3:F3"/>
    <x:mergeCell ref="A10:F10"/>
    <x:mergeCell ref="A19:F19"/>
    <x:mergeCell ref="A23:F23"/>
    <x:mergeCell ref="A24:F24"/>
    <x:mergeCell ref="A62:F62"/>
  </x:mergeCells>
  <x:printOptions horizontalCentered="0" verticalCentered="0" headings="0" gridLines="0"/>
  <x:pageMargins left="0.3937007874015748" right="0" top="0.3937007874015748" bottom="0" header="0" footer="0"/>
  <x:pageSetup paperSize="9" scale="85" pageOrder="downThenOver" orientation="landscape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AD106"/>
  <x:sheetViews>
    <x:sheetView topLeftCell="I86" workbookViewId="0">
      <x:selection activeCell="C86" sqref="C86"/>
    </x:sheetView>
  </x:sheetViews>
  <x:sheetFormatPr baseColWidth="10" defaultColWidth="11.441406" defaultRowHeight="13.2" x14ac:dyDescent="0.25"/>
  <x:cols>
    <x:col min="1" max="1" width="43.109375" style="429" customWidth="1"/>
    <x:col min="2" max="2" width="27.554688" style="429" customWidth="1"/>
    <x:col min="3" max="3" width="10.886719" style="429" customWidth="1"/>
    <x:col min="4" max="4" width="15.886719" style="430" customWidth="1"/>
    <x:col min="5" max="5" width="11.441406" style="429" customWidth="1"/>
    <x:col min="6" max="6" width="9.554688" style="429" customWidth="1"/>
    <x:col min="7" max="7" width="12.554688" style="429" customWidth="1"/>
    <x:col min="8" max="8" width="10.109375" style="429" customWidth="1"/>
    <x:col min="9" max="9" width="13.664062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9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281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2" customFormat="1" x14ac:dyDescent="0.25">
      <x:c r="A8" s="523" t="s">
        <x:v>82</x:v>
      </x:c>
      <x:c r="B8" s="524" t="s">
        <x:v>80</x:v>
      </x:c>
      <x:c r="C8" s="525" t="s">
        <x:v>282</x:v>
      </x:c>
      <x:c r="D8" s="526">
        <x:v>45363</x:v>
      </x:c>
      <x:c r="E8" s="527">
        <x:v>363</x:v>
      </x:c>
      <x:c r="F8" s="527">
        <x:v>72.59</x:v>
      </x:c>
      <x:c r="G8" s="528">
        <x:v>325.26</x:v>
      </x:c>
      <x:c r="H8" s="527">
        <x:v>34.85</x:v>
      </x:c>
      <x:c r="I8" s="529">
        <x:v>45432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</x:row>
    <x:row r="9" spans="1:30" ht="15" customHeight="1" s="433" customFormat="1" x14ac:dyDescent="0.25">
      <x:c r="A9" s="530" t="s">
        <x:v>33</x:v>
      </x:c>
      <x:c r="B9" s="524" t="s">
        <x:v>26</x:v>
      </x:c>
      <x:c r="C9" s="524" t="s">
        <x:v>283</x:v>
      </x:c>
      <x:c r="D9" s="529">
        <x:v>45364</x:v>
      </x:c>
      <x:c r="E9" s="531">
        <x:v>48.48</x:v>
      </x:c>
      <x:c r="F9" s="531">
        <x:v>7.27</x:v>
      </x:c>
      <x:c r="G9" s="532">
        <x:v>44.26</x:v>
      </x:c>
      <x:c r="H9" s="533">
        <x:v>4.95</x:v>
      </x:c>
      <x:c r="I9" s="534">
        <x:v>45440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3" customFormat="1" x14ac:dyDescent="0.25">
      <x:c r="A10" s="535" t="s">
        <x:v>25</x:v>
      </x:c>
      <x:c r="B10" s="536" t="s">
        <x:v>26</x:v>
      </x:c>
      <x:c r="C10" s="537" t="s">
        <x:v>284</x:v>
      </x:c>
      <x:c r="D10" s="538">
        <x:v>45364</x:v>
      </x:c>
      <x:c r="E10" s="539">
        <x:v>108</x:v>
      </x:c>
      <x:c r="F10" s="539">
        <x:v>21.6</x:v>
      </x:c>
      <x:c r="G10" s="528">
        <x:v>92.8</x:v>
      </x:c>
      <x:c r="H10" s="539">
        <x:v>10.37</x:v>
      </x:c>
      <x:c r="I10" s="540">
        <x:v>45439</x:v>
      </x:c>
      <x:c r="J10" s="433">
        <x:f>+E10-F10</x:f>
      </x:c>
      <x:c r="K10" s="468">
        <x:f>+I10-D10</x:f>
      </x:c>
      <x:c r="L10" s="469">
        <x:v>0.03</x:v>
      </x:c>
      <x:c r="M10" s="433">
        <x:f>+J10*L10</x:f>
      </x:c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3" customFormat="1" x14ac:dyDescent="0.25">
      <x:c r="A11" s="535" t="s">
        <x:v>25</x:v>
      </x:c>
      <x:c r="B11" s="536" t="s">
        <x:v>26</x:v>
      </x:c>
      <x:c r="C11" s="537" t="s">
        <x:v>285</x:v>
      </x:c>
      <x:c r="D11" s="538">
        <x:v>45366</x:v>
      </x:c>
      <x:c r="E11" s="539">
        <x:v>259.2</x:v>
      </x:c>
      <x:c r="F11" s="539">
        <x:v>51.84</x:v>
      </x:c>
      <x:c r="G11" s="528">
        <x:v>222.71</x:v>
      </x:c>
      <x:c r="H11" s="539">
        <x:v>24.88</x:v>
      </x:c>
      <x:c r="I11" s="540">
        <x:v>45439</x:v>
      </x:c>
      <x:c r="J11" s="433">
        <x:f>+E11-F11</x:f>
      </x:c>
      <x:c r="K11" s="468">
        <x:f>+I11-D11</x:f>
      </x:c>
      <x:c r="L11" s="469">
        <x:v>0.03</x:v>
      </x:c>
      <x:c r="M11" s="433">
        <x:f>+J11*L11</x:f>
      </x:c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3" customFormat="1" x14ac:dyDescent="0.25">
      <x:c r="A12" s="535" t="s">
        <x:v>25</x:v>
      </x:c>
      <x:c r="B12" s="536" t="s">
        <x:v>26</x:v>
      </x:c>
      <x:c r="C12" s="537" t="s">
        <x:v>286</x:v>
      </x:c>
      <x:c r="D12" s="538">
        <x:v>45370</x:v>
      </x:c>
      <x:c r="E12" s="539">
        <x:v>648</x:v>
      </x:c>
      <x:c r="F12" s="539">
        <x:v>129.6</x:v>
      </x:c>
      <x:c r="G12" s="528">
        <x:v>556.77</x:v>
      </x:c>
      <x:c r="H12" s="539">
        <x:v>62.21</x:v>
      </x:c>
      <x:c r="I12" s="541">
        <x:v>45439</x:v>
      </x:c>
      <x:c r="J12" s="433">
        <x:f>+E12-F12</x:f>
      </x:c>
      <x:c r="K12" s="468">
        <x:f>+I12-D12</x:f>
      </x:c>
      <x:c r="L12" s="469">
        <x:v>0.03</x:v>
      </x:c>
      <x:c r="M12" s="433">
        <x:f>+J12*L12</x:f>
      </x:c>
      <x:c r="N12" s="470"/>
      <x:c r="O12" s="432"/>
      <x:c r="P12" s="432"/>
      <x:c r="Q12" s="432"/>
      <x:c r="R12" s="432"/>
      <x:c r="S12" s="432"/>
      <x:c r="T12" s="432"/>
      <x:c r="U12" s="432"/>
      <x:c r="V12" s="432"/>
      <x:c r="W12" s="432"/>
      <x:c r="X12" s="432"/>
      <x:c r="Y12" s="432"/>
      <x:c r="Z12" s="432"/>
      <x:c r="AA12" s="432"/>
      <x:c r="AB12" s="432"/>
      <x:c r="AC12" s="432"/>
      <x:c r="AD12" s="432"/>
    </x:row>
    <x:row r="13" spans="1:30" ht="15" customHeight="1" s="433" customFormat="1" x14ac:dyDescent="0.25">
      <x:c r="A13" s="530" t="s">
        <x:v>287</x:v>
      </x:c>
      <x:c r="B13" s="524" t="s">
        <x:v>288</x:v>
      </x:c>
      <x:c r="C13" s="524" t="s">
        <x:v>289</x:v>
      </x:c>
      <x:c r="D13" s="529">
        <x:v>45384</x:v>
      </x:c>
      <x:c r="E13" s="531">
        <x:v>249</x:v>
      </x:c>
      <x:c r="F13" s="531">
        <x:v>37.35</x:v>
      </x:c>
      <x:c r="G13" s="532">
        <x:v>243.4</x:v>
      </x:c>
      <x:c r="H13" s="533">
        <x:v>31.75</x:v>
      </x:c>
      <x:c r="I13" s="534">
        <x:v>45443</x:v>
      </x:c>
      <x:c r="J13" s="433">
        <x:f>+E13-F13</x:f>
      </x:c>
      <x:c r="K13" s="468">
        <x:f>+I13-D13</x:f>
      </x:c>
      <x:c r="L13" s="469">
        <x:v>0.03</x:v>
      </x:c>
      <x:c r="M13" s="433">
        <x:f>+J13*L13</x:f>
      </x:c>
      <x:c r="N13" s="470"/>
      <x:c r="O13" s="432"/>
      <x:c r="P13" s="432"/>
      <x:c r="Q13" s="432"/>
      <x:c r="R13" s="432"/>
      <x:c r="S13" s="432"/>
      <x:c r="T13" s="432"/>
      <x:c r="U13" s="432"/>
      <x:c r="V13" s="432"/>
      <x:c r="W13" s="432"/>
      <x:c r="X13" s="432"/>
      <x:c r="Y13" s="432"/>
      <x:c r="Z13" s="432"/>
      <x:c r="AA13" s="432"/>
      <x:c r="AB13" s="432"/>
      <x:c r="AC13" s="432"/>
      <x:c r="AD13" s="432"/>
    </x:row>
    <x:row r="14" spans="1:30" ht="15" customHeight="1" s="432" customFormat="1" x14ac:dyDescent="0.25">
      <x:c r="A14" s="542" t="s">
        <x:v>33</x:v>
      </x:c>
      <x:c r="B14" s="524" t="s">
        <x:v>26</x:v>
      </x:c>
      <x:c r="C14" s="525" t="s">
        <x:v>290</x:v>
      </x:c>
      <x:c r="D14" s="526">
        <x:v>45385</x:v>
      </x:c>
      <x:c r="E14" s="527">
        <x:v>271.68</x:v>
      </x:c>
      <x:c r="F14" s="527">
        <x:v>40.76</x:v>
      </x:c>
      <x:c r="G14" s="528">
        <x:v>252.86</x:v>
      </x:c>
      <x:c r="H14" s="527">
        <x:v>34.64</x:v>
      </x:c>
      <x:c r="I14" s="529">
        <x:v>45440</x:v>
      </x:c>
      <x:c r="J14" s="433">
        <x:f>+E14-F14</x:f>
      </x:c>
      <x:c r="K14" s="468">
        <x:f>+I14-D14</x:f>
      </x:c>
      <x:c r="L14" s="469">
        <x:v>0.03</x:v>
      </x:c>
      <x:c r="M14" s="433">
        <x:f>+J14*L14</x:f>
      </x:c>
      <x:c r="N14" s="470"/>
    </x:row>
    <x:row r="15" spans="1:30" ht="15" customHeight="1" s="432" customFormat="1" x14ac:dyDescent="0.25">
      <x:c r="A15" s="542" t="s">
        <x:v>33</x:v>
      </x:c>
      <x:c r="B15" s="524" t="s">
        <x:v>26</x:v>
      </x:c>
      <x:c r="C15" s="525" t="s">
        <x:v>291</x:v>
      </x:c>
      <x:c r="D15" s="526">
        <x:v>45391</x:v>
      </x:c>
      <x:c r="E15" s="527">
        <x:v>366.84</x:v>
      </x:c>
      <x:c r="F15" s="527">
        <x:v>55.03</x:v>
      </x:c>
      <x:c r="G15" s="528">
        <x:v>341.43</x:v>
      </x:c>
      <x:c r="H15" s="527">
        <x:v>46.77</x:v>
      </x:c>
      <x:c r="I15" s="529">
        <x:v>45440</x:v>
      </x:c>
      <x:c r="J15" s="433">
        <x:f>+E15-F15</x:f>
      </x:c>
      <x:c r="K15" s="468">
        <x:f>+I15-D15</x:f>
      </x:c>
      <x:c r="L15" s="469">
        <x:v>0.03</x:v>
      </x:c>
      <x:c r="M15" s="433">
        <x:f>+J15*L15</x:f>
      </x:c>
      <x:c r="N15" s="470"/>
    </x:row>
    <x:row r="16" spans="1:30" ht="15" customHeight="1" s="433" customFormat="1" x14ac:dyDescent="0.25">
      <x:c r="A16" s="530" t="s">
        <x:v>25</x:v>
      </x:c>
      <x:c r="B16" s="524" t="s">
        <x:v>26</x:v>
      </x:c>
      <x:c r="C16" s="524" t="s">
        <x:v>292</x:v>
      </x:c>
      <x:c r="D16" s="529">
        <x:v>45397</x:v>
      </x:c>
      <x:c r="E16" s="531">
        <x:v>648</x:v>
      </x:c>
      <x:c r="F16" s="531">
        <x:v>129.6</x:v>
      </x:c>
      <x:c r="G16" s="532">
        <x:v>567.65</x:v>
      </x:c>
      <x:c r="H16" s="533">
        <x:v>77.76</x:v>
      </x:c>
      <x:c r="I16" s="534">
        <x:v>45439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  <x:c r="O16" s="432"/>
      <x:c r="P16" s="432"/>
      <x:c r="Q16" s="432"/>
      <x:c r="R16" s="432"/>
      <x:c r="S16" s="432"/>
      <x:c r="T16" s="432"/>
      <x:c r="U16" s="432"/>
      <x:c r="V16" s="432"/>
      <x:c r="W16" s="432"/>
      <x:c r="X16" s="432"/>
      <x:c r="Y16" s="432"/>
      <x:c r="Z16" s="432"/>
      <x:c r="AA16" s="432"/>
      <x:c r="AB16" s="432"/>
      <x:c r="AC16" s="432"/>
      <x:c r="AD16" s="432"/>
    </x:row>
    <x:row r="17" spans="1:30" ht="15" customHeight="1" s="432" customFormat="1" x14ac:dyDescent="0.25">
      <x:c r="A17" s="542" t="s">
        <x:v>25</x:v>
      </x:c>
      <x:c r="B17" s="524" t="s">
        <x:v>26</x:v>
      </x:c>
      <x:c r="C17" s="525" t="s">
        <x:v>293</x:v>
      </x:c>
      <x:c r="D17" s="526">
        <x:v>45399</x:v>
      </x:c>
      <x:c r="E17" s="527">
        <x:v>1458</x:v>
      </x:c>
      <x:c r="F17" s="527">
        <x:v>291.6</x:v>
      </x:c>
      <x:c r="G17" s="528">
        <x:v>1277.21</x:v>
      </x:c>
      <x:c r="H17" s="527">
        <x:v>174.96</x:v>
      </x:c>
      <x:c r="I17" s="529">
        <x:v>45439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</x:row>
    <x:row r="18" spans="1:30" ht="15" customHeight="1" s="432" customFormat="1" x14ac:dyDescent="0.25">
      <x:c r="A18" s="535" t="s">
        <x:v>33</x:v>
      </x:c>
      <x:c r="B18" s="543" t="s">
        <x:v>26</x:v>
      </x:c>
      <x:c r="C18" s="537" t="s">
        <x:v>294</x:v>
      </x:c>
      <x:c r="D18" s="538">
        <x:v>45399</x:v>
      </x:c>
      <x:c r="E18" s="539">
        <x:v>70.56</x:v>
      </x:c>
      <x:c r="F18" s="539">
        <x:v>10.58</x:v>
      </x:c>
      <x:c r="G18" s="528">
        <x:f>68.98-0.6-2.7</x:f>
      </x:c>
      <x:c r="H18" s="539">
        <x:v>9</x:v>
      </x:c>
      <x:c r="I18" s="544">
        <x:v>45443</x:v>
      </x:c>
      <x:c r="J18" s="433">
        <x:f>+E18-F18</x:f>
      </x:c>
      <x:c r="K18" s="468">
        <x:f>+I18-D18</x:f>
      </x:c>
      <x:c r="L18" s="469">
        <x:v>0.03</x:v>
      </x:c>
      <x:c r="M18" s="433">
        <x:f>+J18*L18</x:f>
      </x:c>
      <x:c r="N18" s="470"/>
    </x:row>
    <x:row r="19" spans="1:30" ht="15" customHeight="1" s="433" customFormat="1" x14ac:dyDescent="0.25">
      <x:c r="A19" s="530" t="s">
        <x:v>205</x:v>
      </x:c>
      <x:c r="B19" s="524" t="s">
        <x:v>26</x:v>
      </x:c>
      <x:c r="C19" s="524" t="s">
        <x:v>295</x:v>
      </x:c>
      <x:c r="D19" s="529">
        <x:v>45442</x:v>
      </x:c>
      <x:c r="E19" s="531">
        <x:v>118.8</x:v>
      </x:c>
      <x:c r="F19" s="531">
        <x:v>0</x:v>
      </x:c>
      <x:c r="G19" s="532">
        <x:v>130.08</x:v>
      </x:c>
      <x:c r="H19" s="533">
        <x:v>17.82</x:v>
      </x:c>
      <x:c r="I19" s="534">
        <x:v>45443</x:v>
      </x:c>
      <x:c r="J19" s="433">
        <x:f>+E19-F19</x:f>
      </x:c>
      <x:c r="K19" s="468">
        <x:f>+I19-D19</x:f>
      </x:c>
      <x:c r="L19" s="469">
        <x:v>0.04</x:v>
      </x:c>
      <x:c r="M19" s="433">
        <x:f>+J19*L19</x:f>
      </x:c>
      <x:c r="N19" s="470"/>
      <x:c r="O19" s="432"/>
      <x:c r="P19" s="432"/>
      <x:c r="Q19" s="432"/>
      <x:c r="R19" s="432"/>
      <x:c r="S19" s="432"/>
      <x:c r="T19" s="432"/>
      <x:c r="U19" s="432"/>
      <x:c r="V19" s="432"/>
      <x:c r="W19" s="432"/>
      <x:c r="X19" s="432"/>
      <x:c r="Y19" s="432"/>
      <x:c r="Z19" s="432"/>
      <x:c r="AA19" s="432"/>
      <x:c r="AB19" s="432"/>
      <x:c r="AC19" s="432"/>
      <x:c r="AD19" s="432"/>
    </x:row>
    <x:row r="20" spans="1:30" ht="15" customHeight="1" s="434" customFormat="1" x14ac:dyDescent="0.25">
      <x:c r="A20" s="478"/>
      <x:c r="B20" s="478"/>
      <x:c r="C20" s="478"/>
      <x:c r="D20" s="478"/>
      <x:c r="E20" s="478"/>
      <x:c r="F20" s="478"/>
      <x:c r="G20" s="479">
        <x:f>SUM(G8:G19)</x:f>
      </x:c>
      <x:c r="H20" s="480"/>
      <x:c r="I20" s="481"/>
      <x:c r="J20" s="479">
        <x:f>SUM(J8:J19)</x:f>
      </x:c>
      <x:c r="K20" s="482"/>
      <x:c r="L20" s="482"/>
      <x:c r="M20" s="479">
        <x:f>SUM(M8:M19)</x:f>
      </x:c>
      <x:c r="N20" s="470"/>
    </x:row>
    <x:row r="21" spans="1:30" ht="15" customHeight="1" s="434" customFormat="1" x14ac:dyDescent="0.25">
      <x:c r="A21" s="483"/>
      <x:c r="B21" s="483"/>
      <x:c r="C21" s="483"/>
      <x:c r="D21" s="484"/>
      <x:c r="E21" s="483"/>
      <x:c r="F21" s="483"/>
      <x:c r="G21" s="432"/>
      <x:c r="I21" s="485"/>
      <x:c r="N21" s="470"/>
    </x:row>
    <x:row r="22" spans="1:30" ht="15" customHeight="1" s="434" customFormat="1" x14ac:dyDescent="0.25">
      <x:c r="A22" s="483"/>
      <x:c r="B22" s="483"/>
      <x:c r="C22" s="483"/>
      <x:c r="D22" s="484"/>
      <x:c r="E22" s="483"/>
      <x:c r="F22" s="483"/>
      <x:c r="G22" s="432"/>
      <x:c r="I22" s="485"/>
      <x:c r="J22" s="432"/>
      <x:c r="M22" s="432"/>
      <x:c r="N22" s="470"/>
    </x:row>
    <x:row r="23" spans="1:30" ht="15" customHeight="1" s="434" customFormat="1" x14ac:dyDescent="0.25">
      <x:c r="A23" s="434" t="s">
        <x:v>30</x:v>
      </x:c>
      <x:c r="B23" s="434" t="s">
        <x:v>31</x:v>
      </x:c>
      <x:c r="C23" s="483" t="s">
        <x:v>32</x:v>
      </x:c>
      <x:c r="D23" s="485"/>
      <x:c r="G23" s="432"/>
      <x:c r="I23" s="485"/>
      <x:c r="N23" s="470"/>
    </x:row>
    <x:row r="24" spans="1:30" ht="15" customHeight="1" s="432" customFormat="1" x14ac:dyDescent="0.25">
      <x:c r="A24" s="545" t="s">
        <x:v>296</x:v>
      </x:c>
      <x:c r="B24" s="462" t="s">
        <x:v>297</x:v>
      </x:c>
      <x:c r="C24" s="546" t="s">
        <x:v>298</x:v>
      </x:c>
      <x:c r="D24" s="547">
        <x:v>45363</x:v>
      </x:c>
      <x:c r="E24" s="548">
        <x:v>234</x:v>
      </x:c>
      <x:c r="F24" s="548">
        <x:v>35.1</x:v>
      </x:c>
      <x:c r="G24" s="433">
        <x:v>222.77</x:v>
      </x:c>
      <x:c r="H24" s="548">
        <x:v>23.87</x:v>
      </x:c>
      <x:c r="I24" s="547">
        <x:v>45448</x:v>
      </x:c>
      <x:c r="J24" s="433">
        <x:f>+E24-F24</x:f>
      </x:c>
      <x:c r="K24" s="468">
        <x:f>+I24-D24</x:f>
      </x:c>
      <x:c r="L24" s="469">
        <x:v>0.03</x:v>
      </x:c>
      <x:c r="M24" s="433">
        <x:f>+J24*L24</x:f>
      </x:c>
      <x:c r="N24" s="470"/>
    </x:row>
    <x:row r="25" spans="1:30" ht="15" customHeight="1" s="432" customFormat="1" x14ac:dyDescent="0.25">
      <x:c r="A25" s="545" t="s">
        <x:v>36</x:v>
      </x:c>
      <x:c r="B25" s="462" t="s">
        <x:v>299</x:v>
      </x:c>
      <x:c r="C25" s="546" t="s">
        <x:v>300</x:v>
      </x:c>
      <x:c r="D25" s="547">
        <x:v>45419</x:v>
      </x:c>
      <x:c r="E25" s="548">
        <x:v>324</x:v>
      </x:c>
      <x:c r="F25" s="548">
        <x:v>81</x:v>
      </x:c>
      <x:c r="G25" s="433">
        <x:v>266.08</x:v>
      </x:c>
      <x:c r="H25" s="548">
        <x:v>36.45</x:v>
      </x:c>
      <x:c r="I25" s="529">
        <x:v>45493</x:v>
      </x:c>
      <x:c r="J25" s="433">
        <x:f>+E25-F25</x:f>
      </x:c>
      <x:c r="K25" s="468">
        <x:f>+I25-D25</x:f>
      </x:c>
      <x:c r="L25" s="469">
        <x:v>0.03</x:v>
      </x:c>
      <x:c r="M25" s="433">
        <x:f>+J25*L25</x:f>
      </x:c>
      <x:c r="N25" s="470"/>
    </x:row>
    <x:row r="26" spans="1:30" ht="15" customHeight="1" s="432" customFormat="1" x14ac:dyDescent="0.25">
      <x:c r="A26" s="545" t="s">
        <x:v>36</x:v>
      </x:c>
      <x:c r="B26" s="462" t="s">
        <x:v>299</x:v>
      </x:c>
      <x:c r="C26" s="546" t="s">
        <x:v>301</x:v>
      </x:c>
      <x:c r="D26" s="547">
        <x:v>45425</x:v>
      </x:c>
      <x:c r="E26" s="548">
        <x:v>250.8</x:v>
      </x:c>
      <x:c r="F26" s="548">
        <x:v>62.7</x:v>
      </x:c>
      <x:c r="G26" s="433">
        <x:v>205.97</x:v>
      </x:c>
      <x:c r="H26" s="548">
        <x:v>28.22</x:v>
      </x:c>
      <x:c r="I26" s="529">
        <x:v>45493</x:v>
      </x:c>
      <x:c r="J26" s="433">
        <x:f>+E26-F26</x:f>
      </x:c>
      <x:c r="K26" s="468">
        <x:f>+I26-D26</x:f>
      </x:c>
      <x:c r="L26" s="469">
        <x:v>0.03</x:v>
      </x:c>
      <x:c r="M26" s="433">
        <x:f>+J26*L26</x:f>
      </x:c>
      <x:c r="N26" s="470"/>
    </x:row>
    <x:row r="27" spans="1:30" ht="15" customHeight="1" s="432" customFormat="1" x14ac:dyDescent="0.3">
      <x:c r="A27" s="545" t="s">
        <x:v>296</x:v>
      </x:c>
      <x:c r="B27" s="462" t="s">
        <x:v>297</x:v>
      </x:c>
      <x:c r="C27" s="546" t="s">
        <x:v>302</x:v>
      </x:c>
      <x:c r="D27" s="547">
        <x:v>45432</x:v>
      </x:c>
      <x:c r="E27" s="548">
        <x:v>117</x:v>
      </x:c>
      <x:c r="F27" s="548">
        <x:v>17.55</x:v>
      </x:c>
      <x:c r="G27" s="433">
        <x:v>114.37</x:v>
      </x:c>
      <x:c r="H27" s="548">
        <x:v>14.92</x:v>
      </x:c>
      <x:c r="I27" s="529">
        <x:v>45448</x:v>
      </x:c>
      <x:c r="J27" s="433">
        <x:f>+E27-F27</x:f>
      </x:c>
      <x:c r="K27" s="468">
        <x:f>+I27-D27</x:f>
      </x:c>
      <x:c r="L27" s="469">
        <x:v>0.03</x:v>
      </x:c>
      <x:c r="M27" s="433">
        <x:f>+J27*L27</x:f>
      </x:c>
      <x:c r="N27" s="470"/>
    </x:row>
    <x:row r="28" spans="1:30" ht="15" customHeight="1" x14ac:dyDescent="0.35">
      <x:c r="A28" s="493" t="s">
        <x:v>43</x:v>
      </x:c>
      <x:c r="B28" s="493"/>
      <x:c r="C28" s="493"/>
      <x:c r="D28" s="493"/>
      <x:c r="E28" s="493"/>
      <x:c r="F28" s="493"/>
      <x:c r="G28" s="494">
        <x:f>SUM(G20:G27)</x:f>
      </x:c>
      <x:c r="J28" s="494">
        <x:f>SUM(J20:J27)</x:f>
      </x:c>
      <x:c r="L28" s="495"/>
      <x:c r="M28" s="496">
        <x:f>SUM(M20:M27)</x:f>
      </x:c>
    </x:row>
    <x:row r="29" spans="1:30" ht="15" customHeight="1" x14ac:dyDescent="0.25">
      <x:c r="A29" s="497"/>
      <x:c r="B29" s="497"/>
      <x:c r="C29" s="497"/>
      <x:c r="D29" s="498"/>
      <x:c r="E29" s="497"/>
      <x:c r="F29" s="497"/>
      <x:c r="G29" s="435"/>
      <x:c r="J29" s="435"/>
      <x:c r="M29" s="435"/>
    </x:row>
    <x:row r="30" spans="1:30" ht="15" customHeight="1" x14ac:dyDescent="0.3">
      <x:c r="A30" s="499"/>
      <x:c r="B30" s="497"/>
      <x:c r="C30" s="497"/>
      <x:c r="D30" s="498"/>
      <x:c r="E30" s="497"/>
      <x:c r="F30" s="497"/>
      <x:c r="G30" s="435"/>
      <x:c r="J30" s="435"/>
      <x:c r="M30" s="435"/>
    </x:row>
    <x:row r="31" spans="1:30" ht="15" customHeight="1" x14ac:dyDescent="0.25">
      <x:c r="A31" s="497"/>
      <x:c r="B31" s="497"/>
      <x:c r="C31" s="497"/>
      <x:c r="D31" s="498"/>
      <x:c r="E31" s="497"/>
      <x:c r="F31" s="497"/>
      <x:c r="G31" s="435"/>
      <x:c r="I31" s="500"/>
    </x:row>
    <x:row r="32" spans="1:30" ht="15" customHeight="1" x14ac:dyDescent="0.25">
      <x:c r="A32" s="436" t="s">
        <x:v>44</x:v>
      </x:c>
      <x:c r="B32" s="436"/>
      <x:c r="C32" s="436"/>
      <x:c r="D32" s="436"/>
      <x:c r="E32" s="436"/>
      <x:c r="F32" s="436"/>
      <x:c r="G32" s="437"/>
      <x:c r="H32" s="437"/>
      <x:c r="I32" s="439"/>
      <x:c r="J32" s="440"/>
      <x:c r="K32" s="441"/>
      <x:c r="L32" s="442"/>
      <x:c r="M32" s="443"/>
    </x:row>
    <x:row r="33" spans="1:30" ht="15" customHeight="1" x14ac:dyDescent="0.25">
      <x:c r="A33" s="436" t="s">
        <x:v>1</x:v>
      </x:c>
      <x:c r="B33" s="436"/>
      <x:c r="C33" s="436"/>
      <x:c r="D33" s="436"/>
      <x:c r="E33" s="436"/>
      <x:c r="F33" s="436"/>
      <x:c r="G33" s="437"/>
      <x:c r="H33" s="438"/>
      <x:c r="I33" s="439"/>
      <x:c r="J33" s="441"/>
      <x:c r="K33" s="441"/>
      <x:c r="L33" s="442"/>
      <x:c r="M33" s="443"/>
    </x:row>
    <x:row r="34" spans="1:30" ht="15" customHeight="1" x14ac:dyDescent="0.25">
      <x:c r="A34" s="436"/>
      <x:c r="B34" s="444" t="s">
        <x:v>281</x:v>
      </x:c>
      <x:c r="C34" s="436"/>
      <x:c r="D34" s="445"/>
      <x:c r="E34" s="436"/>
      <x:c r="F34" s="436"/>
      <x:c r="G34" s="437"/>
      <x:c r="H34" s="438"/>
      <x:c r="I34" s="439"/>
      <x:c r="J34" s="441"/>
      <x:c r="K34" s="441"/>
      <x:c r="L34" s="442"/>
      <x:c r="M34" s="443"/>
    </x:row>
    <x:row r="35" spans="1:30" ht="15" customHeight="1" x14ac:dyDescent="0.3">
      <x:c r="A35" s="436"/>
      <x:c r="B35" s="444" t="s">
        <x:v>45</x:v>
      </x:c>
      <x:c r="C35" s="436"/>
      <x:c r="D35" s="445"/>
      <x:c r="E35" s="436"/>
      <x:c r="F35" s="436"/>
      <x:c r="G35" s="443"/>
      <x:c r="H35" s="437"/>
      <x:c r="I35" s="446"/>
      <x:c r="J35" s="441"/>
      <x:c r="K35" s="441"/>
      <x:c r="L35" s="442"/>
      <x:c r="M35" s="443"/>
    </x:row>
    <x:row r="36" spans="1:30" ht="15" customHeight="1" x14ac:dyDescent="0.25">
      <x:c r="A36" s="447"/>
      <x:c r="B36" s="441"/>
      <x:c r="C36" s="441"/>
      <x:c r="D36" s="439"/>
      <x:c r="E36" s="441"/>
      <x:c r="F36" s="441"/>
      <x:c r="G36" s="448" t="s">
        <x:v>5</x:v>
      </x:c>
      <x:c r="H36" s="441"/>
      <x:c r="I36" s="439"/>
      <x:c r="J36" s="449" t="s">
        <x:v>6</x:v>
      </x:c>
      <x:c r="K36" s="450" t="s">
        <x:v>7</x:v>
      </x:c>
      <x:c r="L36" s="451" t="s">
        <x:v>8</x:v>
      </x:c>
      <x:c r="M36" s="449" t="s">
        <x:v>9</x:v>
      </x:c>
    </x:row>
    <x:row r="37" spans="1:30" ht="15" customHeight="1" x14ac:dyDescent="0.25">
      <x:c r="A37" s="452" t="s">
        <x:v>10</x:v>
      </x:c>
      <x:c r="B37" s="452" t="s">
        <x:v>11</x:v>
      </x:c>
      <x:c r="C37" s="452" t="s">
        <x:v>12</x:v>
      </x:c>
      <x:c r="D37" s="453" t="s">
        <x:v>13</x:v>
      </x:c>
      <x:c r="E37" s="452" t="s">
        <x:v>14</x:v>
      </x:c>
      <x:c r="F37" s="454" t="s">
        <x:v>15</x:v>
      </x:c>
      <x:c r="G37" s="501" t="s">
        <x:v>16</x:v>
      </x:c>
      <x:c r="H37" s="456" t="s">
        <x:v>17</x:v>
      </x:c>
      <x:c r="I37" s="457" t="s">
        <x:v>18</x:v>
      </x:c>
      <x:c r="J37" s="458" t="s">
        <x:v>19</x:v>
      </x:c>
      <x:c r="K37" s="459"/>
      <x:c r="L37" s="460" t="s">
        <x:v>20</x:v>
      </x:c>
      <x:c r="M37" s="458" t="s">
        <x:v>21</x:v>
      </x:c>
    </x:row>
    <x:row r="38" spans="1:30" ht="15" customHeight="1" x14ac:dyDescent="0.25">
      <x:c r="A38" s="549" t="s">
        <x:v>49</x:v>
      </x:c>
      <x:c r="B38" s="524" t="s">
        <x:v>26</x:v>
      </x:c>
      <x:c r="C38" s="525" t="s">
        <x:v>303</x:v>
      </x:c>
      <x:c r="D38" s="526">
        <x:v>45308</x:v>
      </x:c>
      <x:c r="E38" s="527">
        <x:v>93.6</x:v>
      </x:c>
      <x:c r="F38" s="527">
        <x:v>14.04</x:v>
      </x:c>
      <x:c r="G38" s="528">
        <x:v>85.44</x:v>
      </x:c>
      <x:c r="H38" s="527">
        <x:v>9.55</x:v>
      </x:c>
      <x:c r="I38" s="534">
        <x:v>45433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30" ht="15" customHeight="1" x14ac:dyDescent="0.25">
      <x:c r="A39" s="549" t="s">
        <x:v>49</x:v>
      </x:c>
      <x:c r="B39" s="524" t="s">
        <x:v>26</x:v>
      </x:c>
      <x:c r="C39" s="525" t="s">
        <x:v>304</x:v>
      </x:c>
      <x:c r="D39" s="526">
        <x:v>45308</x:v>
      </x:c>
      <x:c r="E39" s="527">
        <x:v>10.8</x:v>
      </x:c>
      <x:c r="F39" s="527">
        <x:v>1.62</x:v>
      </x:c>
      <x:c r="G39" s="528">
        <x:v>9.86</x:v>
      </x:c>
      <x:c r="H39" s="527">
        <x:v>1.1</x:v>
      </x:c>
      <x:c r="I39" s="534">
        <x:v>45433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30" ht="15" customHeight="1" x14ac:dyDescent="0.25">
      <x:c r="A40" s="549" t="s">
        <x:v>114</x:v>
      </x:c>
      <x:c r="B40" s="536" t="s">
        <x:v>26</x:v>
      </x:c>
      <x:c r="C40" s="525" t="s">
        <x:v>305</x:v>
      </x:c>
      <x:c r="D40" s="526">
        <x:v>45309</x:v>
      </x:c>
      <x:c r="E40" s="527">
        <x:v>544.68</x:v>
      </x:c>
      <x:c r="F40" s="527">
        <x:v>108.94</x:v>
      </x:c>
      <x:c r="G40" s="528">
        <x:v>467.98</x:v>
      </x:c>
      <x:c r="H40" s="527">
        <x:v>52.29</x:v>
      </x:c>
      <x:c r="I40" s="534">
        <x:v>45426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30" ht="15" customHeight="1" x14ac:dyDescent="0.25">
      <x:c r="A41" s="549" t="s">
        <x:v>49</x:v>
      </x:c>
      <x:c r="B41" s="536" t="s">
        <x:v>26</x:v>
      </x:c>
      <x:c r="C41" s="525" t="s">
        <x:v>306</x:v>
      </x:c>
      <x:c r="D41" s="526">
        <x:v>45314</x:v>
      </x:c>
      <x:c r="E41" s="527">
        <x:v>117</x:v>
      </x:c>
      <x:c r="F41" s="527">
        <x:v>17.55</x:v>
      </x:c>
      <x:c r="G41" s="528">
        <x:v>106.81</x:v>
      </x:c>
      <x:c r="H41" s="527">
        <x:v>11.93</x:v>
      </x:c>
      <x:c r="I41" s="534">
        <x:v>45433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30" ht="15" customHeight="1" x14ac:dyDescent="0.25">
      <x:c r="A42" s="549" t="s">
        <x:v>64</x:v>
      </x:c>
      <x:c r="B42" s="536" t="s">
        <x:v>26</x:v>
      </x:c>
      <x:c r="C42" s="525" t="s">
        <x:v>307</x:v>
      </x:c>
      <x:c r="D42" s="526">
        <x:v>45316</x:v>
      </x:c>
      <x:c r="E42" s="527">
        <x:v>93.84</x:v>
      </x:c>
      <x:c r="F42" s="527">
        <x:v>14.07</x:v>
      </x:c>
      <x:c r="G42" s="528">
        <x:v>85.67</x:v>
      </x:c>
      <x:c r="H42" s="527">
        <x:v>9.57</x:v>
      </x:c>
      <x:c r="I42" s="529">
        <x:v>45420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30" ht="15" customHeight="1" x14ac:dyDescent="0.25">
      <x:c r="A43" s="549" t="s">
        <x:v>308</x:v>
      </x:c>
      <x:c r="B43" s="536" t="s">
        <x:v>309</x:v>
      </x:c>
      <x:c r="C43" s="525" t="s">
        <x:v>310</x:v>
      </x:c>
      <x:c r="D43" s="526">
        <x:v>45320</x:v>
      </x:c>
      <x:c r="E43" s="527">
        <x:v>109.68</x:v>
      </x:c>
      <x:c r="F43" s="527">
        <x:v>16.45</x:v>
      </x:c>
      <x:c r="G43" s="528">
        <x:v>104.42</x:v>
      </x:c>
      <x:c r="H43" s="527">
        <x:v>11.19</x:v>
      </x:c>
      <x:c r="I43" s="529">
        <x:v>45433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549" t="s">
        <x:v>49</x:v>
      </x:c>
      <x:c r="B44" s="536" t="s">
        <x:v>26</x:v>
      </x:c>
      <x:c r="C44" s="525" t="s">
        <x:v>311</x:v>
      </x:c>
      <x:c r="D44" s="526">
        <x:v>45323</x:v>
      </x:c>
      <x:c r="E44" s="527">
        <x:v>23.4</x:v>
      </x:c>
      <x:c r="F44" s="527">
        <x:v>3.51</x:v>
      </x:c>
      <x:c r="G44" s="528">
        <x:v>21.36</x:v>
      </x:c>
      <x:c r="H44" s="527">
        <x:v>2.39</x:v>
      </x:c>
      <x:c r="I44" s="529">
        <x:v>45433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30" ht="15" customHeight="1" x14ac:dyDescent="0.25">
      <x:c r="A45" s="549" t="s">
        <x:v>49</x:v>
      </x:c>
      <x:c r="B45" s="536" t="s">
        <x:v>26</x:v>
      </x:c>
      <x:c r="C45" s="525" t="s">
        <x:v>312</x:v>
      </x:c>
      <x:c r="D45" s="526">
        <x:v>45329</x:v>
      </x:c>
      <x:c r="E45" s="527">
        <x:v>23.4</x:v>
      </x:c>
      <x:c r="F45" s="527">
        <x:v>3.51</x:v>
      </x:c>
      <x:c r="G45" s="528">
        <x:v>21.36</x:v>
      </x:c>
      <x:c r="H45" s="527">
        <x:v>2.39</x:v>
      </x:c>
      <x:c r="I45" s="529">
        <x:v>45433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549" t="s">
        <x:v>49</x:v>
      </x:c>
      <x:c r="B46" s="536" t="s">
        <x:v>26</x:v>
      </x:c>
      <x:c r="C46" s="525" t="s">
        <x:v>313</x:v>
      </x:c>
      <x:c r="D46" s="526">
        <x:v>45343</x:v>
      </x:c>
      <x:c r="E46" s="527">
        <x:v>32.4</x:v>
      </x:c>
      <x:c r="F46" s="527">
        <x:v>4.86</x:v>
      </x:c>
      <x:c r="G46" s="528">
        <x:v>29.57</x:v>
      </x:c>
      <x:c r="H46" s="527">
        <x:v>3.3</x:v>
      </x:c>
      <x:c r="I46" s="529">
        <x:v>45433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549" t="s">
        <x:v>49</x:v>
      </x:c>
      <x:c r="B47" s="536" t="s">
        <x:v>26</x:v>
      </x:c>
      <x:c r="C47" s="525" t="s">
        <x:v>314</x:v>
      </x:c>
      <x:c r="D47" s="526">
        <x:v>45343</x:v>
      </x:c>
      <x:c r="E47" s="527">
        <x:v>117</x:v>
      </x:c>
      <x:c r="F47" s="527">
        <x:v>17.55</x:v>
      </x:c>
      <x:c r="G47" s="528">
        <x:v>106.81</x:v>
      </x:c>
      <x:c r="H47" s="527">
        <x:v>11.93</x:v>
      </x:c>
      <x:c r="I47" s="534">
        <x:v>45433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x14ac:dyDescent="0.25">
      <x:c r="A48" s="549" t="s">
        <x:v>49</x:v>
      </x:c>
      <x:c r="B48" s="536" t="s">
        <x:v>26</x:v>
      </x:c>
      <x:c r="C48" s="525" t="s">
        <x:v>315</x:v>
      </x:c>
      <x:c r="D48" s="526">
        <x:v>45352</x:v>
      </x:c>
      <x:c r="E48" s="527">
        <x:v>23.4</x:v>
      </x:c>
      <x:c r="F48" s="527">
        <x:v>3.51</x:v>
      </x:c>
      <x:c r="G48" s="528">
        <x:v>21.36</x:v>
      </x:c>
      <x:c r="H48" s="527">
        <x:v>2.39</x:v>
      </x:c>
      <x:c r="I48" s="534">
        <x:v>45433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30" ht="15" customHeight="1" x14ac:dyDescent="0.25">
      <x:c r="A49" s="549" t="s">
        <x:v>49</x:v>
      </x:c>
      <x:c r="B49" s="536" t="s">
        <x:v>26</x:v>
      </x:c>
      <x:c r="C49" s="525" t="s">
        <x:v>316</x:v>
      </x:c>
      <x:c r="D49" s="526">
        <x:v>45359</x:v>
      </x:c>
      <x:c r="E49" s="527">
        <x:v>10.8</x:v>
      </x:c>
      <x:c r="F49" s="527">
        <x:v>1.62</x:v>
      </x:c>
      <x:c r="G49" s="528">
        <x:v>9.86</x:v>
      </x:c>
      <x:c r="H49" s="527">
        <x:v>1.1</x:v>
      </x:c>
      <x:c r="I49" s="534">
        <x:v>45433</x:v>
      </x:c>
      <x:c r="J49" s="433">
        <x:f>+E49-F49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30" ht="15" customHeight="1" x14ac:dyDescent="0.25">
      <x:c r="A50" s="549" t="s">
        <x:v>49</x:v>
      </x:c>
      <x:c r="B50" s="536" t="s">
        <x:v>26</x:v>
      </x:c>
      <x:c r="C50" s="525" t="s">
        <x:v>317</x:v>
      </x:c>
      <x:c r="D50" s="526">
        <x:v>45364</x:v>
      </x:c>
      <x:c r="E50" s="527">
        <x:v>203.76</x:v>
      </x:c>
      <x:c r="F50" s="527">
        <x:v>30.56</x:v>
      </x:c>
      <x:c r="G50" s="528">
        <x:v>186.02</x:v>
      </x:c>
      <x:c r="H50" s="527">
        <x:v>20.78</x:v>
      </x:c>
      <x:c r="I50" s="534">
        <x:v>45433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30" ht="15" customHeight="1" x14ac:dyDescent="0.25">
      <x:c r="A51" s="549" t="s">
        <x:v>49</x:v>
      </x:c>
      <x:c r="B51" s="536" t="s">
        <x:v>26</x:v>
      </x:c>
      <x:c r="C51" s="525" t="s">
        <x:v>318</x:v>
      </x:c>
      <x:c r="D51" s="526">
        <x:v>45364</x:v>
      </x:c>
      <x:c r="E51" s="527">
        <x:v>21.6</x:v>
      </x:c>
      <x:c r="F51" s="527">
        <x:v>3.24</x:v>
      </x:c>
      <x:c r="G51" s="528">
        <x:v>19.72</x:v>
      </x:c>
      <x:c r="H51" s="527">
        <x:v>2.2</x:v>
      </x:c>
      <x:c r="I51" s="534">
        <x:v>45433</x:v>
      </x:c>
      <x:c r="J51" s="433">
        <x:f>+E51-F51</x:f>
      </x:c>
      <x:c r="K51" s="468">
        <x:f>+I51-D51</x:f>
      </x:c>
      <x:c r="L51" s="503">
        <x:v>0.03</x:v>
      </x:c>
      <x:c r="M51" s="504">
        <x:f>+J51*L51</x:f>
      </x:c>
      <x:c r="O51" s="432"/>
    </x:row>
    <x:row r="52" spans="1:30" ht="15" customHeight="1" x14ac:dyDescent="0.25">
      <x:c r="A52" s="549" t="s">
        <x:v>319</x:v>
      </x:c>
      <x:c r="B52" s="543" t="s">
        <x:v>320</x:v>
      </x:c>
      <x:c r="C52" s="525" t="s">
        <x:v>321</x:v>
      </x:c>
      <x:c r="D52" s="526">
        <x:v>45366</x:v>
      </x:c>
      <x:c r="E52" s="527">
        <x:v>261.36</x:v>
      </x:c>
      <x:c r="F52" s="527">
        <x:v>39.21</x:v>
      </x:c>
      <x:c r="G52" s="528">
        <x:v>150</x:v>
      </x:c>
      <x:c r="H52" s="527">
        <x:v>26.66</x:v>
      </x:c>
      <x:c r="I52" s="534">
        <x:v>45425</x:v>
      </x:c>
      <x:c r="J52" s="433">
        <x:f>G52/1.12</x:f>
      </x:c>
      <x:c r="K52" s="468">
        <x:f>+I52-D52</x:f>
      </x:c>
      <x:c r="L52" s="503">
        <x:v>0.03</x:v>
      </x:c>
      <x:c r="M52" s="504">
        <x:f>+J52*L52</x:f>
      </x:c>
      <x:c r="N52" s="470"/>
      <x:c r="O52" s="432"/>
      <x:c r="P52" s="434"/>
      <x:c r="Q52" s="434"/>
      <x:c r="R52" s="434"/>
      <x:c r="S52" s="434"/>
      <x:c r="T52" s="434"/>
      <x:c r="U52" s="434"/>
      <x:c r="V52" s="434"/>
      <x:c r="W52" s="434"/>
      <x:c r="X52" s="434"/>
      <x:c r="Y52" s="434"/>
      <x:c r="Z52" s="434"/>
      <x:c r="AA52" s="434"/>
      <x:c r="AB52" s="434"/>
      <x:c r="AC52" s="434"/>
      <x:c r="AD52" s="434"/>
    </x:row>
    <x:row r="53" spans="1:30" ht="15" customHeight="1" x14ac:dyDescent="0.25">
      <x:c r="A53" s="549" t="s">
        <x:v>322</x:v>
      </x:c>
      <x:c r="B53" s="543" t="s">
        <x:v>320</x:v>
      </x:c>
      <x:c r="C53" s="525" t="s">
        <x:v>323</x:v>
      </x:c>
      <x:c r="D53" s="526">
        <x:v>45366</x:v>
      </x:c>
      <x:c r="E53" s="527">
        <x:v>154.44</x:v>
      </x:c>
      <x:c r="F53" s="527">
        <x:v>23.17</x:v>
      </x:c>
      <x:c r="G53" s="528">
        <x:v>147.02</x:v>
      </x:c>
      <x:c r="H53" s="527">
        <x:v>15.75</x:v>
      </x:c>
      <x:c r="I53" s="526">
        <x:v>45434</x:v>
      </x:c>
      <x:c r="J53" s="433">
        <x:f>+E53-F53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30" ht="15" customHeight="1" x14ac:dyDescent="0.25">
      <x:c r="A54" s="549" t="s">
        <x:v>324</x:v>
      </x:c>
      <x:c r="B54" s="543" t="s">
        <x:v>325</x:v>
      </x:c>
      <x:c r="C54" s="525" t="s">
        <x:v>326</x:v>
      </x:c>
      <x:c r="D54" s="526">
        <x:v>45366</x:v>
      </x:c>
      <x:c r="E54" s="527">
        <x:v>601.2</x:v>
      </x:c>
      <x:c r="F54" s="527">
        <x:v>90.17</x:v>
      </x:c>
      <x:c r="G54" s="528">
        <x:v>642.41</x:v>
      </x:c>
      <x:c r="H54" s="527">
        <x:v>61.32</x:v>
      </x:c>
      <x:c r="I54" s="534">
        <x:v>45440</x:v>
      </x:c>
      <x:c r="J54" s="433">
        <x:f>+E54-F54</x:f>
      </x:c>
      <x:c r="K54" s="468">
        <x:f>+I54-D54</x:f>
      </x:c>
      <x:c r="L54" s="503">
        <x:v>0.03</x:v>
      </x:c>
      <x:c r="M54" s="504">
        <x:f>+J54*L54</x:f>
      </x:c>
      <x:c r="O54" s="432"/>
    </x:row>
    <x:row r="55" spans="1:30" ht="15" customHeight="1" x14ac:dyDescent="0.25">
      <x:c r="A55" s="535" t="s">
        <x:v>179</x:v>
      </x:c>
      <x:c r="B55" s="543" t="s">
        <x:v>320</x:v>
      </x:c>
      <x:c r="C55" s="525" t="s">
        <x:v>327</x:v>
      </x:c>
      <x:c r="D55" s="526">
        <x:v>45366</x:v>
      </x:c>
      <x:c r="E55" s="527">
        <x:v>570.6</x:v>
      </x:c>
      <x:c r="F55" s="527">
        <x:v>85.59</x:v>
      </x:c>
      <x:c r="G55" s="528">
        <x:f>543.21-4.85-17.46</x:f>
      </x:c>
      <x:c r="H55" s="527">
        <x:v>58.2</x:v>
      </x:c>
      <x:c r="I55" s="534">
        <x:v>45443</x:v>
      </x:c>
      <x:c r="J55" s="433">
        <x:f>+E55-F55</x:f>
      </x:c>
      <x:c r="K55" s="468">
        <x:f>+I55-D55</x:f>
      </x:c>
      <x:c r="L55" s="503">
        <x:v>0.03</x:v>
      </x:c>
      <x:c r="M55" s="504">
        <x:f>+J55*L55</x:f>
      </x:c>
      <x:c r="O55" s="432"/>
    </x:row>
    <x:row r="56" spans="1:30" ht="15" customHeight="1" s="434" customFormat="1" x14ac:dyDescent="0.25">
      <x:c r="A56" s="535" t="s">
        <x:v>179</x:v>
      </x:c>
      <x:c r="B56" s="543" t="s">
        <x:v>320</x:v>
      </x:c>
      <x:c r="C56" s="525" t="s">
        <x:v>328</x:v>
      </x:c>
      <x:c r="D56" s="526">
        <x:v>45366</x:v>
      </x:c>
      <x:c r="E56" s="527">
        <x:v>345</x:v>
      </x:c>
      <x:c r="F56" s="527">
        <x:v>51.75</x:v>
      </x:c>
      <x:c r="G56" s="528">
        <x:f>328.44-2.93-10.56</x:f>
      </x:c>
      <x:c r="H56" s="527">
        <x:v>35.19</x:v>
      </x:c>
      <x:c r="I56" s="529">
        <x:v>45443</x:v>
      </x:c>
      <x:c r="J56" s="433">
        <x:f>+E56-F56</x:f>
      </x:c>
      <x:c r="K56" s="468">
        <x:f>+I56-D56</x:f>
      </x:c>
      <x:c r="L56" s="503">
        <x:v>0.03</x:v>
      </x:c>
      <x:c r="M56" s="504">
        <x:f>+J56*L56</x:f>
      </x:c>
      <x:c r="N56" s="431"/>
      <x:c r="O56" s="432"/>
      <x:c r="P56" s="429"/>
      <x:c r="Q56" s="429"/>
      <x:c r="R56" s="429"/>
      <x:c r="S56" s="429"/>
      <x:c r="T56" s="429"/>
      <x:c r="U56" s="429"/>
      <x:c r="V56" s="429"/>
      <x:c r="W56" s="429"/>
      <x:c r="X56" s="429"/>
      <x:c r="Y56" s="429"/>
      <x:c r="Z56" s="429"/>
      <x:c r="AA56" s="429"/>
      <x:c r="AB56" s="429"/>
      <x:c r="AC56" s="429"/>
      <x:c r="AD56" s="429"/>
    </x:row>
    <x:row r="57" spans="1:30" ht="15" customHeight="1" x14ac:dyDescent="0.25">
      <x:c r="A57" s="549" t="s">
        <x:v>329</x:v>
      </x:c>
      <x:c r="B57" s="543" t="s">
        <x:v>330</x:v>
      </x:c>
      <x:c r="C57" s="525" t="s">
        <x:v>331</x:v>
      </x:c>
      <x:c r="D57" s="526">
        <x:v>45373</x:v>
      </x:c>
      <x:c r="E57" s="527">
        <x:v>246.24</x:v>
      </x:c>
      <x:c r="F57" s="527">
        <x:v>36.92</x:v>
      </x:c>
      <x:c r="G57" s="528">
        <x:v>224.81</x:v>
      </x:c>
      <x:c r="H57" s="527">
        <x:v>25.12</x:v>
      </x:c>
      <x:c r="I57" s="529">
        <x:v>45425</x:v>
      </x:c>
      <x:c r="J57" s="433">
        <x:f>+E57-F57</x:f>
      </x:c>
      <x:c r="K57" s="468">
        <x:f>+I57-D57</x:f>
      </x:c>
      <x:c r="L57" s="503">
        <x:v>0.03</x:v>
      </x:c>
      <x:c r="M57" s="504">
        <x:f>+J57*L57</x:f>
      </x:c>
      <x:c r="O57" s="432"/>
    </x:row>
    <x:row r="58" spans="1:30" ht="15" customHeight="1" x14ac:dyDescent="0.25">
      <x:c r="A58" s="549" t="s">
        <x:v>332</x:v>
      </x:c>
      <x:c r="B58" s="543" t="s">
        <x:v>333</x:v>
      </x:c>
      <x:c r="C58" s="525" t="s">
        <x:v>334</x:v>
      </x:c>
      <x:c r="D58" s="526">
        <x:v>45373</x:v>
      </x:c>
      <x:c r="E58" s="527">
        <x:v>413.4</x:v>
      </x:c>
      <x:c r="F58" s="527">
        <x:v>62</x:v>
      </x:c>
      <x:c r="G58" s="532">
        <x:f>150+93.57</x:f>
      </x:c>
      <x:c r="H58" s="527">
        <x:v>42.17</x:v>
      </x:c>
      <x:c r="I58" s="529">
        <x:v>45429</x:v>
      </x:c>
      <x:c r="J58" s="433">
        <x:f>243.57/1.12</x:f>
      </x:c>
      <x:c r="K58" s="468">
        <x:f>+I58-D58</x:f>
      </x:c>
      <x:c r="L58" s="503">
        <x:v>0.03</x:v>
      </x:c>
      <x:c r="M58" s="504">
        <x:f>+J58*L58</x:f>
      </x:c>
      <x:c r="O58" s="432"/>
    </x:row>
    <x:row r="59" spans="1:30" ht="15" customHeight="1" x14ac:dyDescent="0.25">
      <x:c r="A59" s="549" t="s">
        <x:v>335</x:v>
      </x:c>
      <x:c r="B59" s="543" t="s">
        <x:v>336</x:v>
      </x:c>
      <x:c r="C59" s="525" t="s">
        <x:v>337</x:v>
      </x:c>
      <x:c r="D59" s="526">
        <x:v>45374</x:v>
      </x:c>
      <x:c r="E59" s="527">
        <x:v>1211.76</x:v>
      </x:c>
      <x:c r="F59" s="527">
        <x:v>181.77</x:v>
      </x:c>
      <x:c r="G59" s="532">
        <x:v>1106.21</x:v>
      </x:c>
      <x:c r="H59" s="527">
        <x:v>123.6</x:v>
      </x:c>
      <x:c r="I59" s="529">
        <x:v>45419</x:v>
      </x:c>
      <x:c r="J59" s="433">
        <x:f>+E59-F59</x:f>
      </x:c>
      <x:c r="K59" s="468">
        <x:f>+I59-D59</x:f>
      </x:c>
      <x:c r="L59" s="503">
        <x:v>0.03</x:v>
      </x:c>
      <x:c r="M59" s="504">
        <x:f>+J59*L59</x:f>
      </x:c>
      <x:c r="O59" s="432"/>
    </x:row>
    <x:row r="60" spans="1:30" ht="15" customHeight="1" x14ac:dyDescent="0.25">
      <x:c r="A60" s="549" t="s">
        <x:v>335</x:v>
      </x:c>
      <x:c r="B60" s="543" t="s">
        <x:v>336</x:v>
      </x:c>
      <x:c r="C60" s="525" t="s">
        <x:v>338</x:v>
      </x:c>
      <x:c r="D60" s="526">
        <x:v>45374</x:v>
      </x:c>
      <x:c r="E60" s="527">
        <x:v>187.2</x:v>
      </x:c>
      <x:c r="F60" s="527">
        <x:v>28.08</x:v>
      </x:c>
      <x:c r="G60" s="532">
        <x:v>170.89</x:v>
      </x:c>
      <x:c r="H60" s="527">
        <x:v>19.09</x:v>
      </x:c>
      <x:c r="I60" s="529">
        <x:v>45419</x:v>
      </x:c>
      <x:c r="J60" s="433">
        <x:f>+E60-F60</x:f>
      </x:c>
      <x:c r="K60" s="468">
        <x:f>+I60-D60</x:f>
      </x:c>
      <x:c r="L60" s="503">
        <x:v>0.03</x:v>
      </x:c>
      <x:c r="M60" s="504">
        <x:f>+J60*L60</x:f>
      </x:c>
      <x:c r="O60" s="432"/>
    </x:row>
    <x:row r="61" spans="1:30" ht="15" customHeight="1" x14ac:dyDescent="0.25">
      <x:c r="A61" s="549" t="s">
        <x:v>339</x:v>
      </x:c>
      <x:c r="B61" s="543" t="s">
        <x:v>333</x:v>
      </x:c>
      <x:c r="C61" s="525" t="s">
        <x:v>340</x:v>
      </x:c>
      <x:c r="D61" s="526">
        <x:v>45376</x:v>
      </x:c>
      <x:c r="E61" s="527">
        <x:v>650.4</x:v>
      </x:c>
      <x:c r="F61" s="527">
        <x:v>97.56</x:v>
      </x:c>
      <x:c r="G61" s="532">
        <x:v>400</x:v>
      </x:c>
      <x:c r="H61" s="527">
        <x:v>66.34</x:v>
      </x:c>
      <x:c r="I61" s="529">
        <x:v>45428</x:v>
      </x:c>
      <x:c r="J61" s="433">
        <x:f>400/1.12</x:f>
      </x:c>
      <x:c r="K61" s="468">
        <x:f>+I61-D61</x:f>
      </x:c>
      <x:c r="L61" s="503">
        <x:v>0.03</x:v>
      </x:c>
      <x:c r="M61" s="504">
        <x:f>+J61*L61</x:f>
      </x:c>
      <x:c r="O61" s="432"/>
    </x:row>
    <x:row r="62" spans="1:30" ht="15" customHeight="1" x14ac:dyDescent="0.25">
      <x:c r="A62" s="549" t="s">
        <x:v>67</x:v>
      </x:c>
      <x:c r="B62" s="543" t="s">
        <x:v>26</x:v>
      </x:c>
      <x:c r="C62" s="525" t="s">
        <x:v>341</x:v>
      </x:c>
      <x:c r="D62" s="526">
        <x:v>45379</x:v>
      </x:c>
      <x:c r="E62" s="527">
        <x:v>388.44</x:v>
      </x:c>
      <x:c r="F62" s="527">
        <x:v>66.04</x:v>
      </x:c>
      <x:c r="G62" s="528">
        <x:v>361.09</x:v>
      </x:c>
      <x:c r="H62" s="527">
        <x:v>38.69</x:v>
      </x:c>
      <x:c r="I62" s="529">
        <x:v>45439</x:v>
      </x:c>
      <x:c r="J62" s="433">
        <x:f>+E62-F62</x:f>
      </x:c>
      <x:c r="K62" s="468">
        <x:f>+I62-D62</x:f>
      </x:c>
      <x:c r="L62" s="503">
        <x:v>0.03</x:v>
      </x:c>
      <x:c r="M62" s="504">
        <x:f>+J62*L62</x:f>
      </x:c>
      <x:c r="O62" s="432"/>
    </x:row>
    <x:row r="63" spans="1:30" ht="15" customHeight="1" x14ac:dyDescent="0.25">
      <x:c r="A63" s="549" t="s">
        <x:v>52</x:v>
      </x:c>
      <x:c r="B63" s="543" t="s">
        <x:v>53</x:v>
      </x:c>
      <x:c r="C63" s="525" t="s">
        <x:v>342</x:v>
      </x:c>
      <x:c r="D63" s="526">
        <x:v>45400</x:v>
      </x:c>
      <x:c r="E63" s="527">
        <x:v>1098</x:v>
      </x:c>
      <x:c r="F63" s="527">
        <x:v>274.5</x:v>
      </x:c>
      <x:c r="G63" s="528">
        <x:v>947.03</x:v>
      </x:c>
      <x:c r="H63" s="527">
        <x:v>123.53</x:v>
      </x:c>
      <x:c r="I63" s="529">
        <x:v>45421</x:v>
      </x:c>
      <x:c r="J63" s="433">
        <x:f>+E63-F63</x:f>
      </x:c>
      <x:c r="K63" s="468">
        <x:f>+I63-D63</x:f>
      </x:c>
      <x:c r="L63" s="503">
        <x:v>0.035</x:v>
      </x:c>
      <x:c r="M63" s="504">
        <x:f>+J63*L63</x:f>
      </x:c>
      <x:c r="O63" s="432"/>
    </x:row>
    <x:row r="64" spans="1:30" ht="15" customHeight="1" x14ac:dyDescent="0.25">
      <x:c r="A64" s="549" t="s">
        <x:v>343</x:v>
      </x:c>
      <x:c r="B64" s="543" t="s">
        <x:v>344</x:v>
      </x:c>
      <x:c r="C64" s="525" t="s">
        <x:v>345</x:v>
      </x:c>
      <x:c r="D64" s="526">
        <x:v>45401</x:v>
      </x:c>
      <x:c r="E64" s="527">
        <x:v>118.8</x:v>
      </x:c>
      <x:c r="F64" s="527">
        <x:v>17.82</x:v>
      </x:c>
      <x:c r="G64" s="528">
        <x:v>116.13</x:v>
      </x:c>
      <x:c r="H64" s="527">
        <x:v>15.15</x:v>
      </x:c>
      <x:c r="I64" s="529">
        <x:v>45426</x:v>
      </x:c>
      <x:c r="J64" s="433">
        <x:f>+E64-F64</x:f>
      </x:c>
      <x:c r="K64" s="468">
        <x:f>+I64-D64</x:f>
      </x:c>
      <x:c r="L64" s="503">
        <x:v>0.035</x:v>
      </x:c>
      <x:c r="M64" s="504">
        <x:f>+J64*L64</x:f>
      </x:c>
      <x:c r="O64" s="432"/>
    </x:row>
    <x:row r="65" spans="1:30" ht="15" customHeight="1" x14ac:dyDescent="0.25">
      <x:c r="A65" s="549" t="s">
        <x:v>164</x:v>
      </x:c>
      <x:c r="B65" s="543" t="s">
        <x:v>26</x:v>
      </x:c>
      <x:c r="C65" s="525" t="s">
        <x:v>346</x:v>
      </x:c>
      <x:c r="D65" s="526">
        <x:v>45404</x:v>
      </x:c>
      <x:c r="E65" s="527">
        <x:v>176.04</x:v>
      </x:c>
      <x:c r="F65" s="527">
        <x:v>26.4</x:v>
      </x:c>
      <x:c r="G65" s="528">
        <x:v>162.73</x:v>
      </x:c>
      <x:c r="H65" s="527">
        <x:v>22.45</x:v>
      </x:c>
      <x:c r="I65" s="529">
        <x:v>45418</x:v>
      </x:c>
      <x:c r="J65" s="433">
        <x:f>+E65-F65</x:f>
      </x:c>
      <x:c r="K65" s="468">
        <x:f>+I65-D65</x:f>
      </x:c>
      <x:c r="L65" s="503">
        <x:v>0.035</x:v>
      </x:c>
      <x:c r="M65" s="504">
        <x:f>+J65*L65</x:f>
      </x:c>
      <x:c r="O65" s="432"/>
    </x:row>
    <x:row r="66" spans="1:30" ht="15" customHeight="1" x14ac:dyDescent="0.25">
      <x:c r="A66" s="549" t="s">
        <x:v>347</x:v>
      </x:c>
      <x:c r="B66" s="543" t="s">
        <x:v>110</x:v>
      </x:c>
      <x:c r="C66" s="525" t="s">
        <x:v>348</x:v>
      </x:c>
      <x:c r="D66" s="526">
        <x:v>45405</x:v>
      </x:c>
      <x:c r="E66" s="527">
        <x:v>188.16</x:v>
      </x:c>
      <x:c r="F66" s="527">
        <x:v>28.21</x:v>
      </x:c>
      <x:c r="G66" s="528">
        <x:v>183.94</x:v>
      </x:c>
      <x:c r="H66" s="527">
        <x:v>23.99</x:v>
      </x:c>
      <x:c r="I66" s="529">
        <x:v>45421</x:v>
      </x:c>
      <x:c r="J66" s="433">
        <x:f>+E66-F66</x:f>
      </x:c>
      <x:c r="K66" s="468">
        <x:f>+I66-D66</x:f>
      </x:c>
      <x:c r="L66" s="503">
        <x:v>0.035</x:v>
      </x:c>
      <x:c r="M66" s="504">
        <x:f>+J66*L66</x:f>
      </x:c>
      <x:c r="O66" s="432"/>
    </x:row>
    <x:row r="67" spans="1:30" ht="15" customHeight="1" x14ac:dyDescent="0.25">
      <x:c r="A67" s="549" t="s">
        <x:v>349</x:v>
      </x:c>
      <x:c r="B67" s="543" t="s">
        <x:v>26</x:v>
      </x:c>
      <x:c r="C67" s="525" t="s">
        <x:v>350</x:v>
      </x:c>
      <x:c r="D67" s="526">
        <x:v>45408</x:v>
      </x:c>
      <x:c r="E67" s="527">
        <x:v>260.7</x:v>
      </x:c>
      <x:c r="F67" s="527">
        <x:v>39.1</x:v>
      </x:c>
      <x:c r="G67" s="528">
        <x:v>254.84</x:v>
      </x:c>
      <x:c r="H67" s="527">
        <x:v>33.24</x:v>
      </x:c>
      <x:c r="I67" s="529">
        <x:v>45425</x:v>
      </x:c>
      <x:c r="J67" s="433">
        <x:f>+E67-F67</x:f>
      </x:c>
      <x:c r="K67" s="468">
        <x:f>+I67-D67</x:f>
      </x:c>
      <x:c r="L67" s="503">
        <x:v>0.035</x:v>
      </x:c>
      <x:c r="M67" s="504">
        <x:f>+J67*L67</x:f>
      </x:c>
      <x:c r="O67" s="432"/>
    </x:row>
    <x:row r="68" spans="1:30" ht="15" customHeight="1" x14ac:dyDescent="0.25">
      <x:c r="A68" s="549" t="s">
        <x:v>225</x:v>
      </x:c>
      <x:c r="B68" s="543" t="s">
        <x:v>105</x:v>
      </x:c>
      <x:c r="C68" s="525" t="s">
        <x:v>351</x:v>
      </x:c>
      <x:c r="D68" s="526">
        <x:v>45411</x:v>
      </x:c>
      <x:c r="E68" s="527">
        <x:v>563.52</x:v>
      </x:c>
      <x:c r="F68" s="527">
        <x:v>140.88</x:v>
      </x:c>
      <x:c r="G68" s="528">
        <x:v>462.79</x:v>
      </x:c>
      <x:c r="H68" s="527">
        <x:v>63.4</x:v>
      </x:c>
      <x:c r="I68" s="529">
        <x:v>45418</x:v>
      </x:c>
      <x:c r="J68" s="433">
        <x:f>+E68-F68</x:f>
      </x:c>
      <x:c r="K68" s="468">
        <x:f>+I68-D68</x:f>
      </x:c>
      <x:c r="L68" s="503">
        <x:v>0.04</x:v>
      </x:c>
      <x:c r="M68" s="504">
        <x:f>+J68*L68</x:f>
      </x:c>
      <x:c r="O68" s="432"/>
    </x:row>
    <x:row r="69" spans="1:30" ht="15" customHeight="1" x14ac:dyDescent="0.25">
      <x:c r="A69" s="549" t="s">
        <x:v>52</x:v>
      </x:c>
      <x:c r="B69" s="543" t="s">
        <x:v>53</x:v>
      </x:c>
      <x:c r="C69" s="525" t="s">
        <x:v>352</x:v>
      </x:c>
      <x:c r="D69" s="526">
        <x:v>45411</x:v>
      </x:c>
      <x:c r="E69" s="527">
        <x:v>528.48</x:v>
      </x:c>
      <x:c r="F69" s="527">
        <x:v>132.12</x:v>
      </x:c>
      <x:c r="G69" s="528">
        <x:v>455.81</x:v>
      </x:c>
      <x:c r="H69" s="527">
        <x:v>59.45</x:v>
      </x:c>
      <x:c r="I69" s="529">
        <x:v>45421</x:v>
      </x:c>
      <x:c r="J69" s="433">
        <x:f>+E69-F69</x:f>
      </x:c>
      <x:c r="K69" s="468">
        <x:f>+I69-D69</x:f>
      </x:c>
      <x:c r="L69" s="503">
        <x:v>0.035</x:v>
      </x:c>
      <x:c r="M69" s="504">
        <x:f>+J69*L69</x:f>
      </x:c>
      <x:c r="O69" s="432"/>
    </x:row>
    <x:row r="70" spans="1:30" ht="15" customHeight="1" x14ac:dyDescent="0.25">
      <x:c r="A70" s="549" t="s">
        <x:v>118</x:v>
      </x:c>
      <x:c r="B70" s="543" t="s">
        <x:v>26</x:v>
      </x:c>
      <x:c r="C70" s="525" t="s">
        <x:v>353</x:v>
      </x:c>
      <x:c r="D70" s="526">
        <x:v>45418</x:v>
      </x:c>
      <x:c r="E70" s="527">
        <x:v>150.48</x:v>
      </x:c>
      <x:c r="F70" s="527">
        <x:v>30.1</x:v>
      </x:c>
      <x:c r="G70" s="528">
        <x:f>138.44-1.2-5.42</x:f>
      </x:c>
      <x:c r="H70" s="527">
        <x:v>18.06</x:v>
      </x:c>
      <x:c r="I70" s="534">
        <x:v>45418</x:v>
      </x:c>
      <x:c r="J70" s="433">
        <x:f>+E70-F70</x:f>
      </x:c>
      <x:c r="K70" s="468">
        <x:f>+I70-D70</x:f>
      </x:c>
      <x:c r="L70" s="503">
        <x:v>0.04</x:v>
      </x:c>
      <x:c r="M70" s="504">
        <x:f>+J70*L70</x:f>
      </x:c>
      <x:c r="O70" s="432"/>
    </x:row>
    <x:row r="71" spans="1:30" ht="15" customHeight="1" x14ac:dyDescent="0.25">
      <x:c r="A71" s="549" t="s">
        <x:v>354</x:v>
      </x:c>
      <x:c r="B71" s="543" t="s">
        <x:v>110</x:v>
      </x:c>
      <x:c r="C71" s="525" t="s">
        <x:v>355</x:v>
      </x:c>
      <x:c r="D71" s="526">
        <x:v>45418</x:v>
      </x:c>
      <x:c r="E71" s="527">
        <x:v>285.12</x:v>
      </x:c>
      <x:c r="F71" s="527">
        <x:v>42.77</x:v>
      </x:c>
      <x:c r="G71" s="528">
        <x:f>278.7-2.42-10.91</x:f>
      </x:c>
      <x:c r="H71" s="527">
        <x:v>36.35</x:v>
      </x:c>
      <x:c r="I71" s="534">
        <x:v>45425</x:v>
      </x:c>
      <x:c r="J71" s="433">
        <x:f>+E71-F71</x:f>
      </x:c>
      <x:c r="K71" s="468">
        <x:f>+I71-D71</x:f>
      </x:c>
      <x:c r="L71" s="503">
        <x:v>0.04</x:v>
      </x:c>
      <x:c r="M71" s="504">
        <x:f>+J71*L71</x:f>
      </x:c>
      <x:c r="O71" s="432"/>
    </x:row>
    <x:row r="72" spans="1:30" ht="15" customHeight="1" x14ac:dyDescent="0.25">
      <x:c r="A72" s="549" t="s">
        <x:v>322</x:v>
      </x:c>
      <x:c r="B72" s="543" t="s">
        <x:v>320</x:v>
      </x:c>
      <x:c r="C72" s="525" t="s">
        <x:v>356</x:v>
      </x:c>
      <x:c r="D72" s="526">
        <x:v>45419</x:v>
      </x:c>
      <x:c r="E72" s="527">
        <x:v>432</x:v>
      </x:c>
      <x:c r="F72" s="527">
        <x:v>64.8</x:v>
      </x:c>
      <x:c r="G72" s="528">
        <x:f>422.28</x:f>
      </x:c>
      <x:c r="H72" s="527">
        <x:v>55.08</x:v>
      </x:c>
      <x:c r="I72" s="534">
        <x:v>45434</x:v>
      </x:c>
      <x:c r="J72" s="433">
        <x:f>+E72-F72</x:f>
      </x:c>
      <x:c r="K72" s="468">
        <x:f>+I72-D72</x:f>
      </x:c>
      <x:c r="L72" s="503">
        <x:v>0.035</x:v>
      </x:c>
      <x:c r="M72" s="504">
        <x:f>+J72*L72</x:f>
      </x:c>
      <x:c r="O72" s="432"/>
    </x:row>
    <x:row r="73" spans="1:30" ht="15" customHeight="1" x14ac:dyDescent="0.25">
      <x:c r="A73" s="549" t="s">
        <x:v>52</x:v>
      </x:c>
      <x:c r="B73" s="550" t="s">
        <x:v>53</x:v>
      </x:c>
      <x:c r="C73" s="525" t="s">
        <x:v>357</x:v>
      </x:c>
      <x:c r="D73" s="526">
        <x:v>45427</x:v>
      </x:c>
      <x:c r="E73" s="527">
        <x:v>232.8</x:v>
      </x:c>
      <x:c r="F73" s="527">
        <x:v>46.56</x:v>
      </x:c>
      <x:c r="G73" s="528">
        <x:v>214.18</x:v>
      </x:c>
      <x:c r="H73" s="527">
        <x:v>27.94</x:v>
      </x:c>
      <x:c r="I73" s="529">
        <x:v>45435</x:v>
      </x:c>
      <x:c r="J73" s="433">
        <x:f>+E73-F73</x:f>
      </x:c>
      <x:c r="K73" s="468">
        <x:f>+I73-D73</x:f>
      </x:c>
      <x:c r="L73" s="503">
        <x:v>0.035</x:v>
      </x:c>
      <x:c r="M73" s="504">
        <x:f>+J73*L73</x:f>
      </x:c>
      <x:c r="O73" s="432"/>
    </x:row>
    <x:row r="74" spans="1:30" ht="15" customHeight="1" x14ac:dyDescent="0.25">
      <x:c r="A74" s="551" t="s">
        <x:v>358</x:v>
      </x:c>
      <x:c r="B74" s="552" t="s">
        <x:v>60</x:v>
      </x:c>
      <x:c r="C74" s="552" t="s">
        <x:v>359</x:v>
      </x:c>
      <x:c r="D74" s="553">
        <x:v>45439</x:v>
      </x:c>
      <x:c r="E74" s="554">
        <x:v>2395.2</x:v>
      </x:c>
      <x:c r="F74" s="554">
        <x:v>598.8</x:v>
      </x:c>
      <x:c r="G74" s="528">
        <x:v>1796.4</x:v>
      </x:c>
      <x:c r="H74" s="555">
        <x:v>0</x:v>
      </x:c>
      <x:c r="I74" s="556">
        <x:v>45442</x:v>
      </x:c>
      <x:c r="J74" s="433">
        <x:f>+E74-F74</x:f>
      </x:c>
      <x:c r="K74" s="468">
        <x:f>+I74-D74</x:f>
      </x:c>
      <x:c r="L74" s="503">
        <x:v>0.04</x:v>
      </x:c>
      <x:c r="M74" s="504">
        <x:f>+J74*L74</x:f>
      </x:c>
      <x:c r="O74" s="432"/>
      <x:c r="P74" s="435"/>
      <x:c r="Q74" s="435"/>
    </x:row>
    <x:row r="75" spans="1:30" ht="15" customHeight="1" x14ac:dyDescent="0.25">
      <x:c r="A75" s="549" t="s">
        <x:v>360</x:v>
      </x:c>
      <x:c r="B75" s="543" t="s">
        <x:v>26</x:v>
      </x:c>
      <x:c r="C75" s="525" t="s">
        <x:v>361</x:v>
      </x:c>
      <x:c r="D75" s="526">
        <x:v>45443</x:v>
      </x:c>
      <x:c r="E75" s="527">
        <x:v>1128.75</x:v>
      </x:c>
      <x:c r="F75" s="527">
        <x:v>112.88</x:v>
      </x:c>
      <x:c r="G75" s="528">
        <x:v>1112.38</x:v>
      </x:c>
      <x:c r="H75" s="527">
        <x:v>152.38</x:v>
      </x:c>
      <x:c r="I75" s="529">
        <x:v>45443</x:v>
      </x:c>
      <x:c r="J75" s="433">
        <x:f>+E75-F75</x:f>
      </x:c>
      <x:c r="K75" s="468">
        <x:f>+I75-D75</x:f>
      </x:c>
      <x:c r="L75" s="503">
        <x:v>0.04</x:v>
      </x:c>
      <x:c r="M75" s="504">
        <x:f>+J75*L75</x:f>
      </x:c>
      <x:c r="O75" s="432"/>
    </x:row>
    <x:row r="76" spans="1:30" ht="15" customHeight="1" x14ac:dyDescent="0.3">
      <x:c r="G76" s="516">
        <x:f>SUM(G38:G75)</x:f>
      </x:c>
      <x:c r="J76" s="516">
        <x:f>SUM(J38:J75)</x:f>
      </x:c>
      <x:c r="M76" s="516">
        <x:f>SUM(M38:M75)</x:f>
      </x:c>
    </x:row>
    <x:row r="77" spans="1:30" ht="15" customHeight="1" x14ac:dyDescent="0.25">
      <x:c r="G77" s="435"/>
      <x:c r="H77" s="435"/>
    </x:row>
    <x:row r="78" spans="1:30" ht="15" customHeight="1" x14ac:dyDescent="0.25">
      <x:c r="A78" s="517" t="s">
        <x:v>30</x:v>
      </x:c>
      <x:c r="B78" s="517" t="s">
        <x:v>31</x:v>
      </x:c>
      <x:c r="C78" s="518" t="s">
        <x:v>32</x:v>
      </x:c>
      <x:c r="I78" s="435"/>
      <x:c r="J78" s="435"/>
    </x:row>
    <x:row r="79" spans="1:30" ht="15" customHeight="1" s="434" customFormat="1" x14ac:dyDescent="0.25">
      <x:c r="A79" s="545" t="s">
        <x:v>179</x:v>
      </x:c>
      <x:c r="B79" s="530" t="s">
        <x:v>362</x:v>
      </x:c>
      <x:c r="C79" s="546" t="s">
        <x:v>363</x:v>
      </x:c>
      <x:c r="D79" s="547">
        <x:v>45373</x:v>
      </x:c>
      <x:c r="E79" s="548">
        <x:v>1944</x:v>
      </x:c>
      <x:c r="F79" s="548">
        <x:v>291.6</x:v>
      </x:c>
      <x:c r="G79" s="433">
        <x:v>1274.68</x:v>
      </x:c>
      <x:c r="H79" s="548">
        <x:v>198.29</x:v>
      </x:c>
      <x:c r="I79" s="529">
        <x:v>45485</x:v>
      </x:c>
      <x:c r="J79" s="433">
        <x:f>1274.68/1.12</x:f>
      </x:c>
      <x:c r="K79" s="468">
        <x:f>+I79-D79</x:f>
      </x:c>
      <x:c r="L79" s="469">
        <x:v>0.03</x:v>
      </x:c>
      <x:c r="M79" s="433">
        <x:f>+J79*L79</x:f>
      </x:c>
      <x:c r="N79" s="470"/>
      <x:c r="O79" s="432"/>
    </x:row>
    <x:row r="80" spans="1:30" ht="15" customHeight="1" s="434" customFormat="1" x14ac:dyDescent="0.25">
      <x:c r="A80" s="545" t="s">
        <x:v>364</x:v>
      </x:c>
      <x:c r="B80" s="483" t="s">
        <x:v>365</x:v>
      </x:c>
      <x:c r="C80" s="546" t="s">
        <x:v>366</x:v>
      </x:c>
      <x:c r="D80" s="547">
        <x:v>45373</x:v>
      </x:c>
      <x:c r="E80" s="548">
        <x:v>216</x:v>
      </x:c>
      <x:c r="F80" s="548">
        <x:v>32.4</x:v>
      </x:c>
      <x:c r="G80" s="532">
        <x:f>205.63</x:f>
      </x:c>
      <x:c r="H80" s="548">
        <x:v>22.03</x:v>
      </x:c>
      <x:c r="I80" s="557">
        <x:v>45453</x:v>
      </x:c>
      <x:c r="J80" s="433">
        <x:f>+E80-F80</x:f>
      </x:c>
      <x:c r="K80" s="468">
        <x:f>+I80-D80</x:f>
      </x:c>
      <x:c r="L80" s="469">
        <x:v>0.03</x:v>
      </x:c>
      <x:c r="M80" s="433">
        <x:f>+J80*L80</x:f>
      </x:c>
      <x:c r="N80" s="470"/>
      <x:c r="O80" s="432"/>
    </x:row>
    <x:row r="81" spans="1:30" ht="15" customHeight="1" s="434" customFormat="1" x14ac:dyDescent="0.25">
      <x:c r="A81" s="545" t="s">
        <x:v>367</x:v>
      </x:c>
      <x:c r="B81" s="524" t="s">
        <x:v>368</x:v>
      </x:c>
      <x:c r="C81" s="546" t="s">
        <x:v>369</x:v>
      </x:c>
      <x:c r="D81" s="547">
        <x:v>45376</x:v>
      </x:c>
      <x:c r="E81" s="548">
        <x:v>942.36</x:v>
      </x:c>
      <x:c r="F81" s="548">
        <x:v>141.35</x:v>
      </x:c>
      <x:c r="G81" s="532">
        <x:f>897.13-8.01-28.84+13.05</x:f>
      </x:c>
      <x:c r="H81" s="548">
        <x:v>96.12</x:v>
      </x:c>
      <x:c r="I81" s="557">
        <x:v>45453</x:v>
      </x:c>
      <x:c r="J81" s="433">
        <x:f>+E81-F81</x:f>
      </x:c>
      <x:c r="K81" s="468">
        <x:f>+I81-D81</x:f>
      </x:c>
      <x:c r="L81" s="469">
        <x:v>0.03</x:v>
      </x:c>
      <x:c r="M81" s="433">
        <x:f>+J81*L81</x:f>
      </x:c>
      <x:c r="N81" s="470"/>
      <x:c r="O81" s="432"/>
    </x:row>
    <x:row r="82" spans="1:30" ht="15" customHeight="1" s="434" customFormat="1" x14ac:dyDescent="0.25">
      <x:c r="A82" s="545" t="s">
        <x:v>101</x:v>
      </x:c>
      <x:c r="B82" s="524" t="s">
        <x:v>370</x:v>
      </x:c>
      <x:c r="C82" s="546" t="s">
        <x:v>371</x:v>
      </x:c>
      <x:c r="D82" s="547">
        <x:v>45401</x:v>
      </x:c>
      <x:c r="E82" s="548">
        <x:v>303.6</x:v>
      </x:c>
      <x:c r="F82" s="548">
        <x:v>45.54</x:v>
      </x:c>
      <x:c r="G82" s="433">
        <x:v>282.58</x:v>
      </x:c>
      <x:c r="H82" s="548">
        <x:v>38.71</x:v>
      </x:c>
      <x:c r="I82" s="529">
        <x:v>45449</x:v>
      </x:c>
      <x:c r="J82" s="433">
        <x:f>+E82-F82</x:f>
      </x:c>
      <x:c r="K82" s="468">
        <x:f>+I82-D82</x:f>
      </x:c>
      <x:c r="L82" s="469">
        <x:v>0.03</x:v>
      </x:c>
      <x:c r="M82" s="433">
        <x:f>+J82*L82</x:f>
      </x:c>
      <x:c r="N82" s="470"/>
      <x:c r="O82" s="432"/>
    </x:row>
    <x:row r="83" spans="1:30" ht="15" customHeight="1" s="434" customFormat="1" x14ac:dyDescent="0.25">
      <x:c r="A83" s="545" t="s">
        <x:v>101</x:v>
      </x:c>
      <x:c r="B83" s="524" t="s">
        <x:v>372</x:v>
      </x:c>
      <x:c r="C83" s="546" t="s">
        <x:v>373</x:v>
      </x:c>
      <x:c r="D83" s="547">
        <x:v>45411</x:v>
      </x:c>
      <x:c r="E83" s="548">
        <x:v>268.2</x:v>
      </x:c>
      <x:c r="F83" s="548">
        <x:v>40.23</x:v>
      </x:c>
      <x:c r="G83" s="532">
        <x:v>249.63</x:v>
      </x:c>
      <x:c r="H83" s="548">
        <x:v>34.2</x:v>
      </x:c>
      <x:c r="I83" s="529">
        <x:v>45457</x:v>
      </x:c>
      <x:c r="J83" s="433">
        <x:f>+E83-F83</x:f>
      </x:c>
      <x:c r="K83" s="468">
        <x:f>+I83-D83</x:f>
      </x:c>
      <x:c r="L83" s="469">
        <x:v>0.03</x:v>
      </x:c>
      <x:c r="M83" s="433">
        <x:f>+J83*L83</x:f>
      </x:c>
      <x:c r="N83" s="470"/>
      <x:c r="O83" s="432"/>
    </x:row>
    <x:row r="84" spans="1:30" ht="15" customHeight="1" s="434" customFormat="1" x14ac:dyDescent="0.25">
      <x:c r="A84" s="545" t="s">
        <x:v>101</x:v>
      </x:c>
      <x:c r="B84" s="524" t="s">
        <x:v>374</x:v>
      </x:c>
      <x:c r="C84" s="546" t="s">
        <x:v>375</x:v>
      </x:c>
      <x:c r="D84" s="547">
        <x:v>45426</x:v>
      </x:c>
      <x:c r="E84" s="548">
        <x:v>250.8</x:v>
      </x:c>
      <x:c r="F84" s="548">
        <x:v>37.62</x:v>
      </x:c>
      <x:c r="G84" s="532">
        <x:v>233.44</x:v>
      </x:c>
      <x:c r="H84" s="548">
        <x:v>31.98</x:v>
      </x:c>
      <x:c r="I84" s="529">
        <x:v>45475</x:v>
      </x:c>
      <x:c r="J84" s="433">
        <x:f>+E84-F84</x:f>
      </x:c>
      <x:c r="K84" s="468">
        <x:f>+I84-D84</x:f>
      </x:c>
      <x:c r="L84" s="469">
        <x:v>0.03</x:v>
      </x:c>
      <x:c r="M84" s="433">
        <x:f>+J84*L84</x:f>
      </x:c>
      <x:c r="N84" s="470"/>
      <x:c r="O84" s="432"/>
    </x:row>
    <x:row r="85" spans="1:30" ht="15" customHeight="1" s="434" customFormat="1" x14ac:dyDescent="0.25">
      <x:c r="A85" s="530" t="s">
        <x:v>67</x:v>
      </x:c>
      <x:c r="B85" s="524" t="s">
        <x:v>376</x:v>
      </x:c>
      <x:c r="C85" s="524" t="s">
        <x:v>377</x:v>
      </x:c>
      <x:c r="D85" s="529">
        <x:v>45428</x:v>
      </x:c>
      <x:c r="E85" s="531">
        <x:v>325.44</x:v>
      </x:c>
      <x:c r="F85" s="531">
        <x:v>55.34</x:v>
      </x:c>
      <x:c r="G85" s="532">
        <x:v>310.62</x:v>
      </x:c>
      <x:c r="H85" s="533">
        <x:v>40.52</x:v>
      </x:c>
      <x:c r="I85" s="534">
        <x:v>45489</x:v>
      </x:c>
      <x:c r="J85" s="433">
        <x:f>+E85-F85</x:f>
      </x:c>
      <x:c r="K85" s="468">
        <x:f>+I85-D85</x:f>
      </x:c>
      <x:c r="L85" s="469">
        <x:v>0.03</x:v>
      </x:c>
      <x:c r="M85" s="433">
        <x:f>+J85*L85</x:f>
      </x:c>
      <x:c r="N85" s="470"/>
      <x:c r="O85" s="432"/>
    </x:row>
    <x:row r="86" spans="1:30" ht="15" customHeight="1" s="434" customFormat="1" x14ac:dyDescent="0.25">
      <x:c r="A86" s="530" t="s">
        <x:v>101</x:v>
      </x:c>
      <x:c r="B86" s="524" t="s">
        <x:v>374</x:v>
      </x:c>
      <x:c r="C86" s="524" t="s">
        <x:v>378</x:v>
      </x:c>
      <x:c r="D86" s="529">
        <x:v>45429</x:v>
      </x:c>
      <x:c r="E86" s="531">
        <x:v>204.93</x:v>
      </x:c>
      <x:c r="F86" s="531">
        <x:v>30.74</x:v>
      </x:c>
      <x:c r="G86" s="532">
        <x:v>190.74</x:v>
      </x:c>
      <x:c r="H86" s="533">
        <x:v>26.13</x:v>
      </x:c>
      <x:c r="I86" s="534">
        <x:v>45475</x:v>
      </x:c>
      <x:c r="J86" s="433">
        <x:f>+E86-F86</x:f>
      </x:c>
      <x:c r="K86" s="468">
        <x:f>+I86-D86</x:f>
      </x:c>
      <x:c r="L86" s="469">
        <x:v>0.03</x:v>
      </x:c>
      <x:c r="M86" s="433">
        <x:f>+J86*L86</x:f>
      </x:c>
      <x:c r="N86" s="470"/>
      <x:c r="O86" s="432"/>
    </x:row>
    <x:row r="87" spans="1:30" ht="15" customHeight="1" s="434" customFormat="1" x14ac:dyDescent="0.25">
      <x:c r="A87" s="530" t="s">
        <x:v>136</x:v>
      </x:c>
      <x:c r="B87" s="524" t="s">
        <x:v>379</x:v>
      </x:c>
      <x:c r="C87" s="524" t="s">
        <x:v>380</x:v>
      </x:c>
      <x:c r="D87" s="529">
        <x:v>45443</x:v>
      </x:c>
      <x:c r="E87" s="531">
        <x:v>1003.2</x:v>
      </x:c>
      <x:c r="F87" s="531">
        <x:v>200.64</x:v>
      </x:c>
      <x:c r="G87" s="532">
        <x:v>878.8</x:v>
      </x:c>
      <x:c r="H87" s="533">
        <x:v>120.38</x:v>
      </x:c>
      <x:c r="I87" s="534">
        <x:v>45473</x:v>
      </x:c>
      <x:c r="J87" s="433">
        <x:f>+E87-F87</x:f>
      </x:c>
      <x:c r="K87" s="468">
        <x:f>+I87-D87</x:f>
      </x:c>
      <x:c r="L87" s="469">
        <x:v>0.03</x:v>
      </x:c>
      <x:c r="M87" s="433">
        <x:f>+J87*L87</x:f>
      </x:c>
      <x:c r="N87" s="470"/>
      <x:c r="O87" s="432"/>
    </x:row>
    <x:row r="88" spans="1:30" ht="15" customHeight="1" s="434" customFormat="1" x14ac:dyDescent="0.25">
      <x:c r="A88" s="530" t="s">
        <x:v>136</x:v>
      </x:c>
      <x:c r="B88" s="524" t="s">
        <x:v>381</x:v>
      </x:c>
      <x:c r="C88" s="524" t="s">
        <x:v>382</x:v>
      </x:c>
      <x:c r="D88" s="529">
        <x:v>45443</x:v>
      </x:c>
      <x:c r="E88" s="531">
        <x:v>921.6</x:v>
      </x:c>
      <x:c r="F88" s="531">
        <x:v>184.32</x:v>
      </x:c>
      <x:c r="G88" s="532">
        <x:v>807.32</x:v>
      </x:c>
      <x:c r="H88" s="533">
        <x:v>110.59</x:v>
      </x:c>
      <x:c r="I88" s="534">
        <x:v>45476</x:v>
      </x:c>
      <x:c r="J88" s="433">
        <x:f>+E88-F88</x:f>
      </x:c>
      <x:c r="K88" s="468">
        <x:f>+I88-D88</x:f>
      </x:c>
      <x:c r="L88" s="469">
        <x:v>0.03</x:v>
      </x:c>
      <x:c r="M88" s="433">
        <x:f>+J88*L88</x:f>
      </x:c>
      <x:c r="N88" s="470"/>
      <x:c r="O88" s="432"/>
    </x:row>
    <x:row r="89" spans="1:30" ht="15" customHeight="1" x14ac:dyDescent="0.35">
      <x:c r="A89" s="493" t="s">
        <x:v>43</x:v>
      </x:c>
      <x:c r="B89" s="493"/>
      <x:c r="C89" s="493"/>
      <x:c r="D89" s="493"/>
      <x:c r="E89" s="493"/>
      <x:c r="F89" s="493"/>
      <x:c r="G89" s="516">
        <x:f>SUM(G76:G88)</x:f>
      </x:c>
      <x:c r="J89" s="516">
        <x:f>SUM(J76:J88)</x:f>
      </x:c>
      <x:c r="L89" s="495"/>
      <x:c r="M89" s="519">
        <x:f>SUM(M76:M88)</x:f>
      </x:c>
    </x:row>
    <x:row r="90" spans="1:30" ht="15" customHeight="1" x14ac:dyDescent="0.3">
      <x:c r="A90" s="520"/>
      <x:c r="G90" s="435"/>
    </x:row>
    <x:row r="91" spans="1:30" ht="15" customHeight="1" x14ac:dyDescent="0.3">
      <x:c r="A91" s="499"/>
      <x:c r="G91" s="435"/>
      <x:c r="J91" s="435"/>
    </x:row>
    <x:row r="92" spans="1:30" ht="15" customHeight="1" x14ac:dyDescent="0.3">
      <x:c r="A92" s="499"/>
      <x:c r="G92" s="435"/>
      <x:c r="J92" s="435"/>
    </x:row>
    <x:row r="93" spans="1:30" ht="15" customHeight="1" x14ac:dyDescent="0.3">
      <x:c r="A93" s="499"/>
      <x:c r="G93" s="435"/>
      <x:c r="J93" s="435"/>
    </x:row>
    <x:row r="94" spans="1:30" ht="15" customHeight="1" x14ac:dyDescent="0.3">
      <x:c r="A94" s="499"/>
      <x:c r="G94" s="435">
        <x:f>4320-764.23</x:f>
      </x:c>
      <x:c r="J94" s="435"/>
    </x:row>
    <x:row r="95" spans="1:30" ht="15" customHeight="1" x14ac:dyDescent="0.3">
      <x:c r="A95" s="499"/>
      <x:c r="G95" s="435"/>
      <x:c r="J95" s="435"/>
    </x:row>
    <x:row r="96" spans="1:30" ht="15" customHeight="1" x14ac:dyDescent="0.3">
      <x:c r="A96" s="499"/>
      <x:c r="G96" s="435">
        <x:f>4491.19+15843.43</x:f>
      </x:c>
      <x:c r="J96" s="435">
        <x:f>(J28+J89)*2%</x:f>
      </x:c>
      <x:c r="M96" s="435">
        <x:f>M28/12</x:f>
      </x:c>
      <x:c r="N96" s="431" t="s">
        <x:v>237</x:v>
      </x:c>
    </x:row>
    <x:row r="97" spans="1:30" ht="15" customHeight="1" x14ac:dyDescent="0.3">
      <x:c r="A97" s="499"/>
      <x:c r="G97" s="435">
        <x:f>G96*2%</x:f>
      </x:c>
      <x:c r="J97" s="435">
        <x:f>J96/12</x:f>
      </x:c>
      <x:c r="M97" s="435">
        <x:f>M28/24</x:f>
      </x:c>
      <x:c r="N97" s="431" t="s">
        <x:v>237</x:v>
      </x:c>
    </x:row>
    <x:row r="98" spans="1:30" ht="15" customHeight="1" x14ac:dyDescent="0.3">
      <x:c r="A98" s="499"/>
      <x:c r="G98" s="435"/>
      <x:c r="J98" s="435">
        <x:f>J96/24</x:f>
      </x:c>
      <x:c r="M98" s="435">
        <x:f>M89/12</x:f>
      </x:c>
      <x:c r="N98" s="431" t="s">
        <x:v>238</x:v>
      </x:c>
      <x:c r="O98" s="435"/>
    </x:row>
    <x:row r="99" spans="1:30" ht="15" customHeight="1" x14ac:dyDescent="0.3">
      <x:c r="A99" s="499"/>
      <x:c r="G99" s="435"/>
      <x:c r="J99" s="435"/>
      <x:c r="M99" s="435">
        <x:f>M89/24</x:f>
      </x:c>
      <x:c r="N99" s="431" t="s">
        <x:v>238</x:v>
      </x:c>
      <x:c r="O99" s="435"/>
    </x:row>
    <x:row r="100" spans="1:30" ht="15" customHeight="1" x14ac:dyDescent="0.3">
      <x:c r="A100" s="499"/>
      <x:c r="G100" s="435"/>
      <x:c r="J100" s="435"/>
      <x:c r="M100" s="435"/>
    </x:row>
    <x:row r="101" spans="1:30" ht="15" customHeight="1" x14ac:dyDescent="0.3">
      <x:c r="A101" s="499"/>
      <x:c r="G101" s="435"/>
      <x:c r="J101" s="435"/>
      <x:c r="M101" s="429">
        <x:f>17.76+27.58</x:f>
      </x:c>
    </x:row>
    <x:row r="102" spans="1:30" ht="15" customHeight="1" x14ac:dyDescent="0.3">
      <x:c r="A102" s="499"/>
      <x:c r="G102" s="435"/>
      <x:c r="J102" s="435"/>
    </x:row>
    <x:row r="103" spans="1:30" ht="15" customHeight="1" x14ac:dyDescent="0.3">
      <x:c r="A103" s="499"/>
      <x:c r="G103" s="435"/>
      <x:c r="J103" s="435"/>
    </x:row>
    <x:row r="104" spans="1:30" ht="15" customHeight="1" x14ac:dyDescent="0.3">
      <x:c r="A104" s="499"/>
      <x:c r="G104" s="435"/>
      <x:c r="J104" s="435"/>
    </x:row>
    <x:row r="105" spans="1:30" ht="15" customHeight="1" x14ac:dyDescent="0.3">
      <x:c r="A105" s="499"/>
      <x:c r="G105" s="435"/>
      <x:c r="J105" s="435"/>
    </x:row>
    <x:row r="106" spans="1:30" ht="15" customHeight="1" x14ac:dyDescent="0.3">
      <x:c r="A106" s="520"/>
      <x:c r="K106" s="515"/>
    </x:row>
  </x:sheetData>
  <x:sortState xmlns:xlrd2="http://schemas.microsoft.com/office/spreadsheetml/2017/richdata2" ref="A38:AD75">
    <x:sortCondition ref="D38:D75"/>
  </x:sortState>
  <x:mergeCells count="7">
    <x:mergeCell ref="A2:F2"/>
    <x:mergeCell ref="A3:F3"/>
    <x:mergeCell ref="A20:F20"/>
    <x:mergeCell ref="A28:F28"/>
    <x:mergeCell ref="A32:F32"/>
    <x:mergeCell ref="A33:F33"/>
    <x:mergeCell ref="A89:F89"/>
  </x:mergeCells>
  <x:printOptions horizontalCentered="0" verticalCentered="0" headings="0" gridLines="0"/>
  <x:pageMargins left="0.1968503937007874" right="0" top="0.3937007874015748" bottom="0" header="0" footer="0"/>
  <x:pageSetup paperSize="9" scale="75" pageOrder="downThenOver" orientation="landscape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AD87"/>
  <x:sheetViews>
    <x:sheetView topLeftCell="A69" workbookViewId="0">
      <x:selection activeCell="J78" sqref="J78 J78:J79"/>
    </x:sheetView>
  </x:sheetViews>
  <x:sheetFormatPr baseColWidth="10" defaultColWidth="11.441406" defaultRowHeight="13.2" x14ac:dyDescent="0.25"/>
  <x:cols>
    <x:col min="1" max="1" width="39.109375" style="429" customWidth="1"/>
    <x:col min="2" max="2" width="28.664062" style="429" customWidth="1"/>
    <x:col min="3" max="3" width="14.886719" style="429" customWidth="1"/>
    <x:col min="4" max="4" width="13" style="430" customWidth="1"/>
    <x:col min="5" max="5" width="11.441406" style="429" customWidth="1"/>
    <x:col min="6" max="6" width="9.554688" style="429" customWidth="1"/>
    <x:col min="7" max="7" width="12.554688" style="429" customWidth="1"/>
    <x:col min="8" max="8" width="10.109375" style="429" customWidth="1"/>
    <x:col min="9" max="9" width="13.664062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9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383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3" customFormat="1" x14ac:dyDescent="0.25">
      <x:c r="A8" s="461" t="s">
        <x:v>25</x:v>
      </x:c>
      <x:c r="B8" s="505" t="s">
        <x:v>26</x:v>
      </x:c>
      <x:c r="C8" s="463" t="s">
        <x:v>384</x:v>
      </x:c>
      <x:c r="D8" s="464">
        <x:v>45426</x:v>
      </x:c>
      <x:c r="E8" s="465">
        <x:v>648</x:v>
      </x:c>
      <x:c r="F8" s="465">
        <x:v>129.6</x:v>
      </x:c>
      <x:c r="G8" s="466">
        <x:v>567.65</x:v>
      </x:c>
      <x:c r="H8" s="465">
        <x:v>77.76</x:v>
      </x:c>
      <x:c r="I8" s="492">
        <x:v>45464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  <x:c r="O8" s="432"/>
      <x:c r="P8" s="432"/>
      <x:c r="Q8" s="432"/>
      <x:c r="R8" s="432"/>
      <x:c r="S8" s="432"/>
      <x:c r="T8" s="432"/>
      <x:c r="U8" s="432"/>
      <x:c r="V8" s="432"/>
      <x:c r="W8" s="432"/>
      <x:c r="X8" s="432"/>
      <x:c r="Y8" s="432"/>
      <x:c r="Z8" s="432"/>
      <x:c r="AA8" s="432"/>
      <x:c r="AB8" s="432"/>
      <x:c r="AC8" s="432"/>
      <x:c r="AD8" s="432"/>
    </x:row>
    <x:row r="9" spans="1:30" ht="15" customHeight="1" s="433" customFormat="1" x14ac:dyDescent="0.25">
      <x:c r="A9" s="461" t="s">
        <x:v>25</x:v>
      </x:c>
      <x:c r="B9" s="505" t="s">
        <x:v>26</x:v>
      </x:c>
      <x:c r="C9" s="463" t="s">
        <x:v>385</x:v>
      </x:c>
      <x:c r="D9" s="464">
        <x:v>45435</x:v>
      </x:c>
      <x:c r="E9" s="465">
        <x:v>216</x:v>
      </x:c>
      <x:c r="F9" s="465">
        <x:v>43.2</x:v>
      </x:c>
      <x:c r="G9" s="466">
        <x:v>189.21</x:v>
      </x:c>
      <x:c r="H9" s="465">
        <x:v>25.92</x:v>
      </x:c>
      <x:c r="I9" s="492">
        <x:v>45464</x:v>
      </x:c>
      <x:c r="J9" s="433">
        <x:f>+E9-F9</x:f>
      </x:c>
      <x:c r="K9" s="468">
        <x:f>+I9-D9</x:f>
      </x:c>
      <x:c r="L9" s="469">
        <x:v>0.035</x:v>
      </x:c>
      <x:c r="M9" s="433">
        <x:f>+J9*L9</x:f>
      </x:c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3" customFormat="1" x14ac:dyDescent="0.25">
      <x:c r="A10" s="461" t="s">
        <x:v>386</x:v>
      </x:c>
      <x:c r="B10" s="506" t="s">
        <x:v>26</x:v>
      </x:c>
      <x:c r="C10" s="463" t="s">
        <x:v>387</x:v>
      </x:c>
      <x:c r="D10" s="464">
        <x:v>45455</x:v>
      </x:c>
      <x:c r="E10" s="465">
        <x:v>702</x:v>
      </x:c>
      <x:c r="F10" s="465">
        <x:v>140.4</x:v>
      </x:c>
      <x:c r="G10" s="466">
        <x:v>645.84</x:v>
      </x:c>
      <x:c r="H10" s="465">
        <x:v>84.24</x:v>
      </x:c>
      <x:c r="I10" s="467">
        <x:v>45469</x:v>
      </x:c>
      <x:c r="J10" s="433">
        <x:f>+E10-F10</x:f>
      </x:c>
      <x:c r="K10" s="468">
        <x:f>+I10-D10</x:f>
      </x:c>
      <x:c r="L10" s="469">
        <x:v>0.035</x:v>
      </x:c>
      <x:c r="M10" s="433">
        <x:f>+J10*L10</x:f>
      </x:c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3" customFormat="1" x14ac:dyDescent="0.25">
      <x:c r="A11" s="530"/>
      <x:c r="B11" s="524"/>
      <x:c r="C11" s="524"/>
      <x:c r="D11" s="529"/>
      <x:c r="E11" s="531"/>
      <x:c r="F11" s="531"/>
      <x:c r="G11" s="532"/>
      <x:c r="H11" s="533"/>
      <x:c r="I11" s="534"/>
      <x:c r="K11" s="468"/>
      <x:c r="L11" s="469"/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4" customFormat="1" x14ac:dyDescent="0.25">
      <x:c r="A12" s="478"/>
      <x:c r="B12" s="478"/>
      <x:c r="C12" s="478"/>
      <x:c r="D12" s="478"/>
      <x:c r="E12" s="478"/>
      <x:c r="F12" s="478"/>
      <x:c r="G12" s="479">
        <x:f>SUM(G8:G11)</x:f>
      </x:c>
      <x:c r="H12" s="480"/>
      <x:c r="I12" s="481"/>
      <x:c r="J12" s="479">
        <x:f>SUM(J8:J11)</x:f>
      </x:c>
      <x:c r="K12" s="482"/>
      <x:c r="L12" s="482"/>
      <x:c r="M12" s="479">
        <x:f>SUM(M8:M11)</x:f>
      </x:c>
      <x:c r="N12" s="470"/>
    </x:row>
    <x:row r="13" spans="1:30" ht="15" customHeight="1" s="434" customFormat="1" x14ac:dyDescent="0.25">
      <x:c r="A13" s="483"/>
      <x:c r="B13" s="483"/>
      <x:c r="C13" s="483"/>
      <x:c r="D13" s="484"/>
      <x:c r="E13" s="483"/>
      <x:c r="F13" s="483"/>
      <x:c r="G13" s="432"/>
      <x:c r="I13" s="485"/>
      <x:c r="N13" s="470"/>
    </x:row>
    <x:row r="14" spans="1:30" ht="15" customHeight="1" s="434" customFormat="1" x14ac:dyDescent="0.25">
      <x:c r="A14" s="483"/>
      <x:c r="B14" s="483"/>
      <x:c r="C14" s="483"/>
      <x:c r="D14" s="484"/>
      <x:c r="E14" s="483"/>
      <x:c r="F14" s="483"/>
      <x:c r="G14" s="432"/>
      <x:c r="I14" s="485"/>
      <x:c r="J14" s="432"/>
      <x:c r="M14" s="432"/>
      <x:c r="N14" s="470"/>
    </x:row>
    <x:row r="15" spans="1:30" ht="15" customHeight="1" s="434" customFormat="1" x14ac:dyDescent="0.25">
      <x:c r="A15" s="434" t="s">
        <x:v>30</x:v>
      </x:c>
      <x:c r="B15" s="434" t="s">
        <x:v>31</x:v>
      </x:c>
      <x:c r="C15" s="483" t="s">
        <x:v>32</x:v>
      </x:c>
      <x:c r="D15" s="485"/>
      <x:c r="G15" s="432"/>
      <x:c r="I15" s="485"/>
      <x:c r="N15" s="470"/>
    </x:row>
    <x:row r="16" spans="1:30" ht="15" customHeight="1" s="432" customFormat="1" x14ac:dyDescent="0.25">
      <x:c r="A16" s="486" t="s">
        <x:v>88</x:v>
      </x:c>
      <x:c r="B16" s="487" t="s">
        <x:v>388</x:v>
      </x:c>
      <x:c r="C16" s="488" t="s">
        <x:v>389</x:v>
      </x:c>
      <x:c r="D16" s="489">
        <x:v>45384</x:v>
      </x:c>
      <x:c r="E16" s="490">
        <x:v>454.2</x:v>
      </x:c>
      <x:c r="F16" s="490">
        <x:v>68.13</x:v>
      </x:c>
      <x:c r="G16" s="491">
        <x:f>443.98-3.86-17.37+3.47</x:f>
      </x:c>
      <x:c r="H16" s="490">
        <x:v>57.91</x:v>
      </x:c>
      <x:c r="I16" s="492">
        <x:v>45475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</x:row>
    <x:row r="17" spans="1:30" ht="15" customHeight="1" s="432" customFormat="1" x14ac:dyDescent="0.25">
      <x:c r="A17" s="486" t="s">
        <x:v>33</x:v>
      </x:c>
      <x:c r="B17" s="487" t="s">
        <x:v>390</x:v>
      </x:c>
      <x:c r="C17" s="488" t="s">
        <x:v>391</x:v>
      </x:c>
      <x:c r="D17" s="489">
        <x:v>45429</x:v>
      </x:c>
      <x:c r="E17" s="490">
        <x:v>171.36</x:v>
      </x:c>
      <x:c r="F17" s="490">
        <x:v>25.7</x:v>
      </x:c>
      <x:c r="G17" s="491">
        <x:f>167.51-1.46-6.56</x:f>
      </x:c>
      <x:c r="H17" s="490">
        <x:v>21.85</x:v>
      </x:c>
      <x:c r="I17" s="492">
        <x:v>45474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</x:row>
    <x:row r="18" spans="1:30" ht="15" customHeight="1" s="432" customFormat="1" x14ac:dyDescent="0.25">
      <x:c r="A18" s="486" t="s">
        <x:v>36</x:v>
      </x:c>
      <x:c r="B18" s="487" t="s">
        <x:v>392</x:v>
      </x:c>
      <x:c r="C18" s="488" t="s">
        <x:v>393</x:v>
      </x:c>
      <x:c r="D18" s="489">
        <x:v>45462</x:v>
      </x:c>
      <x:c r="E18" s="490">
        <x:v>222</x:v>
      </x:c>
      <x:c r="F18" s="490">
        <x:v>55.5</x:v>
      </x:c>
      <x:c r="G18" s="491">
        <x:v>182.32</x:v>
      </x:c>
      <x:c r="H18" s="490">
        <x:v>24.98</x:v>
      </x:c>
      <x:c r="I18" s="492">
        <x:v>45529</x:v>
      </x:c>
      <x:c r="J18" s="433">
        <x:f>+E18-F18</x:f>
      </x:c>
      <x:c r="K18" s="468">
        <x:f>+I18-D18</x:f>
      </x:c>
      <x:c r="L18" s="469">
        <x:v>0.03</x:v>
      </x:c>
      <x:c r="M18" s="433">
        <x:f>+J18*L18</x:f>
      </x:c>
      <x:c r="N18" s="470"/>
    </x:row>
    <x:row r="19" spans="1:30" ht="15" customHeight="1" s="432" customFormat="1" x14ac:dyDescent="0.25">
      <x:c r="A19" s="486" t="s">
        <x:v>36</x:v>
      </x:c>
      <x:c r="B19" s="487" t="s">
        <x:v>392</x:v>
      </x:c>
      <x:c r="C19" s="488" t="s">
        <x:v>394</x:v>
      </x:c>
      <x:c r="D19" s="489">
        <x:v>45467</x:v>
      </x:c>
      <x:c r="E19" s="490">
        <x:v>893.4</x:v>
      </x:c>
      <x:c r="F19" s="490">
        <x:v>223.35</x:v>
      </x:c>
      <x:c r="G19" s="491">
        <x:v>733.71</x:v>
      </x:c>
      <x:c r="H19" s="490">
        <x:v>100.51</x:v>
      </x:c>
      <x:c r="I19" s="492">
        <x:v>45529</x:v>
      </x:c>
      <x:c r="J19" s="433">
        <x:f>+E19-F19</x:f>
      </x:c>
      <x:c r="K19" s="468">
        <x:f>+I19-D19</x:f>
      </x:c>
      <x:c r="L19" s="469">
        <x:v>0.03</x:v>
      </x:c>
      <x:c r="M19" s="433">
        <x:f>+J19*L19</x:f>
      </x:c>
      <x:c r="N19" s="470"/>
    </x:row>
    <x:row r="20" spans="1:30" ht="15" customHeight="1" s="432" customFormat="1" x14ac:dyDescent="0.3">
      <x:c r="A20" s="558"/>
      <x:c r="B20" s="559"/>
      <x:c r="C20" s="560"/>
      <x:c r="D20" s="561"/>
      <x:c r="E20" s="562"/>
      <x:c r="F20" s="562"/>
      <x:c r="G20" s="491"/>
      <x:c r="H20" s="490"/>
      <x:c r="I20" s="492"/>
      <x:c r="J20" s="433"/>
      <x:c r="K20" s="468"/>
      <x:c r="L20" s="469"/>
      <x:c r="M20" s="563"/>
      <x:c r="N20" s="470"/>
    </x:row>
    <x:row r="21" spans="1:30" ht="15" customHeight="1" x14ac:dyDescent="0.35">
      <x:c r="A21" s="493" t="s">
        <x:v>43</x:v>
      </x:c>
      <x:c r="B21" s="493"/>
      <x:c r="C21" s="493"/>
      <x:c r="D21" s="493"/>
      <x:c r="E21" s="493"/>
      <x:c r="F21" s="493"/>
      <x:c r="G21" s="494">
        <x:f>SUM(G12:G20)</x:f>
      </x:c>
      <x:c r="J21" s="494">
        <x:f>SUM(J12:J20)</x:f>
      </x:c>
      <x:c r="L21" s="495"/>
      <x:c r="M21" s="496">
        <x:f>SUM(M12:M20)</x:f>
      </x:c>
    </x:row>
    <x:row r="22" spans="1:30" ht="15" customHeight="1" x14ac:dyDescent="0.25">
      <x:c r="A22" s="497"/>
      <x:c r="B22" s="497"/>
      <x:c r="C22" s="497"/>
      <x:c r="D22" s="498"/>
      <x:c r="E22" s="497"/>
      <x:c r="F22" s="497"/>
      <x:c r="G22" s="435"/>
      <x:c r="J22" s="435"/>
      <x:c r="M22" s="435"/>
    </x:row>
    <x:row r="23" spans="1:30" ht="15" customHeight="1" x14ac:dyDescent="0.3">
      <x:c r="A23" s="499"/>
      <x:c r="B23" s="497"/>
      <x:c r="C23" s="497"/>
      <x:c r="D23" s="498"/>
      <x:c r="E23" s="497"/>
      <x:c r="F23" s="497"/>
      <x:c r="G23" s="435"/>
      <x:c r="J23" s="435"/>
      <x:c r="M23" s="435"/>
    </x:row>
    <x:row r="24" spans="1:30" ht="15" customHeight="1" x14ac:dyDescent="0.25">
      <x:c r="A24" s="497"/>
      <x:c r="B24" s="497"/>
      <x:c r="C24" s="497"/>
      <x:c r="D24" s="498"/>
      <x:c r="E24" s="497"/>
      <x:c r="F24" s="497"/>
      <x:c r="G24" s="435"/>
      <x:c r="I24" s="500"/>
    </x:row>
    <x:row r="25" spans="1:30" ht="15" customHeight="1" x14ac:dyDescent="0.25">
      <x:c r="A25" s="436" t="s">
        <x:v>44</x:v>
      </x:c>
      <x:c r="B25" s="436"/>
      <x:c r="C25" s="436"/>
      <x:c r="D25" s="436"/>
      <x:c r="E25" s="436"/>
      <x:c r="F25" s="436"/>
      <x:c r="G25" s="437"/>
      <x:c r="H25" s="437"/>
      <x:c r="I25" s="439"/>
      <x:c r="J25" s="440"/>
      <x:c r="K25" s="441"/>
      <x:c r="L25" s="442"/>
      <x:c r="M25" s="443"/>
    </x:row>
    <x:row r="26" spans="1:30" ht="15" customHeight="1" x14ac:dyDescent="0.25">
      <x:c r="A26" s="436" t="s">
        <x:v>1</x:v>
      </x:c>
      <x:c r="B26" s="436"/>
      <x:c r="C26" s="436"/>
      <x:c r="D26" s="436"/>
      <x:c r="E26" s="436"/>
      <x:c r="F26" s="436"/>
      <x:c r="G26" s="437"/>
      <x:c r="H26" s="438"/>
      <x:c r="I26" s="439"/>
      <x:c r="J26" s="441"/>
      <x:c r="K26" s="441"/>
      <x:c r="L26" s="442"/>
      <x:c r="M26" s="443"/>
    </x:row>
    <x:row r="27" spans="1:30" ht="15" customHeight="1" x14ac:dyDescent="0.25">
      <x:c r="A27" s="436"/>
      <x:c r="B27" s="444" t="s">
        <x:v>383</x:v>
      </x:c>
      <x:c r="C27" s="436"/>
      <x:c r="D27" s="445"/>
      <x:c r="E27" s="436"/>
      <x:c r="F27" s="436"/>
      <x:c r="G27" s="437"/>
      <x:c r="H27" s="438"/>
      <x:c r="I27" s="439"/>
      <x:c r="J27" s="441"/>
      <x:c r="K27" s="441"/>
      <x:c r="L27" s="442"/>
      <x:c r="M27" s="443"/>
    </x:row>
    <x:row r="28" spans="1:30" ht="15" customHeight="1" x14ac:dyDescent="0.3">
      <x:c r="A28" s="436"/>
      <x:c r="B28" s="444" t="s">
        <x:v>45</x:v>
      </x:c>
      <x:c r="C28" s="436"/>
      <x:c r="D28" s="445"/>
      <x:c r="E28" s="436"/>
      <x:c r="F28" s="436"/>
      <x:c r="G28" s="443"/>
      <x:c r="H28" s="437"/>
      <x:c r="I28" s="446"/>
      <x:c r="J28" s="441"/>
      <x:c r="K28" s="441"/>
      <x:c r="L28" s="442"/>
      <x:c r="M28" s="443"/>
    </x:row>
    <x:row r="29" spans="1:30" ht="15" customHeight="1" x14ac:dyDescent="0.25">
      <x:c r="A29" s="447"/>
      <x:c r="B29" s="441"/>
      <x:c r="C29" s="441"/>
      <x:c r="D29" s="439"/>
      <x:c r="E29" s="441"/>
      <x:c r="F29" s="441"/>
      <x:c r="G29" s="448" t="s">
        <x:v>5</x:v>
      </x:c>
      <x:c r="H29" s="441"/>
      <x:c r="I29" s="439"/>
      <x:c r="J29" s="449" t="s">
        <x:v>6</x:v>
      </x:c>
      <x:c r="K29" s="450" t="s">
        <x:v>7</x:v>
      </x:c>
      <x:c r="L29" s="451" t="s">
        <x:v>8</x:v>
      </x:c>
      <x:c r="M29" s="449" t="s">
        <x:v>9</x:v>
      </x:c>
    </x:row>
    <x:row r="30" spans="1:30" ht="15" customHeight="1" x14ac:dyDescent="0.25">
      <x:c r="A30" s="452" t="s">
        <x:v>10</x:v>
      </x:c>
      <x:c r="B30" s="452" t="s">
        <x:v>11</x:v>
      </x:c>
      <x:c r="C30" s="452" t="s">
        <x:v>12</x:v>
      </x:c>
      <x:c r="D30" s="453" t="s">
        <x:v>13</x:v>
      </x:c>
      <x:c r="E30" s="452" t="s">
        <x:v>14</x:v>
      </x:c>
      <x:c r="F30" s="454" t="s">
        <x:v>15</x:v>
      </x:c>
      <x:c r="G30" s="501" t="s">
        <x:v>16</x:v>
      </x:c>
      <x:c r="H30" s="456" t="s">
        <x:v>17</x:v>
      </x:c>
      <x:c r="I30" s="457" t="s">
        <x:v>18</x:v>
      </x:c>
      <x:c r="J30" s="458" t="s">
        <x:v>19</x:v>
      </x:c>
      <x:c r="K30" s="459"/>
      <x:c r="L30" s="460" t="s">
        <x:v>20</x:v>
      </x:c>
      <x:c r="M30" s="458" t="s">
        <x:v>21</x:v>
      </x:c>
    </x:row>
    <x:row r="31" spans="1:30" ht="15" customHeight="1" x14ac:dyDescent="0.25">
      <x:c r="A31" s="461" t="s">
        <x:v>49</x:v>
      </x:c>
      <x:c r="B31" s="506" t="s">
        <x:v>26</x:v>
      </x:c>
      <x:c r="C31" s="463" t="s">
        <x:v>395</x:v>
      </x:c>
      <x:c r="D31" s="464">
        <x:v>45359</x:v>
      </x:c>
      <x:c r="E31" s="465">
        <x:v>46.8</x:v>
      </x:c>
      <x:c r="F31" s="465">
        <x:v>7.02</x:v>
      </x:c>
      <x:c r="G31" s="466">
        <x:v>42.72</x:v>
      </x:c>
      <x:c r="H31" s="465">
        <x:v>4.77</x:v>
      </x:c>
      <x:c r="I31" s="467">
        <x:v>45454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30" ht="15" customHeight="1" x14ac:dyDescent="0.25">
      <x:c r="A32" s="461" t="s">
        <x:v>49</x:v>
      </x:c>
      <x:c r="B32" s="506" t="s">
        <x:v>26</x:v>
      </x:c>
      <x:c r="C32" s="463" t="s">
        <x:v>396</x:v>
      </x:c>
      <x:c r="D32" s="464">
        <x:v>45364</x:v>
      </x:c>
      <x:c r="E32" s="465">
        <x:v>23.4</x:v>
      </x:c>
      <x:c r="F32" s="465">
        <x:v>3.51</x:v>
      </x:c>
      <x:c r="G32" s="466">
        <x:v>21.36</x:v>
      </x:c>
      <x:c r="H32" s="465">
        <x:v>2.39</x:v>
      </x:c>
      <x:c r="I32" s="467">
        <x:v>45454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  <x:c r="O32" s="432"/>
    </x:row>
    <x:row r="33" spans="1:30" ht="15" customHeight="1" x14ac:dyDescent="0.25">
      <x:c r="A33" s="461" t="s">
        <x:v>114</x:v>
      </x:c>
      <x:c r="B33" s="506" t="s">
        <x:v>26</x:v>
      </x:c>
      <x:c r="C33" s="463" t="s">
        <x:v>397</x:v>
      </x:c>
      <x:c r="D33" s="464">
        <x:v>45370</x:v>
      </x:c>
      <x:c r="E33" s="465">
        <x:v>132.48</x:v>
      </x:c>
      <x:c r="F33" s="465">
        <x:v>19.87</x:v>
      </x:c>
      <x:c r="G33" s="466">
        <x:v>120.94</x:v>
      </x:c>
      <x:c r="H33" s="465">
        <x:v>13.51</x:v>
      </x:c>
      <x:c r="I33" s="521">
        <x:v>45462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30" ht="18" customHeight="1" x14ac:dyDescent="0.25">
      <x:c r="A34" s="461" t="s">
        <x:v>49</x:v>
      </x:c>
      <x:c r="B34" s="506" t="s">
        <x:v>26</x:v>
      </x:c>
      <x:c r="C34" s="463" t="s">
        <x:v>398</x:v>
      </x:c>
      <x:c r="D34" s="464">
        <x:v>45371</x:v>
      </x:c>
      <x:c r="E34" s="465">
        <x:v>23.4</x:v>
      </x:c>
      <x:c r="F34" s="465">
        <x:v>3.51</x:v>
      </x:c>
      <x:c r="G34" s="466">
        <x:f>22.7-0.2-0.84</x:f>
      </x:c>
      <x:c r="H34" s="465">
        <x:v>2.81</x:v>
      </x:c>
      <x:c r="I34" s="521">
        <x:v>45454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  <x:c r="O34" s="432"/>
    </x:row>
    <x:row r="35" spans="1:30" ht="15" customHeight="1" x14ac:dyDescent="0.25">
      <x:c r="A35" s="461" t="s">
        <x:v>57</x:v>
      </x:c>
      <x:c r="B35" s="505" t="s">
        <x:v>26</x:v>
      </x:c>
      <x:c r="C35" s="463" t="s">
        <x:v>399</x:v>
      </x:c>
      <x:c r="D35" s="464">
        <x:v>45373</x:v>
      </x:c>
      <x:c r="E35" s="465">
        <x:v>473.04</x:v>
      </x:c>
      <x:c r="F35" s="465">
        <x:v>94.62</x:v>
      </x:c>
      <x:c r="G35" s="466">
        <x:v>406.43</x:v>
      </x:c>
      <x:c r="H35" s="465">
        <x:v>45.41</x:v>
      </x:c>
      <x:c r="I35" s="521">
        <x:v>45454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  <x:c r="O35" s="432"/>
    </x:row>
    <x:row r="36" spans="1:30" ht="15" customHeight="1" x14ac:dyDescent="0.25">
      <x:c r="A36" s="461" t="s">
        <x:v>332</x:v>
      </x:c>
      <x:c r="B36" s="505" t="s">
        <x:v>333</x:v>
      </x:c>
      <x:c r="C36" s="463" t="s">
        <x:v>334</x:v>
      </x:c>
      <x:c r="D36" s="464">
        <x:v>45373</x:v>
      </x:c>
      <x:c r="E36" s="465">
        <x:v>413.4</x:v>
      </x:c>
      <x:c r="F36" s="465">
        <x:v>62</x:v>
      </x:c>
      <x:c r="G36" s="466">
        <x:v>150</x:v>
      </x:c>
      <x:c r="H36" s="465">
        <x:v>42.17</x:v>
      </x:c>
      <x:c r="I36" s="521">
        <x:v>45464</x:v>
      </x:c>
      <x:c r="J36" s="433">
        <x:f>150/1.12</x:f>
      </x:c>
      <x:c r="K36" s="468">
        <x:f>+I36-D36</x:f>
      </x:c>
      <x:c r="L36" s="503">
        <x:v>0.03</x:v>
      </x:c>
      <x:c r="M36" s="504">
        <x:f>+J36*L36</x:f>
      </x:c>
      <x:c r="O36" s="432"/>
    </x:row>
    <x:row r="37" spans="1:30" ht="15" customHeight="1" x14ac:dyDescent="0.25">
      <x:c r="A37" s="461" t="s">
        <x:v>400</x:v>
      </x:c>
      <x:c r="B37" s="505" t="s">
        <x:v>401</x:v>
      </x:c>
      <x:c r="C37" s="463" t="s">
        <x:v>402</x:v>
      </x:c>
      <x:c r="D37" s="464">
        <x:v>45374</x:v>
      </x:c>
      <x:c r="E37" s="465">
        <x:v>240</x:v>
      </x:c>
      <x:c r="F37" s="465">
        <x:v>36</x:v>
      </x:c>
      <x:c r="G37" s="466">
        <x:v>185</x:v>
      </x:c>
      <x:c r="H37" s="465">
        <x:v>24.48</x:v>
      </x:c>
      <x:c r="I37" s="521">
        <x:v>45454</x:v>
      </x:c>
      <x:c r="J37" s="433">
        <x:f>185/1.12</x:f>
      </x:c>
      <x:c r="K37" s="468">
        <x:f>+I37-D37</x:f>
      </x:c>
      <x:c r="L37" s="503">
        <x:v>0.03</x:v>
      </x:c>
      <x:c r="M37" s="504">
        <x:f>+J37*L37</x:f>
      </x:c>
      <x:c r="O37" s="432"/>
    </x:row>
    <x:row r="38" spans="1:30" ht="15" customHeight="1" x14ac:dyDescent="0.25">
      <x:c r="A38" s="461" t="s">
        <x:v>339</x:v>
      </x:c>
      <x:c r="B38" s="505" t="s">
        <x:v>333</x:v>
      </x:c>
      <x:c r="C38" s="463" t="s">
        <x:v>340</x:v>
      </x:c>
      <x:c r="D38" s="464">
        <x:v>45376</x:v>
      </x:c>
      <x:c r="E38" s="465">
        <x:v>650.4</x:v>
      </x:c>
      <x:c r="F38" s="465">
        <x:v>97.56</x:v>
      </x:c>
      <x:c r="G38" s="466">
        <x:v>219.18</x:v>
      </x:c>
      <x:c r="H38" s="465">
        <x:v>66.34</x:v>
      </x:c>
      <x:c r="I38" s="521">
        <x:v>45450</x:v>
      </x:c>
      <x:c r="J38" s="433">
        <x:f>219.18/1.12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30" ht="15" customHeight="1" x14ac:dyDescent="0.25">
      <x:c r="A39" s="461" t="s">
        <x:v>67</x:v>
      </x:c>
      <x:c r="B39" s="505" t="s">
        <x:v>26</x:v>
      </x:c>
      <x:c r="C39" s="463" t="s">
        <x:v>403</x:v>
      </x:c>
      <x:c r="D39" s="464">
        <x:v>45383</x:v>
      </x:c>
      <x:c r="E39" s="465">
        <x:v>68.4</x:v>
      </x:c>
      <x:c r="F39" s="465">
        <x:v>11.63</x:v>
      </x:c>
      <x:c r="G39" s="466">
        <x:v>65.29</x:v>
      </x:c>
      <x:c r="H39" s="465">
        <x:v>8.52</x:v>
      </x:c>
      <x:c r="I39" s="492">
        <x:v>45447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30" ht="15" customHeight="1" x14ac:dyDescent="0.25">
      <x:c r="A40" s="486" t="s">
        <x:v>67</x:v>
      </x:c>
      <x:c r="B40" s="505" t="s">
        <x:v>26</x:v>
      </x:c>
      <x:c r="C40" s="488" t="s">
        <x:v>278</x:v>
      </x:c>
      <x:c r="D40" s="489">
        <x:v>45384</x:v>
      </x:c>
      <x:c r="E40" s="490">
        <x:v>404.4</x:v>
      </x:c>
      <x:c r="F40" s="490">
        <x:v>68.74</x:v>
      </x:c>
      <x:c r="G40" s="502">
        <x:v>386.01</x:v>
      </x:c>
      <x:c r="H40" s="490">
        <x:v>50.35</x:v>
      </x:c>
      <x:c r="I40" s="492">
        <x:v>45447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30" ht="15" customHeight="1" x14ac:dyDescent="0.25">
      <x:c r="A41" s="461" t="s">
        <x:v>49</x:v>
      </x:c>
      <x:c r="B41" s="505" t="s">
        <x:v>26</x:v>
      </x:c>
      <x:c r="C41" s="463" t="s">
        <x:v>404</x:v>
      </x:c>
      <x:c r="D41" s="464">
        <x:v>45385</x:v>
      </x:c>
      <x:c r="E41" s="465">
        <x:v>21.6</x:v>
      </x:c>
      <x:c r="F41" s="465">
        <x:v>3.24</x:v>
      </x:c>
      <x:c r="G41" s="466">
        <x:v>20.1</x:v>
      </x:c>
      <x:c r="H41" s="465">
        <x:v>2.75</x:v>
      </x:c>
      <x:c r="I41" s="492">
        <x:v>45454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30" ht="15" customHeight="1" x14ac:dyDescent="0.25">
      <x:c r="A42" s="461" t="s">
        <x:v>49</x:v>
      </x:c>
      <x:c r="B42" s="505" t="s">
        <x:v>26</x:v>
      </x:c>
      <x:c r="C42" s="463" t="s">
        <x:v>405</x:v>
      </x:c>
      <x:c r="D42" s="464">
        <x:v>45385</x:v>
      </x:c>
      <x:c r="E42" s="465">
        <x:v>46.8</x:v>
      </x:c>
      <x:c r="F42" s="465">
        <x:v>7.02</x:v>
      </x:c>
      <x:c r="G42" s="466">
        <x:v>43.56</x:v>
      </x:c>
      <x:c r="H42" s="465">
        <x:v>5.97</x:v>
      </x:c>
      <x:c r="I42" s="492">
        <x:v>45454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30" ht="15" customHeight="1" x14ac:dyDescent="0.25">
      <x:c r="A43" s="461" t="s">
        <x:v>49</x:v>
      </x:c>
      <x:c r="B43" s="505" t="s">
        <x:v>26</x:v>
      </x:c>
      <x:c r="C43" s="463" t="s">
        <x:v>406</x:v>
      </x:c>
      <x:c r="D43" s="464">
        <x:v>45390</x:v>
      </x:c>
      <x:c r="E43" s="465">
        <x:v>278.16</x:v>
      </x:c>
      <x:c r="F43" s="465">
        <x:v>41.73</x:v>
      </x:c>
      <x:c r="G43" s="466">
        <x:v>258.89</x:v>
      </x:c>
      <x:c r="H43" s="465">
        <x:v>35.46</x:v>
      </x:c>
      <x:c r="I43" s="492">
        <x:v>45468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461" t="s">
        <x:v>49</x:v>
      </x:c>
      <x:c r="B44" s="505" t="s">
        <x:v>26</x:v>
      </x:c>
      <x:c r="C44" s="463" t="s">
        <x:v>407</x:v>
      </x:c>
      <x:c r="D44" s="464">
        <x:v>45390</x:v>
      </x:c>
      <x:c r="E44" s="465">
        <x:v>288.6</x:v>
      </x:c>
      <x:c r="F44" s="465">
        <x:v>43.29</x:v>
      </x:c>
      <x:c r="G44" s="466">
        <x:v>268.62</x:v>
      </x:c>
      <x:c r="H44" s="465">
        <x:v>36.8</x:v>
      </x:c>
      <x:c r="I44" s="492">
        <x:v>45468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N44" s="470"/>
      <x:c r="O44" s="432"/>
      <x:c r="P44" s="434"/>
      <x:c r="Q44" s="434"/>
      <x:c r="R44" s="434"/>
      <x:c r="S44" s="434"/>
      <x:c r="T44" s="434"/>
      <x:c r="U44" s="434"/>
      <x:c r="V44" s="434"/>
      <x:c r="W44" s="434"/>
      <x:c r="X44" s="434"/>
      <x:c r="Y44" s="434"/>
      <x:c r="Z44" s="434"/>
      <x:c r="AA44" s="434"/>
      <x:c r="AB44" s="434"/>
      <x:c r="AC44" s="434"/>
      <x:c r="AD44" s="434"/>
    </x:row>
    <x:row r="45" spans="1:30" ht="15" customHeight="1" x14ac:dyDescent="0.25">
      <x:c r="A45" s="461" t="s">
        <x:v>49</x:v>
      </x:c>
      <x:c r="B45" s="505" t="s">
        <x:v>26</x:v>
      </x:c>
      <x:c r="C45" s="463" t="s">
        <x:v>408</x:v>
      </x:c>
      <x:c r="D45" s="464">
        <x:v>45391</x:v>
      </x:c>
      <x:c r="E45" s="465">
        <x:v>70.2</x:v>
      </x:c>
      <x:c r="F45" s="465">
        <x:v>10.53</x:v>
      </x:c>
      <x:c r="G45" s="466">
        <x:v>65.33</x:v>
      </x:c>
      <x:c r="H45" s="465">
        <x:v>8.95</x:v>
      </x:c>
      <x:c r="I45" s="492">
        <x:v>45468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461" t="s">
        <x:v>49</x:v>
      </x:c>
      <x:c r="B46" s="505" t="s">
        <x:v>26</x:v>
      </x:c>
      <x:c r="C46" s="463" t="s">
        <x:v>409</x:v>
      </x:c>
      <x:c r="D46" s="464">
        <x:v>45392</x:v>
      </x:c>
      <x:c r="E46" s="465">
        <x:v>221.76</x:v>
      </x:c>
      <x:c r="F46" s="465">
        <x:v>33.26</x:v>
      </x:c>
      <x:c r="G46" s="466">
        <x:v>206.41</x:v>
      </x:c>
      <x:c r="H46" s="465">
        <x:v>28.28</x:v>
      </x:c>
      <x:c r="I46" s="492">
        <x:v>45468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461" t="s">
        <x:v>49</x:v>
      </x:c>
      <x:c r="B47" s="505" t="s">
        <x:v>26</x:v>
      </x:c>
      <x:c r="C47" s="463" t="s">
        <x:v>410</x:v>
      </x:c>
      <x:c r="D47" s="464">
        <x:v>45393</x:v>
      </x:c>
      <x:c r="E47" s="465">
        <x:v>171.36</x:v>
      </x:c>
      <x:c r="F47" s="465">
        <x:v>25.7</x:v>
      </x:c>
      <x:c r="G47" s="466">
        <x:v>159.49</x:v>
      </x:c>
      <x:c r="H47" s="465">
        <x:v>21.85</x:v>
      </x:c>
      <x:c r="I47" s="492">
        <x:v>45468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s="434" customFormat="1" x14ac:dyDescent="0.25">
      <x:c r="A48" s="461" t="s">
        <x:v>114</x:v>
      </x:c>
      <x:c r="B48" s="505" t="s">
        <x:v>26</x:v>
      </x:c>
      <x:c r="C48" s="463" t="s">
        <x:v>411</x:v>
      </x:c>
      <x:c r="D48" s="464">
        <x:v>45426</x:v>
      </x:c>
      <x:c r="E48" s="465">
        <x:v>310.2</x:v>
      </x:c>
      <x:c r="F48" s="465">
        <x:v>62.04</x:v>
      </x:c>
      <x:c r="G48" s="466">
        <x:v>271.73</x:v>
      </x:c>
      <x:c r="H48" s="465">
        <x:v>37.22</x:v>
      </x:c>
      <x:c r="I48" s="492">
        <x:v>45462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N48" s="431"/>
      <x:c r="O48" s="432"/>
      <x:c r="P48" s="429"/>
      <x:c r="Q48" s="429"/>
      <x:c r="R48" s="429"/>
      <x:c r="S48" s="429"/>
      <x:c r="T48" s="429"/>
      <x:c r="U48" s="429"/>
      <x:c r="V48" s="429"/>
      <x:c r="W48" s="429"/>
      <x:c r="X48" s="429"/>
      <x:c r="Y48" s="429"/>
      <x:c r="Z48" s="429"/>
      <x:c r="AA48" s="429"/>
      <x:c r="AB48" s="429"/>
      <x:c r="AC48" s="429"/>
      <x:c r="AD48" s="429"/>
    </x:row>
    <x:row r="49" spans="1:30" ht="15" customHeight="1" x14ac:dyDescent="0.25">
      <x:c r="A49" s="461" t="s">
        <x:v>176</x:v>
      </x:c>
      <x:c r="B49" s="505" t="s">
        <x:v>177</x:v>
      </x:c>
      <x:c r="C49" s="463" t="s">
        <x:v>412</x:v>
      </x:c>
      <x:c r="D49" s="464">
        <x:v>45432</x:v>
      </x:c>
      <x:c r="E49" s="465">
        <x:v>280.8</x:v>
      </x:c>
      <x:c r="F49" s="465">
        <x:v>42.12</x:v>
      </x:c>
      <x:c r="G49" s="466">
        <x:v>274.48</x:v>
      </x:c>
      <x:c r="H49" s="465">
        <x:v>35.8</x:v>
      </x:c>
      <x:c r="I49" s="492">
        <x:v>45453</x:v>
      </x:c>
      <x:c r="J49" s="433">
        <x:f>+E49-F49</x:f>
      </x:c>
      <x:c r="K49" s="468">
        <x:f>+I49-D49</x:f>
      </x:c>
      <x:c r="L49" s="503">
        <x:v>0.035</x:v>
      </x:c>
      <x:c r="M49" s="504">
        <x:f>+J49*L49</x:f>
      </x:c>
      <x:c r="O49" s="432"/>
    </x:row>
    <x:row r="50" spans="1:30" ht="15" customHeight="1" x14ac:dyDescent="0.25">
      <x:c r="A50" s="461" t="s">
        <x:v>114</x:v>
      </x:c>
      <x:c r="B50" s="505" t="s">
        <x:v>26</x:v>
      </x:c>
      <x:c r="C50" s="463" t="s">
        <x:v>413</x:v>
      </x:c>
      <x:c r="D50" s="464">
        <x:v>45434</x:v>
      </x:c>
      <x:c r="E50" s="465">
        <x:v>428.4</x:v>
      </x:c>
      <x:c r="F50" s="465">
        <x:v>85.68</x:v>
      </x:c>
      <x:c r="G50" s="466">
        <x:v>375.28</x:v>
      </x:c>
      <x:c r="H50" s="465">
        <x:v>51.41</x:v>
      </x:c>
      <x:c r="I50" s="492">
        <x:v>45462</x:v>
      </x:c>
      <x:c r="J50" s="433">
        <x:f>+E50-F50</x:f>
      </x:c>
      <x:c r="K50" s="468">
        <x:f>+I50-D50</x:f>
      </x:c>
      <x:c r="L50" s="503">
        <x:v>0.035</x:v>
      </x:c>
      <x:c r="M50" s="504">
        <x:f>+J50*L50</x:f>
      </x:c>
      <x:c r="O50" s="432"/>
    </x:row>
    <x:row r="51" spans="1:30" ht="15" customHeight="1" x14ac:dyDescent="0.25">
      <x:c r="A51" s="461" t="s">
        <x:v>332</x:v>
      </x:c>
      <x:c r="B51" s="505" t="s">
        <x:v>333</x:v>
      </x:c>
      <x:c r="C51" s="463" t="s">
        <x:v>414</x:v>
      </x:c>
      <x:c r="D51" s="464">
        <x:v>45441</x:v>
      </x:c>
      <x:c r="E51" s="465">
        <x:v>378</x:v>
      </x:c>
      <x:c r="F51" s="465">
        <x:v>75.6</x:v>
      </x:c>
      <x:c r="G51" s="466">
        <x:v>197.76</x:v>
      </x:c>
      <x:c r="H51" s="465">
        <x:v>45.36</x:v>
      </x:c>
      <x:c r="I51" s="492">
        <x:v>45464</x:v>
      </x:c>
      <x:c r="J51" s="433">
        <x:f>150/1.12</x:f>
      </x:c>
      <x:c r="K51" s="468">
        <x:f>+I51-D51</x:f>
      </x:c>
      <x:c r="L51" s="503">
        <x:v>0.035</x:v>
      </x:c>
      <x:c r="M51" s="504">
        <x:f>+J51*L51</x:f>
      </x:c>
      <x:c r="O51" s="432"/>
    </x:row>
    <x:row r="52" spans="1:30" ht="15" customHeight="1" x14ac:dyDescent="0.25">
      <x:c r="A52" s="461" t="s">
        <x:v>349</x:v>
      </x:c>
      <x:c r="B52" s="505" t="s">
        <x:v>26</x:v>
      </x:c>
      <x:c r="C52" s="463" t="s">
        <x:v>415</x:v>
      </x:c>
      <x:c r="D52" s="464">
        <x:v>45441</x:v>
      </x:c>
      <x:c r="E52" s="465">
        <x:v>153.12</x:v>
      </x:c>
      <x:c r="F52" s="465">
        <x:v>22.96</x:v>
      </x:c>
      <x:c r="G52" s="466">
        <x:v>149.68</x:v>
      </x:c>
      <x:c r="H52" s="465">
        <x:v>19.52</x:v>
      </x:c>
      <x:c r="I52" s="492">
        <x:v>45469</x:v>
      </x:c>
      <x:c r="J52" s="433">
        <x:f>+E52-F52</x:f>
      </x:c>
      <x:c r="K52" s="468">
        <x:f>+I52-D52</x:f>
      </x:c>
      <x:c r="L52" s="503">
        <x:v>0.035</x:v>
      </x:c>
      <x:c r="M52" s="504">
        <x:f>+J52*L52</x:f>
      </x:c>
      <x:c r="O52" s="432"/>
    </x:row>
    <x:row r="53" spans="1:30" ht="15" customHeight="1" x14ac:dyDescent="0.25">
      <x:c r="A53" s="461" t="s">
        <x:v>343</x:v>
      </x:c>
      <x:c r="B53" s="505" t="s">
        <x:v>344</x:v>
      </x:c>
      <x:c r="C53" s="463" t="s">
        <x:v>416</x:v>
      </x:c>
      <x:c r="D53" s="464">
        <x:v>45442</x:v>
      </x:c>
      <x:c r="E53" s="465">
        <x:v>105.6</x:v>
      </x:c>
      <x:c r="F53" s="465">
        <x:v>15.84</x:v>
      </x:c>
      <x:c r="G53" s="466">
        <x:v>103.22</x:v>
      </x:c>
      <x:c r="H53" s="465">
        <x:v>13.46</x:v>
      </x:c>
      <x:c r="I53" s="467">
        <x:v>45446</x:v>
      </x:c>
      <x:c r="J53" s="433">
        <x:f>+E53-F53</x:f>
      </x:c>
      <x:c r="K53" s="468">
        <x:f>+I53-D53</x:f>
      </x:c>
      <x:c r="L53" s="503">
        <x:v>0.04</x:v>
      </x:c>
      <x:c r="M53" s="504">
        <x:f>+J53*L53</x:f>
      </x:c>
      <x:c r="O53" s="432"/>
    </x:row>
    <x:row r="54" spans="1:30" ht="15" customHeight="1" x14ac:dyDescent="0.25">
      <x:c r="A54" s="461" t="s">
        <x:v>62</x:v>
      </x:c>
      <x:c r="B54" s="506" t="s">
        <x:v>60</x:v>
      </x:c>
      <x:c r="C54" s="463" t="s">
        <x:v>417</x:v>
      </x:c>
      <x:c r="D54" s="464">
        <x:v>45448</x:v>
      </x:c>
      <x:c r="E54" s="465">
        <x:v>402.24</x:v>
      </x:c>
      <x:c r="F54" s="465">
        <x:v>100.56</x:v>
      </x:c>
      <x:c r="G54" s="466">
        <x:v>301.68</x:v>
      </x:c>
      <x:c r="H54" s="465">
        <x:v>0</x:v>
      </x:c>
      <x:c r="I54" s="467">
        <x:v>45455</x:v>
      </x:c>
      <x:c r="J54" s="433">
        <x:f>+E54-F54</x:f>
      </x:c>
      <x:c r="K54" s="468">
        <x:f>+I54-D54</x:f>
      </x:c>
      <x:c r="L54" s="503">
        <x:v>0.04</x:v>
      </x:c>
      <x:c r="M54" s="504">
        <x:f>+J54*L54</x:f>
      </x:c>
      <x:c r="O54" s="432"/>
    </x:row>
    <x:row r="55" spans="1:30" ht="15" customHeight="1" x14ac:dyDescent="0.25">
      <x:c r="A55" s="461" t="s">
        <x:v>75</x:v>
      </x:c>
      <x:c r="B55" s="506" t="s">
        <x:v>26</x:v>
      </x:c>
      <x:c r="C55" s="463" t="s">
        <x:v>418</x:v>
      </x:c>
      <x:c r="D55" s="464">
        <x:v>45450</x:v>
      </x:c>
      <x:c r="E55" s="465">
        <x:v>70.2</x:v>
      </x:c>
      <x:c r="F55" s="465">
        <x:v>10.53</x:v>
      </x:c>
      <x:c r="G55" s="466">
        <x:v>68.62</x:v>
      </x:c>
      <x:c r="H55" s="465">
        <x:v>8.95</x:v>
      </x:c>
      <x:c r="I55" s="467">
        <x:v>45469</x:v>
      </x:c>
      <x:c r="J55" s="433">
        <x:f>+E55-F55</x:f>
      </x:c>
      <x:c r="K55" s="468">
        <x:f>+I55-D55</x:f>
      </x:c>
      <x:c r="L55" s="503">
        <x:v>0.035</x:v>
      </x:c>
      <x:c r="M55" s="504">
        <x:f>+J55*L55</x:f>
      </x:c>
      <x:c r="O55" s="432"/>
    </x:row>
    <x:row r="56" spans="1:30" ht="15" customHeight="1" x14ac:dyDescent="0.25">
      <x:c r="A56" s="461" t="s">
        <x:v>136</x:v>
      </x:c>
      <x:c r="B56" s="506" t="s">
        <x:v>26</x:v>
      </x:c>
      <x:c r="C56" s="463" t="s">
        <x:v>419</x:v>
      </x:c>
      <x:c r="D56" s="464">
        <x:v>45455</x:v>
      </x:c>
      <x:c r="E56" s="465">
        <x:v>204</x:v>
      </x:c>
      <x:c r="F56" s="465">
        <x:v>40.8</x:v>
      </x:c>
      <x:c r="G56" s="466">
        <x:f>187.68-1.63-7.34</x:f>
      </x:c>
      <x:c r="H56" s="465">
        <x:v>24.48</x:v>
      </x:c>
      <x:c r="I56" s="467">
        <x:v>45471</x:v>
      </x:c>
      <x:c r="J56" s="433">
        <x:f>+E56-F56</x:f>
      </x:c>
      <x:c r="K56" s="468">
        <x:f>+I56-D56</x:f>
      </x:c>
      <x:c r="L56" s="503">
        <x:v>0.035</x:v>
      </x:c>
      <x:c r="M56" s="504">
        <x:f>+J56*L56</x:f>
      </x:c>
      <x:c r="O56" s="432"/>
    </x:row>
    <x:row r="57" spans="1:30" ht="15" customHeight="1" x14ac:dyDescent="0.25">
      <x:c r="A57" s="461" t="s">
        <x:v>114</x:v>
      </x:c>
      <x:c r="B57" s="505" t="s">
        <x:v>26</x:v>
      </x:c>
      <x:c r="C57" s="463" t="s">
        <x:v>420</x:v>
      </x:c>
      <x:c r="D57" s="464">
        <x:v>45460</x:v>
      </x:c>
      <x:c r="E57" s="465">
        <x:v>46.8</x:v>
      </x:c>
      <x:c r="F57" s="465">
        <x:v>7.02</x:v>
      </x:c>
      <x:c r="G57" s="466">
        <x:f>45.75-0.4-1.79</x:f>
      </x:c>
      <x:c r="H57" s="465">
        <x:v>5.97</x:v>
      </x:c>
      <x:c r="I57" s="467">
        <x:v>45460</x:v>
      </x:c>
      <x:c r="J57" s="433">
        <x:f>+E57-F57</x:f>
      </x:c>
      <x:c r="K57" s="468">
        <x:f>+I57-D57</x:f>
      </x:c>
      <x:c r="L57" s="503">
        <x:v>0.04</x:v>
      </x:c>
      <x:c r="M57" s="504">
        <x:f>+J57*L57</x:f>
      </x:c>
      <x:c r="O57" s="432"/>
    </x:row>
    <x:row r="58" spans="1:30" ht="15" customHeight="1" x14ac:dyDescent="0.25">
      <x:c r="A58" s="461" t="s">
        <x:v>195</x:v>
      </x:c>
      <x:c r="B58" s="505" t="s">
        <x:v>26</x:v>
      </x:c>
      <x:c r="C58" s="463" t="s">
        <x:v>421</x:v>
      </x:c>
      <x:c r="D58" s="464">
        <x:v>45460</x:v>
      </x:c>
      <x:c r="E58" s="465">
        <x:v>40.8</x:v>
      </x:c>
      <x:c r="F58" s="465">
        <x:v>6.12</x:v>
      </x:c>
      <x:c r="G58" s="466">
        <x:f>39.88</x:f>
      </x:c>
      <x:c r="H58" s="465">
        <x:v>5.2</x:v>
      </x:c>
      <x:c r="I58" s="467">
        <x:v>45460</x:v>
      </x:c>
      <x:c r="J58" s="433">
        <x:f>+E58-F58</x:f>
      </x:c>
      <x:c r="K58" s="468">
        <x:f>+I58-D58</x:f>
      </x:c>
      <x:c r="L58" s="503">
        <x:v>0.04</x:v>
      </x:c>
      <x:c r="M58" s="504">
        <x:f>+J58*L58</x:f>
      </x:c>
      <x:c r="O58" s="432"/>
    </x:row>
    <x:row r="59" spans="1:30" ht="15" customHeight="1" x14ac:dyDescent="0.25">
      <x:c r="A59" s="549"/>
      <x:c r="B59" s="543"/>
      <x:c r="C59" s="525"/>
      <x:c r="D59" s="526"/>
      <x:c r="E59" s="527"/>
      <x:c r="F59" s="527"/>
      <x:c r="G59" s="528"/>
      <x:c r="H59" s="527"/>
      <x:c r="I59" s="529"/>
      <x:c r="J59" s="433"/>
      <x:c r="K59" s="468"/>
      <x:c r="L59" s="503"/>
      <x:c r="M59" s="504"/>
      <x:c r="O59" s="432"/>
    </x:row>
    <x:row r="60" spans="1:30" ht="15" customHeight="1" x14ac:dyDescent="0.3">
      <x:c r="G60" s="516">
        <x:f>SUM(G31:G59)</x:f>
      </x:c>
      <x:c r="J60" s="516">
        <x:f>SUM(J31:J59)</x:f>
      </x:c>
      <x:c r="M60" s="516">
        <x:f>SUM(M31:M59)</x:f>
      </x:c>
    </x:row>
    <x:row r="61" spans="1:30" ht="15" customHeight="1" x14ac:dyDescent="0.25">
      <x:c r="G61" s="435"/>
      <x:c r="H61" s="435"/>
    </x:row>
    <x:row r="62" spans="1:30" ht="15" customHeight="1" x14ac:dyDescent="0.25">
      <x:c r="A62" s="517" t="s">
        <x:v>30</x:v>
      </x:c>
      <x:c r="B62" s="517" t="s">
        <x:v>31</x:v>
      </x:c>
      <x:c r="C62" s="518" t="s">
        <x:v>32</x:v>
      </x:c>
      <x:c r="I62" s="435"/>
      <x:c r="J62" s="435"/>
    </x:row>
    <x:row r="63" spans="1:30" ht="15" customHeight="1" s="434" customFormat="1" x14ac:dyDescent="0.25">
      <x:c r="A63" s="486" t="s">
        <x:v>422</x:v>
      </x:c>
      <x:c r="B63" s="487" t="s">
        <x:v>423</x:v>
      </x:c>
      <x:c r="C63" s="488" t="s">
        <x:v>424</x:v>
      </x:c>
      <x:c r="D63" s="489">
        <x:v>45442</x:v>
      </x:c>
      <x:c r="E63" s="490">
        <x:v>255.36</x:v>
      </x:c>
      <x:c r="F63" s="490">
        <x:v>38.3</x:v>
      </x:c>
      <x:c r="G63" s="491">
        <x:v>249.62</x:v>
      </x:c>
      <x:c r="H63" s="490">
        <x:v>32.56</x:v>
      </x:c>
      <x:c r="I63" s="492">
        <x:v>45478</x:v>
      </x:c>
      <x:c r="J63" s="433">
        <x:f>+E63-F63</x:f>
      </x:c>
      <x:c r="K63" s="468">
        <x:f>+I63-D63</x:f>
      </x:c>
      <x:c r="L63" s="469">
        <x:v>0.03</x:v>
      </x:c>
      <x:c r="M63" s="433">
        <x:f>+J63*L63</x:f>
      </x:c>
      <x:c r="N63" s="470"/>
      <x:c r="O63" s="432"/>
    </x:row>
    <x:row r="64" spans="1:30" ht="15" customHeight="1" s="434" customFormat="1" x14ac:dyDescent="0.25">
      <x:c r="A64" s="486" t="s">
        <x:v>101</x:v>
      </x:c>
      <x:c r="B64" s="487" t="s">
        <x:v>425</x:v>
      </x:c>
      <x:c r="C64" s="488" t="s">
        <x:v>426</x:v>
      </x:c>
      <x:c r="D64" s="489">
        <x:v>45454</x:v>
      </x:c>
      <x:c r="E64" s="490">
        <x:v>174</x:v>
      </x:c>
      <x:c r="F64" s="490">
        <x:v>26.1</x:v>
      </x:c>
      <x:c r="G64" s="502">
        <x:v>161.95</x:v>
      </x:c>
      <x:c r="H64" s="490">
        <x:v>22.19</x:v>
      </x:c>
      <x:c r="I64" s="467">
        <x:v>45490</x:v>
      </x:c>
      <x:c r="J64" s="433">
        <x:f>+E64-F64</x:f>
      </x:c>
      <x:c r="K64" s="468">
        <x:f>+I64-D64</x:f>
      </x:c>
      <x:c r="L64" s="469">
        <x:v>0.03</x:v>
      </x:c>
      <x:c r="M64" s="433">
        <x:f>+J64*L64</x:f>
      </x:c>
      <x:c r="N64" s="470"/>
      <x:c r="O64" s="432"/>
    </x:row>
    <x:row r="65" spans="1:30" ht="15" customHeight="1" s="434" customFormat="1" x14ac:dyDescent="0.25">
      <x:c r="A65" s="486" t="s">
        <x:v>75</x:v>
      </x:c>
      <x:c r="B65" s="487" t="s">
        <x:v>427</x:v>
      </x:c>
      <x:c r="C65" s="488" t="s">
        <x:v>428</x:v>
      </x:c>
      <x:c r="D65" s="489">
        <x:v>45455</x:v>
      </x:c>
      <x:c r="E65" s="490">
        <x:v>148.2</x:v>
      </x:c>
      <x:c r="F65" s="490">
        <x:v>22.23</x:v>
      </x:c>
      <x:c r="G65" s="502">
        <x:v>144.87</x:v>
      </x:c>
      <x:c r="H65" s="490">
        <x:v>18.9</x:v>
      </x:c>
      <x:c r="I65" s="467">
        <x:v>45485</x:v>
      </x:c>
      <x:c r="J65" s="433">
        <x:f>+E65-F65</x:f>
      </x:c>
      <x:c r="K65" s="468">
        <x:f>+I65-D65</x:f>
      </x:c>
      <x:c r="L65" s="469">
        <x:v>0.03</x:v>
      </x:c>
      <x:c r="M65" s="433">
        <x:f>+J65*L65</x:f>
      </x:c>
      <x:c r="N65" s="470"/>
      <x:c r="O65" s="432"/>
    </x:row>
    <x:row r="66" spans="1:30" ht="15" customHeight="1" s="434" customFormat="1" x14ac:dyDescent="0.25">
      <x:c r="A66" s="486" t="s">
        <x:v>101</x:v>
      </x:c>
      <x:c r="B66" s="487" t="s">
        <x:v>425</x:v>
      </x:c>
      <x:c r="C66" s="488" t="s">
        <x:v>429</x:v>
      </x:c>
      <x:c r="D66" s="489">
        <x:v>45457</x:v>
      </x:c>
      <x:c r="E66" s="490">
        <x:v>285.6</x:v>
      </x:c>
      <x:c r="F66" s="490">
        <x:v>42.84</x:v>
      </x:c>
      <x:c r="G66" s="502">
        <x:v>265.82</x:v>
      </x:c>
      <x:c r="H66" s="490">
        <x:v>36.41</x:v>
      </x:c>
      <x:c r="I66" s="467">
        <x:v>45490</x:v>
      </x:c>
      <x:c r="J66" s="433">
        <x:f>+E66-F66</x:f>
      </x:c>
      <x:c r="K66" s="468">
        <x:f>+I66-D66</x:f>
      </x:c>
      <x:c r="L66" s="469">
        <x:v>0.03</x:v>
      </x:c>
      <x:c r="M66" s="433">
        <x:f>+J66*L66</x:f>
      </x:c>
      <x:c r="N66" s="470"/>
      <x:c r="O66" s="432"/>
    </x:row>
    <x:row r="67" spans="1:30" ht="15" customHeight="1" s="434" customFormat="1" x14ac:dyDescent="0.25">
      <x:c r="A67" s="486" t="s">
        <x:v>430</x:v>
      </x:c>
      <x:c r="B67" s="487" t="s">
        <x:v>431</x:v>
      </x:c>
      <x:c r="C67" s="488" t="s">
        <x:v>432</x:v>
      </x:c>
      <x:c r="D67" s="489">
        <x:v>45461</x:v>
      </x:c>
      <x:c r="E67" s="490">
        <x:v>759.9</x:v>
      </x:c>
      <x:c r="F67" s="490">
        <x:v>113.99</x:v>
      </x:c>
      <x:c r="G67" s="502">
        <x:v>707.27</x:v>
      </x:c>
      <x:c r="H67" s="490">
        <x:v>96.89</x:v>
      </x:c>
      <x:c r="I67" s="467">
        <x:v>45491</x:v>
      </x:c>
      <x:c r="J67" s="433">
        <x:f>+E67-F67</x:f>
      </x:c>
      <x:c r="K67" s="468">
        <x:f>+I67-D67</x:f>
      </x:c>
      <x:c r="L67" s="469">
        <x:v>0.03</x:v>
      </x:c>
      <x:c r="M67" s="433">
        <x:f>+J67*L67</x:f>
      </x:c>
      <x:c r="N67" s="470"/>
      <x:c r="O67" s="432"/>
    </x:row>
    <x:row r="68" spans="1:30" ht="15" customHeight="1" s="434" customFormat="1" x14ac:dyDescent="0.25">
      <x:c r="A68" s="486" t="s">
        <x:v>136</x:v>
      </x:c>
      <x:c r="B68" s="487" t="s">
        <x:v>433</x:v>
      </x:c>
      <x:c r="C68" s="488" t="s">
        <x:v>434</x:v>
      </x:c>
      <x:c r="D68" s="489">
        <x:v>45469</x:v>
      </x:c>
      <x:c r="E68" s="490">
        <x:v>1108.8</x:v>
      </x:c>
      <x:c r="F68" s="490">
        <x:v>277.2</x:v>
      </x:c>
      <x:c r="G68" s="502">
        <x:v>910.6</x:v>
      </x:c>
      <x:c r="H68" s="490">
        <x:v>124.74</x:v>
      </x:c>
      <x:c r="I68" s="467">
        <x:v>45499</x:v>
      </x:c>
      <x:c r="J68" s="433">
        <x:f>+E68-F68</x:f>
      </x:c>
      <x:c r="K68" s="468">
        <x:f>+I68-D68</x:f>
      </x:c>
      <x:c r="L68" s="469">
        <x:v>0.03</x:v>
      </x:c>
      <x:c r="M68" s="433">
        <x:f>+J68*L68</x:f>
      </x:c>
      <x:c r="N68" s="470"/>
      <x:c r="O68" s="432"/>
    </x:row>
    <x:row r="69" spans="1:30" ht="15" customHeight="1" s="432" customFormat="1" x14ac:dyDescent="0.3">
      <x:c r="A69" s="558"/>
      <x:c r="B69" s="559"/>
      <x:c r="C69" s="560"/>
      <x:c r="D69" s="561"/>
      <x:c r="E69" s="562"/>
      <x:c r="F69" s="562"/>
      <x:c r="G69" s="491"/>
      <x:c r="H69" s="490"/>
      <x:c r="I69" s="492"/>
      <x:c r="J69" s="433"/>
      <x:c r="K69" s="468"/>
      <x:c r="L69" s="469"/>
      <x:c r="M69" s="563"/>
      <x:c r="N69" s="470"/>
    </x:row>
    <x:row r="70" spans="1:30" ht="15" customHeight="1" x14ac:dyDescent="0.35">
      <x:c r="A70" s="493" t="s">
        <x:v>43</x:v>
      </x:c>
      <x:c r="B70" s="493"/>
      <x:c r="C70" s="493"/>
      <x:c r="D70" s="493"/>
      <x:c r="E70" s="493"/>
      <x:c r="F70" s="493"/>
      <x:c r="G70" s="516">
        <x:f>SUM(G60:G69)</x:f>
      </x:c>
      <x:c r="J70" s="516">
        <x:f>SUM(J60:J69)</x:f>
      </x:c>
      <x:c r="L70" s="495"/>
      <x:c r="M70" s="564">
        <x:f>SUM(M60:M69)</x:f>
      </x:c>
    </x:row>
    <x:row r="71" spans="1:30" ht="15" customHeight="1" x14ac:dyDescent="0.3">
      <x:c r="A71" s="520"/>
      <x:c r="G71" s="435"/>
    </x:row>
    <x:row r="72" spans="1:30" ht="15" customHeight="1" x14ac:dyDescent="0.3">
      <x:c r="A72" s="499"/>
      <x:c r="G72" s="435"/>
      <x:c r="J72" s="435"/>
    </x:row>
    <x:row r="73" spans="1:30" ht="15" customHeight="1" x14ac:dyDescent="0.3">
      <x:c r="A73" s="499"/>
      <x:c r="G73" s="435"/>
      <x:c r="J73" s="435"/>
    </x:row>
    <x:row r="74" spans="1:30" ht="15" customHeight="1" x14ac:dyDescent="0.3">
      <x:c r="A74" s="499"/>
      <x:c r="G74" s="435"/>
      <x:c r="J74" s="435"/>
    </x:row>
    <x:row r="75" spans="1:30" ht="15" customHeight="1" x14ac:dyDescent="0.3">
      <x:c r="A75" s="499"/>
      <x:c r="G75" s="435">
        <x:f>4320-764.23</x:f>
      </x:c>
      <x:c r="J75" s="435"/>
    </x:row>
    <x:row r="76" spans="1:30" ht="15" customHeight="1" x14ac:dyDescent="0.3">
      <x:c r="A76" s="499"/>
      <x:c r="G76" s="435"/>
      <x:c r="J76" s="435"/>
    </x:row>
    <x:row r="77" spans="1:30" ht="15" customHeight="1" x14ac:dyDescent="0.3">
      <x:c r="A77" s="499"/>
      <x:c r="G77" s="435">
        <x:f>4491.19+15843.43</x:f>
      </x:c>
      <x:c r="J77" s="435">
        <x:f>(J21+J70)*2%</x:f>
      </x:c>
      <x:c r="M77" s="435">
        <x:f>M21/12</x:f>
      </x:c>
      <x:c r="N77" s="431" t="s">
        <x:v>237</x:v>
      </x:c>
    </x:row>
    <x:row r="78" spans="1:30" ht="15" customHeight="1" x14ac:dyDescent="0.3">
      <x:c r="A78" s="499"/>
      <x:c r="G78" s="435">
        <x:f>G77*2%</x:f>
      </x:c>
      <x:c r="J78" s="565">
        <x:f>J77/12</x:f>
      </x:c>
      <x:c r="M78" s="435">
        <x:f>M21/24</x:f>
      </x:c>
      <x:c r="N78" s="431" t="s">
        <x:v>237</x:v>
      </x:c>
    </x:row>
    <x:row r="79" spans="1:30" ht="15" customHeight="1" x14ac:dyDescent="0.3">
      <x:c r="A79" s="499"/>
      <x:c r="G79" s="435"/>
      <x:c r="J79" s="565">
        <x:f>J77/24</x:f>
      </x:c>
      <x:c r="M79" s="435">
        <x:f>M70/12</x:f>
      </x:c>
      <x:c r="N79" s="431" t="s">
        <x:v>238</x:v>
      </x:c>
      <x:c r="O79" s="435"/>
    </x:row>
    <x:row r="80" spans="1:30" ht="15" customHeight="1" x14ac:dyDescent="0.3">
      <x:c r="A80" s="499"/>
      <x:c r="G80" s="435"/>
      <x:c r="J80" s="435"/>
      <x:c r="M80" s="435">
        <x:f>M70/24</x:f>
      </x:c>
      <x:c r="N80" s="431" t="s">
        <x:v>238</x:v>
      </x:c>
      <x:c r="O80" s="435"/>
    </x:row>
    <x:row r="81" spans="1:30" ht="15" customHeight="1" x14ac:dyDescent="0.3">
      <x:c r="A81" s="499"/>
      <x:c r="G81" s="435"/>
      <x:c r="J81" s="435"/>
      <x:c r="M81" s="435"/>
    </x:row>
    <x:row r="82" spans="1:30" ht="15" customHeight="1" x14ac:dyDescent="0.3">
      <x:c r="A82" s="499"/>
      <x:c r="G82" s="435"/>
      <x:c r="J82" s="435"/>
      <x:c r="M82" s="435">
        <x:f>M77+M79</x:f>
      </x:c>
      <x:c r="N82" s="566" t="s">
        <x:v>435</x:v>
      </x:c>
    </x:row>
    <x:row r="83" spans="1:30" ht="15" customHeight="1" x14ac:dyDescent="0.3">
      <x:c r="A83" s="499"/>
      <x:c r="G83" s="435"/>
      <x:c r="J83" s="435"/>
      <x:c r="M83" s="435">
        <x:f>M78+M80</x:f>
      </x:c>
      <x:c r="N83" s="566" t="s">
        <x:v>436</x:v>
      </x:c>
    </x:row>
    <x:row r="84" spans="1:30" ht="15" customHeight="1" x14ac:dyDescent="0.3">
      <x:c r="A84" s="499"/>
      <x:c r="G84" s="435"/>
      <x:c r="J84" s="435"/>
    </x:row>
    <x:row r="85" spans="1:30" ht="15" customHeight="1" x14ac:dyDescent="0.3">
      <x:c r="A85" s="499"/>
      <x:c r="G85" s="435"/>
      <x:c r="J85" s="435"/>
    </x:row>
    <x:row r="86" spans="1:30" ht="15" customHeight="1" x14ac:dyDescent="0.3">
      <x:c r="A86" s="499"/>
      <x:c r="G86" s="435"/>
      <x:c r="J86" s="435"/>
    </x:row>
    <x:row r="87" spans="1:30" ht="15" customHeight="1" x14ac:dyDescent="0.3">
      <x:c r="A87" s="520"/>
      <x:c r="K87" s="515"/>
    </x:row>
  </x:sheetData>
  <x:sortState xmlns:xlrd2="http://schemas.microsoft.com/office/spreadsheetml/2017/richdata2" ref="A31:AD58">
    <x:sortCondition ref="D31:D58"/>
  </x:sortState>
  <x:mergeCells count="7">
    <x:mergeCell ref="A2:F2"/>
    <x:mergeCell ref="A3:F3"/>
    <x:mergeCell ref="A12:F12"/>
    <x:mergeCell ref="A21:F21"/>
    <x:mergeCell ref="A25:F25"/>
    <x:mergeCell ref="A26:F26"/>
    <x:mergeCell ref="A70:F70"/>
  </x:mergeCells>
  <x:printOptions horizontalCentered="0" verticalCentered="0" headings="0" gridLines="0"/>
  <x:pageMargins left="0.1968503937007874" right="0" top="0.3937007874015748" bottom="0" header="0" footer="0"/>
  <x:pageSetup paperSize="9" scale="75" pageOrder="downThenOver" orientation="landscape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AD101"/>
  <x:sheetViews>
    <x:sheetView topLeftCell="A99" workbookViewId="0">
      <x:selection activeCell="A112" sqref="A112"/>
    </x:sheetView>
  </x:sheetViews>
  <x:sheetFormatPr baseColWidth="10" defaultColWidth="11.441406" defaultRowHeight="13.2" x14ac:dyDescent="0.25"/>
  <x:cols>
    <x:col min="1" max="1" width="41.664062" style="429" customWidth="1"/>
    <x:col min="2" max="2" width="30.886719" style="429" customWidth="1"/>
    <x:col min="3" max="3" width="13.109375" style="429" customWidth="1"/>
    <x:col min="4" max="4" width="12" style="430" customWidth="1"/>
    <x:col min="5" max="5" width="11.441406" style="429" customWidth="1"/>
    <x:col min="6" max="6" width="9.554688" style="429" customWidth="1"/>
    <x:col min="7" max="7" width="12.554688" style="429" customWidth="1"/>
    <x:col min="8" max="8" width="10.109375" style="429" customWidth="1"/>
    <x:col min="9" max="9" width="11.886719" style="430" customWidth="1"/>
    <x:col min="10" max="10" width="12.441406" style="429" customWidth="1"/>
    <x:col min="11" max="11" width="7.109375" style="429" customWidth="1"/>
    <x:col min="12" max="12" width="7.332031" style="429" customWidth="1"/>
    <x:col min="13" max="13" width="10.332031" style="429" customWidth="1"/>
    <x:col min="14" max="14" width="9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437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3" customFormat="1" x14ac:dyDescent="0.25">
      <x:c r="A8" s="461" t="s">
        <x:v>79</x:v>
      </x:c>
      <x:c r="B8" s="462" t="s">
        <x:v>80</x:v>
      </x:c>
      <x:c r="C8" s="463" t="s">
        <x:v>438</x:v>
      </x:c>
      <x:c r="D8" s="464">
        <x:v>45404</x:v>
      </x:c>
      <x:c r="E8" s="465">
        <x:v>649.2</x:v>
      </x:c>
      <x:c r="F8" s="465">
        <x:v>129.84</x:v>
      </x:c>
      <x:c r="G8" s="466">
        <x:v>568.7</x:v>
      </x:c>
      <x:c r="H8" s="465">
        <x:v>77.9</x:v>
      </x:c>
      <x:c r="I8" s="492">
        <x:v>45485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  <x:c r="O8" s="432"/>
      <x:c r="P8" s="432"/>
      <x:c r="Q8" s="432"/>
      <x:c r="R8" s="432"/>
      <x:c r="S8" s="432"/>
      <x:c r="T8" s="432"/>
      <x:c r="U8" s="432"/>
      <x:c r="V8" s="432"/>
      <x:c r="W8" s="432"/>
      <x:c r="X8" s="432"/>
      <x:c r="Y8" s="432"/>
      <x:c r="Z8" s="432"/>
      <x:c r="AA8" s="432"/>
      <x:c r="AB8" s="432"/>
      <x:c r="AC8" s="432"/>
      <x:c r="AD8" s="432"/>
    </x:row>
    <x:row r="9" spans="1:30" ht="15" customHeight="1" s="433" customFormat="1" x14ac:dyDescent="0.25">
      <x:c r="A9" s="461" t="s">
        <x:v>25</x:v>
      </x:c>
      <x:c r="B9" s="506" t="s">
        <x:v>26</x:v>
      </x:c>
      <x:c r="C9" s="463" t="s">
        <x:v>439</x:v>
      </x:c>
      <x:c r="D9" s="464">
        <x:v>45455</x:v>
      </x:c>
      <x:c r="E9" s="465">
        <x:v>432</x:v>
      </x:c>
      <x:c r="F9" s="465">
        <x:v>86.4</x:v>
      </x:c>
      <x:c r="G9" s="466">
        <x:v>378.43</x:v>
      </x:c>
      <x:c r="H9" s="465">
        <x:v>51.84</x:v>
      </x:c>
      <x:c r="I9" s="467">
        <x:v>45485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3" customFormat="1" x14ac:dyDescent="0.25">
      <x:c r="A10" s="530"/>
      <x:c r="B10" s="524"/>
      <x:c r="C10" s="524"/>
      <x:c r="D10" s="529"/>
      <x:c r="E10" s="531"/>
      <x:c r="F10" s="531"/>
      <x:c r="G10" s="532"/>
      <x:c r="H10" s="533"/>
      <x:c r="I10" s="534"/>
      <x:c r="K10" s="468"/>
      <x:c r="L10" s="469"/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4" customFormat="1" x14ac:dyDescent="0.25">
      <x:c r="A11" s="478"/>
      <x:c r="B11" s="478"/>
      <x:c r="C11" s="478"/>
      <x:c r="D11" s="478"/>
      <x:c r="E11" s="478"/>
      <x:c r="F11" s="478"/>
      <x:c r="G11" s="479">
        <x:f>SUM(G8:G10)</x:f>
      </x:c>
      <x:c r="H11" s="480"/>
      <x:c r="I11" s="481"/>
      <x:c r="J11" s="479">
        <x:f>SUM(J8:J10)</x:f>
      </x:c>
      <x:c r="K11" s="482"/>
      <x:c r="L11" s="482"/>
      <x:c r="M11" s="479">
        <x:f>SUM(M8:M10)</x:f>
      </x:c>
      <x:c r="N11" s="470"/>
    </x:row>
    <x:row r="12" spans="1:30" ht="15" customHeight="1" s="434" customFormat="1" x14ac:dyDescent="0.25">
      <x:c r="A12" s="483"/>
      <x:c r="B12" s="483"/>
      <x:c r="C12" s="483"/>
      <x:c r="D12" s="484"/>
      <x:c r="E12" s="483"/>
      <x:c r="F12" s="483"/>
      <x:c r="G12" s="432"/>
      <x:c r="I12" s="485"/>
      <x:c r="N12" s="470"/>
    </x:row>
    <x:row r="13" spans="1:30" ht="15" customHeight="1" s="434" customFormat="1" x14ac:dyDescent="0.25">
      <x:c r="A13" s="483"/>
      <x:c r="B13" s="483"/>
      <x:c r="C13" s="483"/>
      <x:c r="D13" s="484"/>
      <x:c r="E13" s="483"/>
      <x:c r="F13" s="483"/>
      <x:c r="G13" s="432"/>
      <x:c r="I13" s="485"/>
      <x:c r="J13" s="432"/>
      <x:c r="M13" s="432"/>
      <x:c r="N13" s="470"/>
    </x:row>
    <x:row r="14" spans="1:30" ht="15" customHeight="1" s="434" customFormat="1" x14ac:dyDescent="0.25">
      <x:c r="A14" s="434" t="s">
        <x:v>30</x:v>
      </x:c>
      <x:c r="B14" s="434" t="s">
        <x:v>31</x:v>
      </x:c>
      <x:c r="C14" s="483" t="s">
        <x:v>32</x:v>
      </x:c>
      <x:c r="D14" s="485"/>
      <x:c r="G14" s="432"/>
      <x:c r="I14" s="485"/>
      <x:c r="N14" s="470"/>
    </x:row>
    <x:row r="15" spans="1:30" ht="15" customHeight="1" s="432" customFormat="1" x14ac:dyDescent="0.25">
      <x:c r="A15" s="486" t="s">
        <x:v>440</x:v>
      </x:c>
      <x:c r="B15" s="487" t="s">
        <x:v>441</x:v>
      </x:c>
      <x:c r="C15" s="488" t="s">
        <x:v>442</x:v>
      </x:c>
      <x:c r="D15" s="489">
        <x:v>45397</x:v>
      </x:c>
      <x:c r="E15" s="490">
        <x:v>1260.36</x:v>
      </x:c>
      <x:c r="F15" s="490">
        <x:v>252.07</x:v>
      </x:c>
      <x:c r="G15" s="491">
        <x:v>1008.29</x:v>
      </x:c>
      <x:c r="H15" s="490">
        <x:v>0</x:v>
      </x:c>
      <x:c r="I15" s="492">
        <x:v>45565</x:v>
      </x:c>
      <x:c r="J15" s="433">
        <x:f>+E15-F15</x:f>
      </x:c>
      <x:c r="K15" s="468">
        <x:f>+I15-D15</x:f>
      </x:c>
      <x:c r="L15" s="469">
        <x:v>0.03</x:v>
      </x:c>
      <x:c r="M15" s="433">
        <x:f>+J15*L15</x:f>
      </x:c>
      <x:c r="N15" s="470"/>
    </x:row>
    <x:row r="16" spans="1:30" ht="15" customHeight="1" s="432" customFormat="1" x14ac:dyDescent="0.25">
      <x:c r="A16" s="486" t="s">
        <x:v>440</x:v>
      </x:c>
      <x:c r="B16" s="487" t="s">
        <x:v>443</x:v>
      </x:c>
      <x:c r="C16" s="488" t="s">
        <x:v>444</x:v>
      </x:c>
      <x:c r="D16" s="489">
        <x:v>45453</x:v>
      </x:c>
      <x:c r="E16" s="490">
        <x:v>2549.04</x:v>
      </x:c>
      <x:c r="F16" s="490">
        <x:v>509.81</x:v>
      </x:c>
      <x:c r="G16" s="502">
        <x:v>1519.96</x:v>
      </x:c>
      <x:c r="H16" s="490">
        <x:v>0</x:v>
      </x:c>
      <x:c r="I16" s="467">
        <x:v>45565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</x:row>
    <x:row r="17" spans="1:30" ht="15" customHeight="1" s="432" customFormat="1" x14ac:dyDescent="0.25">
      <x:c r="A17" s="486" t="s">
        <x:v>36</x:v>
      </x:c>
      <x:c r="B17" s="487" t="s">
        <x:v>445</x:v>
      </x:c>
      <x:c r="C17" s="488" t="s">
        <x:v>446</x:v>
      </x:c>
      <x:c r="D17" s="489">
        <x:v>45474</x:v>
      </x:c>
      <x:c r="E17" s="490">
        <x:v>140.4</x:v>
      </x:c>
      <x:c r="F17" s="490">
        <x:v>35.1</x:v>
      </x:c>
      <x:c r="G17" s="502">
        <x:v>115.31</x:v>
      </x:c>
      <x:c r="H17" s="490">
        <x:v>15.8</x:v>
      </x:c>
      <x:c r="I17" s="489">
        <x:v>45549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</x:row>
    <x:row r="18" spans="1:30" ht="15" customHeight="1" s="432" customFormat="1" x14ac:dyDescent="0.25">
      <x:c r="A18" s="486" t="s">
        <x:v>440</x:v>
      </x:c>
      <x:c r="B18" s="487" t="s">
        <x:v>447</x:v>
      </x:c>
      <x:c r="C18" s="488" t="s">
        <x:v>448</x:v>
      </x:c>
      <x:c r="D18" s="489">
        <x:v>45480</x:v>
      </x:c>
      <x:c r="E18" s="490">
        <x:v>1918.92</x:v>
      </x:c>
      <x:c r="F18" s="490">
        <x:v>383.78</x:v>
      </x:c>
      <x:c r="G18" s="502">
        <x:v>1527.55</x:v>
      </x:c>
      <x:c r="H18" s="490">
        <x:v>0</x:v>
      </x:c>
      <x:c r="I18" s="489">
        <x:v>45595</x:v>
      </x:c>
      <x:c r="J18" s="433">
        <x:f>+E18-F18</x:f>
      </x:c>
      <x:c r="K18" s="468">
        <x:f>+I18-D18</x:f>
      </x:c>
      <x:c r="L18" s="469">
        <x:v>0.03</x:v>
      </x:c>
      <x:c r="M18" s="433">
        <x:f>+J18*L18</x:f>
      </x:c>
      <x:c r="N18" s="470"/>
    </x:row>
    <x:row r="19" spans="1:30" ht="15" customHeight="1" s="432" customFormat="1" x14ac:dyDescent="0.25">
      <x:c r="A19" s="486" t="s">
        <x:v>36</x:v>
      </x:c>
      <x:c r="B19" s="487" t="s">
        <x:v>445</x:v>
      </x:c>
      <x:c r="C19" s="488" t="s">
        <x:v>449</x:v>
      </x:c>
      <x:c r="D19" s="489">
        <x:v>45485</x:v>
      </x:c>
      <x:c r="E19" s="490">
        <x:v>216</x:v>
      </x:c>
      <x:c r="F19" s="490">
        <x:v>54</x:v>
      </x:c>
      <x:c r="G19" s="502">
        <x:v>177.39</x:v>
      </x:c>
      <x:c r="H19" s="490">
        <x:v>24.3</x:v>
      </x:c>
      <x:c r="I19" s="489">
        <x:v>45549</x:v>
      </x:c>
      <x:c r="J19" s="433">
        <x:f>+E19-F19</x:f>
      </x:c>
      <x:c r="K19" s="468">
        <x:f>+I19-D19</x:f>
      </x:c>
      <x:c r="L19" s="469">
        <x:v>0.03</x:v>
      </x:c>
      <x:c r="M19" s="433">
        <x:f>+J19*L19</x:f>
      </x:c>
      <x:c r="N19" s="470"/>
    </x:row>
    <x:row r="20" spans="1:30" ht="15" customHeight="1" s="432" customFormat="1" x14ac:dyDescent="0.3">
      <x:c r="A20" s="558"/>
      <x:c r="B20" s="559"/>
      <x:c r="C20" s="560"/>
      <x:c r="D20" s="561"/>
      <x:c r="E20" s="562"/>
      <x:c r="F20" s="562"/>
      <x:c r="G20" s="491"/>
      <x:c r="H20" s="490"/>
      <x:c r="I20" s="492"/>
      <x:c r="J20" s="433"/>
      <x:c r="K20" s="468"/>
      <x:c r="L20" s="469"/>
      <x:c r="M20" s="563"/>
      <x:c r="N20" s="470"/>
    </x:row>
    <x:row r="21" spans="1:30" ht="15" customHeight="1" x14ac:dyDescent="0.35">
      <x:c r="A21" s="493" t="s">
        <x:v>43</x:v>
      </x:c>
      <x:c r="B21" s="493"/>
      <x:c r="C21" s="493"/>
      <x:c r="D21" s="493"/>
      <x:c r="E21" s="493"/>
      <x:c r="F21" s="493"/>
      <x:c r="G21" s="494">
        <x:f>SUM(G11:G20)</x:f>
      </x:c>
      <x:c r="J21" s="494">
        <x:f>SUM(J11:J20)</x:f>
      </x:c>
      <x:c r="L21" s="495"/>
      <x:c r="M21" s="496">
        <x:f>SUM(M11:M20)</x:f>
      </x:c>
    </x:row>
    <x:row r="22" spans="1:30" ht="15" customHeight="1" x14ac:dyDescent="0.25">
      <x:c r="A22" s="497"/>
      <x:c r="B22" s="497"/>
      <x:c r="C22" s="497"/>
      <x:c r="D22" s="498"/>
      <x:c r="E22" s="497"/>
      <x:c r="F22" s="497"/>
      <x:c r="G22" s="435"/>
      <x:c r="J22" s="435"/>
      <x:c r="M22" s="435"/>
    </x:row>
    <x:row r="23" spans="1:30" ht="15" customHeight="1" x14ac:dyDescent="0.3">
      <x:c r="A23" s="499"/>
      <x:c r="B23" s="497"/>
      <x:c r="C23" s="497"/>
      <x:c r="D23" s="498"/>
      <x:c r="E23" s="497"/>
      <x:c r="F23" s="497"/>
      <x:c r="G23" s="435"/>
      <x:c r="J23" s="435"/>
      <x:c r="M23" s="435"/>
    </x:row>
    <x:row r="24" spans="1:30" ht="15" customHeight="1" x14ac:dyDescent="0.25">
      <x:c r="A24" s="497"/>
      <x:c r="B24" s="497"/>
      <x:c r="C24" s="497"/>
      <x:c r="D24" s="498"/>
      <x:c r="E24" s="497"/>
      <x:c r="F24" s="497"/>
      <x:c r="G24" s="435"/>
      <x:c r="I24" s="500"/>
    </x:row>
    <x:row r="25" spans="1:30" ht="15" customHeight="1" x14ac:dyDescent="0.25">
      <x:c r="A25" s="436" t="s">
        <x:v>44</x:v>
      </x:c>
      <x:c r="B25" s="436"/>
      <x:c r="C25" s="436"/>
      <x:c r="D25" s="436"/>
      <x:c r="E25" s="436"/>
      <x:c r="F25" s="436"/>
      <x:c r="G25" s="437"/>
      <x:c r="H25" s="437"/>
      <x:c r="I25" s="439"/>
      <x:c r="J25" s="440"/>
      <x:c r="K25" s="441"/>
      <x:c r="L25" s="442"/>
      <x:c r="M25" s="443"/>
    </x:row>
    <x:row r="26" spans="1:30" ht="15" customHeight="1" x14ac:dyDescent="0.25">
      <x:c r="A26" s="436" t="s">
        <x:v>1</x:v>
      </x:c>
      <x:c r="B26" s="436"/>
      <x:c r="C26" s="436"/>
      <x:c r="D26" s="436"/>
      <x:c r="E26" s="436"/>
      <x:c r="F26" s="436"/>
      <x:c r="G26" s="437"/>
      <x:c r="H26" s="438"/>
      <x:c r="I26" s="439"/>
      <x:c r="J26" s="441"/>
      <x:c r="K26" s="441"/>
      <x:c r="L26" s="442"/>
      <x:c r="M26" s="443"/>
    </x:row>
    <x:row r="27" spans="1:30" ht="15" customHeight="1" x14ac:dyDescent="0.25">
      <x:c r="A27" s="436"/>
      <x:c r="B27" s="444" t="s">
        <x:v>437</x:v>
      </x:c>
      <x:c r="C27" s="436"/>
      <x:c r="D27" s="445"/>
      <x:c r="E27" s="436"/>
      <x:c r="F27" s="436"/>
      <x:c r="G27" s="437"/>
      <x:c r="H27" s="438"/>
      <x:c r="I27" s="439"/>
      <x:c r="J27" s="441"/>
      <x:c r="K27" s="441"/>
      <x:c r="L27" s="442"/>
      <x:c r="M27" s="443"/>
    </x:row>
    <x:row r="28" spans="1:30" ht="15" customHeight="1" x14ac:dyDescent="0.3">
      <x:c r="A28" s="436"/>
      <x:c r="B28" s="444" t="s">
        <x:v>45</x:v>
      </x:c>
      <x:c r="C28" s="436"/>
      <x:c r="D28" s="445"/>
      <x:c r="E28" s="436"/>
      <x:c r="F28" s="436"/>
      <x:c r="G28" s="443"/>
      <x:c r="H28" s="437"/>
      <x:c r="I28" s="446"/>
      <x:c r="J28" s="441"/>
      <x:c r="K28" s="441"/>
      <x:c r="L28" s="442"/>
      <x:c r="M28" s="443"/>
    </x:row>
    <x:row r="29" spans="1:30" ht="15" customHeight="1" x14ac:dyDescent="0.25">
      <x:c r="A29" s="447"/>
      <x:c r="B29" s="441"/>
      <x:c r="C29" s="441"/>
      <x:c r="D29" s="439"/>
      <x:c r="E29" s="441"/>
      <x:c r="F29" s="441"/>
      <x:c r="G29" s="448" t="s">
        <x:v>5</x:v>
      </x:c>
      <x:c r="H29" s="441"/>
      <x:c r="I29" s="439"/>
      <x:c r="J29" s="449" t="s">
        <x:v>6</x:v>
      </x:c>
      <x:c r="K29" s="450" t="s">
        <x:v>7</x:v>
      </x:c>
      <x:c r="L29" s="451" t="s">
        <x:v>8</x:v>
      </x:c>
      <x:c r="M29" s="449" t="s">
        <x:v>9</x:v>
      </x:c>
    </x:row>
    <x:row r="30" spans="1:30" ht="15" customHeight="1" x14ac:dyDescent="0.25">
      <x:c r="A30" s="452" t="s">
        <x:v>10</x:v>
      </x:c>
      <x:c r="B30" s="452" t="s">
        <x:v>11</x:v>
      </x:c>
      <x:c r="C30" s="452" t="s">
        <x:v>12</x:v>
      </x:c>
      <x:c r="D30" s="453" t="s">
        <x:v>13</x:v>
      </x:c>
      <x:c r="E30" s="452" t="s">
        <x:v>14</x:v>
      </x:c>
      <x:c r="F30" s="454" t="s">
        <x:v>15</x:v>
      </x:c>
      <x:c r="G30" s="501" t="s">
        <x:v>16</x:v>
      </x:c>
      <x:c r="H30" s="456" t="s">
        <x:v>17</x:v>
      </x:c>
      <x:c r="I30" s="457" t="s">
        <x:v>18</x:v>
      </x:c>
      <x:c r="J30" s="458" t="s">
        <x:v>19</x:v>
      </x:c>
      <x:c r="K30" s="459"/>
      <x:c r="L30" s="460" t="s">
        <x:v>20</x:v>
      </x:c>
      <x:c r="M30" s="458" t="s">
        <x:v>21</x:v>
      </x:c>
    </x:row>
    <x:row r="31" spans="1:30" ht="15" customHeight="1" x14ac:dyDescent="0.25">
      <x:c r="A31" s="461" t="s">
        <x:v>450</x:v>
      </x:c>
      <x:c r="B31" s="505" t="s">
        <x:v>110</x:v>
      </x:c>
      <x:c r="C31" s="463" t="s">
        <x:v>451</x:v>
      </x:c>
      <x:c r="D31" s="464">
        <x:v>45491</x:v>
      </x:c>
      <x:c r="E31" s="465">
        <x:v>85.68</x:v>
      </x:c>
      <x:c r="F31" s="465">
        <x:v>0</x:v>
      </x:c>
      <x:c r="G31" s="466">
        <x:v>98.53</x:v>
      </x:c>
      <x:c r="H31" s="465">
        <x:v>12.85</x:v>
      </x:c>
      <x:c r="I31" s="521">
        <x:v>45492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30" ht="18" customHeight="1" x14ac:dyDescent="0.25">
      <x:c r="A32" s="461" t="s">
        <x:v>452</x:v>
      </x:c>
      <x:c r="B32" s="505" t="s">
        <x:v>26</x:v>
      </x:c>
      <x:c r="C32" s="463" t="s">
        <x:v>453</x:v>
      </x:c>
      <x:c r="D32" s="464">
        <x:v>45471</x:v>
      </x:c>
      <x:c r="E32" s="465">
        <x:v>54</x:v>
      </x:c>
      <x:c r="F32" s="465">
        <x:v>2.7</x:v>
      </x:c>
      <x:c r="G32" s="466">
        <x:v>59</x:v>
      </x:c>
      <x:c r="H32" s="465">
        <x:v>7.7</x:v>
      </x:c>
      <x:c r="I32" s="467">
        <x:v>45474</x:v>
      </x:c>
      <x:c r="J32" s="433">
        <x:f>+E32-F32</x:f>
      </x:c>
      <x:c r="K32" s="468">
        <x:f>+I32-D32</x:f>
      </x:c>
      <x:c r="L32" s="503">
        <x:v>0.04</x:v>
      </x:c>
      <x:c r="M32" s="504">
        <x:f>+J32*L32</x:f>
      </x:c>
      <x:c r="O32" s="432"/>
    </x:row>
    <x:row r="33" spans="1:30" ht="15" customHeight="1" x14ac:dyDescent="0.25">
      <x:c r="A33" s="461" t="s">
        <x:v>225</x:v>
      </x:c>
      <x:c r="B33" s="462" t="s">
        <x:v>105</x:v>
      </x:c>
      <x:c r="C33" s="463" t="s">
        <x:v>454</x:v>
      </x:c>
      <x:c r="D33" s="464">
        <x:v>45482</x:v>
      </x:c>
      <x:c r="E33" s="465">
        <x:v>1410.48</x:v>
      </x:c>
      <x:c r="F33" s="465">
        <x:v>352.62</x:v>
      </x:c>
      <x:c r="G33" s="466">
        <x:v>1158.36</x:v>
      </x:c>
      <x:c r="H33" s="465">
        <x:v>158.68</x:v>
      </x:c>
      <x:c r="I33" s="521">
        <x:v>45490</x:v>
      </x:c>
      <x:c r="J33" s="433">
        <x:f>+E33-F33</x:f>
      </x:c>
      <x:c r="K33" s="468">
        <x:f>+I33-D33</x:f>
      </x:c>
      <x:c r="L33" s="503">
        <x:v>0.035</x:v>
      </x:c>
      <x:c r="M33" s="504">
        <x:f>+J33*L33</x:f>
      </x:c>
      <x:c r="O33" s="432"/>
    </x:row>
    <x:row r="34" spans="1:30" ht="15" customHeight="1" x14ac:dyDescent="0.25">
      <x:c r="A34" s="461" t="s">
        <x:v>225</x:v>
      </x:c>
      <x:c r="B34" s="462" t="s">
        <x:v>105</x:v>
      </x:c>
      <x:c r="C34" s="463" t="s">
        <x:v>455</x:v>
      </x:c>
      <x:c r="D34" s="464">
        <x:v>45482</x:v>
      </x:c>
      <x:c r="E34" s="465">
        <x:v>1536</x:v>
      </x:c>
      <x:c r="F34" s="465">
        <x:v>384</x:v>
      </x:c>
      <x:c r="G34" s="466">
        <x:v>1261.44</x:v>
      </x:c>
      <x:c r="H34" s="465">
        <x:v>172.8</x:v>
      </x:c>
      <x:c r="I34" s="464">
        <x:v>45490</x:v>
      </x:c>
      <x:c r="J34" s="433">
        <x:f>+E34-F34</x:f>
      </x:c>
      <x:c r="K34" s="468">
        <x:f>+I34-D34</x:f>
      </x:c>
      <x:c r="L34" s="503">
        <x:v>0.035</x:v>
      </x:c>
      <x:c r="M34" s="504">
        <x:f>+J34*L34</x:f>
      </x:c>
      <x:c r="O34" s="432"/>
    </x:row>
    <x:row r="35" spans="1:30" ht="15" customHeight="1" x14ac:dyDescent="0.25">
      <x:c r="A35" s="461" t="s">
        <x:v>225</x:v>
      </x:c>
      <x:c r="B35" s="462" t="s">
        <x:v>105</x:v>
      </x:c>
      <x:c r="C35" s="463" t="s">
        <x:v>456</x:v>
      </x:c>
      <x:c r="D35" s="464">
        <x:v>45482</x:v>
      </x:c>
      <x:c r="E35" s="465">
        <x:v>744</x:v>
      </x:c>
      <x:c r="F35" s="465">
        <x:v>186</x:v>
      </x:c>
      <x:c r="G35" s="466">
        <x:v>151.01</x:v>
      </x:c>
      <x:c r="H35" s="465">
        <x:v>83.7</x:v>
      </x:c>
      <x:c r="I35" s="464">
        <x:v>45490</x:v>
      </x:c>
      <x:c r="J35" s="433">
        <x:f>151.01/1.12</x:f>
      </x:c>
      <x:c r="K35" s="468">
        <x:f>+I35-D35</x:f>
      </x:c>
      <x:c r="L35" s="503">
        <x:v>0.035</x:v>
      </x:c>
      <x:c r="M35" s="504">
        <x:f>+J35*L35</x:f>
      </x:c>
      <x:c r="O35" s="432"/>
    </x:row>
    <x:row r="36" spans="1:30" ht="15" customHeight="1" x14ac:dyDescent="0.25">
      <x:c r="A36" s="461" t="s">
        <x:v>457</x:v>
      </x:c>
      <x:c r="B36" s="462" t="s">
        <x:v>458</x:v>
      </x:c>
      <x:c r="C36" s="463" t="s">
        <x:v>459</x:v>
      </x:c>
      <x:c r="D36" s="464">
        <x:v>45489</x:v>
      </x:c>
      <x:c r="E36" s="465">
        <x:v>145.8</x:v>
      </x:c>
      <x:c r="F36" s="465">
        <x:v>19.02</x:v>
      </x:c>
      <x:c r="G36" s="466">
        <x:v>145.8</x:v>
      </x:c>
      <x:c r="H36" s="465">
        <x:v>19.02</x:v>
      </x:c>
      <x:c r="I36" s="464">
        <x:v>45503</x:v>
      </x:c>
      <x:c r="J36" s="433">
        <x:f>+E36-F36</x:f>
      </x:c>
      <x:c r="K36" s="468">
        <x:f>+I36-D36</x:f>
      </x:c>
      <x:c r="L36" s="503">
        <x:v>0.035</x:v>
      </x:c>
      <x:c r="M36" s="504">
        <x:f>+J36*L36</x:f>
      </x:c>
      <x:c r="O36" s="432"/>
    </x:row>
    <x:row r="37" spans="1:30" ht="15" customHeight="1" x14ac:dyDescent="0.25">
      <x:c r="A37" s="461" t="s">
        <x:v>460</x:v>
      </x:c>
      <x:c r="B37" s="462" t="s">
        <x:v>333</x:v>
      </x:c>
      <x:c r="C37" s="463" t="s">
        <x:v>461</x:v>
      </x:c>
      <x:c r="D37" s="464">
        <x:v>45463</x:v>
      </x:c>
      <x:c r="E37" s="465">
        <x:v>157.44</x:v>
      </x:c>
      <x:c r="F37" s="465">
        <x:v>23.61</x:v>
      </x:c>
      <x:c r="G37" s="466">
        <x:v>153.9</x:v>
      </x:c>
      <x:c r="H37" s="465">
        <x:v>20.07</x:v>
      </x:c>
      <x:c r="I37" s="492">
        <x:v>45484</x:v>
      </x:c>
      <x:c r="J37" s="433">
        <x:f>+E37-F37</x:f>
      </x:c>
      <x:c r="K37" s="468">
        <x:f>+I37-D37</x:f>
      </x:c>
      <x:c r="L37" s="503">
        <x:v>0.035</x:v>
      </x:c>
      <x:c r="M37" s="504">
        <x:f>+J37*L37</x:f>
      </x:c>
      <x:c r="O37" s="432"/>
    </x:row>
    <x:row r="38" spans="1:30" ht="15" customHeight="1" x14ac:dyDescent="0.25">
      <x:c r="A38" s="461" t="s">
        <x:v>462</x:v>
      </x:c>
      <x:c r="B38" s="462" t="s">
        <x:v>463</x:v>
      </x:c>
      <x:c r="C38" s="463" t="s">
        <x:v>464</x:v>
      </x:c>
      <x:c r="D38" s="464">
        <x:v>45454</x:v>
      </x:c>
      <x:c r="E38" s="465">
        <x:v>152.88</x:v>
      </x:c>
      <x:c r="F38" s="465">
        <x:v>22.93</x:v>
      </x:c>
      <x:c r="G38" s="466">
        <x:v>5.82</x:v>
      </x:c>
      <x:c r="H38" s="465">
        <x:v>19.49</x:v>
      </x:c>
      <x:c r="I38" s="467">
        <x:v>45484</x:v>
      </x:c>
      <x:c r="J38" s="433">
        <x:f>5.82/1.12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30" ht="15" customHeight="1" x14ac:dyDescent="0.25">
      <x:c r="A39" s="486" t="s">
        <x:v>136</x:v>
      </x:c>
      <x:c r="B39" s="462" t="s">
        <x:v>26</x:v>
      </x:c>
      <x:c r="C39" s="488" t="s">
        <x:v>382</x:v>
      </x:c>
      <x:c r="D39" s="489">
        <x:v>45443</x:v>
      </x:c>
      <x:c r="E39" s="490">
        <x:v>921.6</x:v>
      </x:c>
      <x:c r="F39" s="490">
        <x:v>184.32</x:v>
      </x:c>
      <x:c r="G39" s="502">
        <x:v>807.32</x:v>
      </x:c>
      <x:c r="H39" s="490">
        <x:v>110.59</x:v>
      </x:c>
      <x:c r="I39" s="467">
        <x:v>45476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30" ht="15" customHeight="1" x14ac:dyDescent="0.25">
      <x:c r="A40" s="461" t="s">
        <x:v>52</x:v>
      </x:c>
      <x:c r="B40" s="462" t="s">
        <x:v>53</x:v>
      </x:c>
      <x:c r="C40" s="463" t="s">
        <x:v>465</x:v>
      </x:c>
      <x:c r="D40" s="464">
        <x:v>45462</x:v>
      </x:c>
      <x:c r="E40" s="465">
        <x:v>2024.4</x:v>
      </x:c>
      <x:c r="F40" s="465">
        <x:v>506.1</x:v>
      </x:c>
      <x:c r="G40" s="466">
        <x:v>1746.05</x:v>
      </x:c>
      <x:c r="H40" s="465">
        <x:v>227.75</x:v>
      </x:c>
      <x:c r="I40" s="492">
        <x:v>45495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30" ht="15" customHeight="1" x14ac:dyDescent="0.25">
      <x:c r="A41" s="461" t="s">
        <x:v>52</x:v>
      </x:c>
      <x:c r="B41" s="462" t="s">
        <x:v>53</x:v>
      </x:c>
      <x:c r="C41" s="463" t="s">
        <x:v>466</x:v>
      </x:c>
      <x:c r="D41" s="464">
        <x:v>45462</x:v>
      </x:c>
      <x:c r="E41" s="465">
        <x:v>1536</x:v>
      </x:c>
      <x:c r="F41" s="465">
        <x:v>384</x:v>
      </x:c>
      <x:c r="G41" s="466">
        <x:v>1324.8</x:v>
      </x:c>
      <x:c r="H41" s="465">
        <x:v>172.8</x:v>
      </x:c>
      <x:c r="I41" s="492">
        <x:v>45495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30" ht="15" customHeight="1" x14ac:dyDescent="0.25">
      <x:c r="A42" s="461" t="s">
        <x:v>52</x:v>
      </x:c>
      <x:c r="B42" s="462" t="s">
        <x:v>53</x:v>
      </x:c>
      <x:c r="C42" s="463" t="s">
        <x:v>467</x:v>
      </x:c>
      <x:c r="D42" s="464">
        <x:v>45462</x:v>
      </x:c>
      <x:c r="E42" s="465">
        <x:v>410.4</x:v>
      </x:c>
      <x:c r="F42" s="465">
        <x:v>102.6</x:v>
      </x:c>
      <x:c r="G42" s="466">
        <x:v>353.97</x:v>
      </x:c>
      <x:c r="H42" s="465">
        <x:v>46.17</x:v>
      </x:c>
      <x:c r="I42" s="492">
        <x:v>45495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30" ht="15" customHeight="1" x14ac:dyDescent="0.25">
      <x:c r="A43" s="461" t="s">
        <x:v>228</x:v>
      </x:c>
      <x:c r="B43" s="462" t="s">
        <x:v>155</x:v>
      </x:c>
      <x:c r="C43" s="463" t="s">
        <x:v>468</x:v>
      </x:c>
      <x:c r="D43" s="464">
        <x:v>45454</x:v>
      </x:c>
      <x:c r="E43" s="465">
        <x:v>68.64</x:v>
      </x:c>
      <x:c r="F43" s="465">
        <x:v>10.3</x:v>
      </x:c>
      <x:c r="G43" s="466">
        <x:v>63.44</x:v>
      </x:c>
      <x:c r="H43" s="465">
        <x:v>8.75</x:v>
      </x:c>
      <x:c r="I43" s="492">
        <x:v>45488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461" t="s">
        <x:v>109</x:v>
      </x:c>
      <x:c r="B44" s="462" t="s">
        <x:v>110</x:v>
      </x:c>
      <x:c r="C44" s="463" t="s">
        <x:v>469</x:v>
      </x:c>
      <x:c r="D44" s="464">
        <x:v>45442</x:v>
      </x:c>
      <x:c r="E44" s="465">
        <x:v>63.36</x:v>
      </x:c>
      <x:c r="F44" s="465">
        <x:v>9.51</x:v>
      </x:c>
      <x:c r="G44" s="466">
        <x:v>58.57</x:v>
      </x:c>
      <x:c r="H44" s="465">
        <x:v>8.08</x:v>
      </x:c>
      <x:c r="I44" s="467">
        <x:v>45483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30" ht="15" customHeight="1" x14ac:dyDescent="0.25">
      <x:c r="A45" s="461" t="s">
        <x:v>319</x:v>
      </x:c>
      <x:c r="B45" s="462" t="s">
        <x:v>320</x:v>
      </x:c>
      <x:c r="C45" s="463" t="s">
        <x:v>470</x:v>
      </x:c>
      <x:c r="D45" s="464">
        <x:v>45442</x:v>
      </x:c>
      <x:c r="E45" s="465">
        <x:v>62.04</x:v>
      </x:c>
      <x:c r="F45" s="465">
        <x:v>9.29</x:v>
      </x:c>
      <x:c r="G45" s="466">
        <x:v>1.19</x:v>
      </x:c>
      <x:c r="H45" s="465">
        <x:v>7.91</x:v>
      </x:c>
      <x:c r="I45" s="467">
        <x:v>45485</x:v>
      </x:c>
      <x:c r="J45" s="433">
        <x:f>1.19/1.12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461" t="s">
        <x:v>335</x:v>
      </x:c>
      <x:c r="B46" s="462" t="s">
        <x:v>336</x:v>
      </x:c>
      <x:c r="C46" s="463" t="s">
        <x:v>471</x:v>
      </x:c>
      <x:c r="D46" s="464">
        <x:v>45454</x:v>
      </x:c>
      <x:c r="E46" s="465">
        <x:v>558.96</x:v>
      </x:c>
      <x:c r="F46" s="465">
        <x:v>95.03</x:v>
      </x:c>
      <x:c r="G46" s="466">
        <x:v>508</x:v>
      </x:c>
      <x:c r="H46" s="465">
        <x:v>69.59</x:v>
      </x:c>
      <x:c r="I46" s="467">
        <x:v>45498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461" t="s">
        <x:v>164</x:v>
      </x:c>
      <x:c r="B47" s="505" t="s">
        <x:v>26</x:v>
      </x:c>
      <x:c r="C47" s="463" t="s">
        <x:v>472</x:v>
      </x:c>
      <x:c r="D47" s="464">
        <x:v>45457</x:v>
      </x:c>
      <x:c r="E47" s="465">
        <x:v>195</x:v>
      </x:c>
      <x:c r="F47" s="465">
        <x:v>29.25</x:v>
      </x:c>
      <x:c r="G47" s="466">
        <x:v>190.61</x:v>
      </x:c>
      <x:c r="H47" s="465">
        <x:v>24.86</x:v>
      </x:c>
      <x:c r="I47" s="467">
        <x:v>45503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x14ac:dyDescent="0.25">
      <x:c r="A48" s="567" t="s">
        <x:v>164</x:v>
      </x:c>
      <x:c r="B48" s="505" t="s">
        <x:v>26</x:v>
      </x:c>
      <x:c r="C48" s="463" t="s">
        <x:v>473</x:v>
      </x:c>
      <x:c r="D48" s="568">
        <x:v>45457</x:v>
      </x:c>
      <x:c r="E48" s="569">
        <x:v>58.05</x:v>
      </x:c>
      <x:c r="F48" s="569">
        <x:v>8.72</x:v>
      </x:c>
      <x:c r="G48" s="466">
        <x:v>56.73</x:v>
      </x:c>
      <x:c r="H48" s="569">
        <x:v>7.4</x:v>
      </x:c>
      <x:c r="I48" s="467">
        <x:v>45503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30" ht="15" customHeight="1" x14ac:dyDescent="0.25">
      <x:c r="A49" s="461" t="s">
        <x:v>474</x:v>
      </x:c>
      <x:c r="B49" s="505" t="s">
        <x:v>60</x:v>
      </x:c>
      <x:c r="C49" s="463" t="s">
        <x:v>475</x:v>
      </x:c>
      <x:c r="D49" s="464">
        <x:v>45442</x:v>
      </x:c>
      <x:c r="E49" s="465">
        <x:v>1027.44</x:v>
      </x:c>
      <x:c r="F49" s="465">
        <x:v>205.49</x:v>
      </x:c>
      <x:c r="G49" s="466">
        <x:v>300</x:v>
      </x:c>
      <x:c r="H49" s="465">
        <x:v>0</x:v>
      </x:c>
      <x:c r="I49" s="467">
        <x:v>45491</x:v>
      </x:c>
      <x:c r="J49" s="433">
        <x:v>300</x:v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30" ht="15" customHeight="1" x14ac:dyDescent="0.25">
      <x:c r="A50" s="461" t="s">
        <x:v>339</x:v>
      </x:c>
      <x:c r="B50" s="506" t="s">
        <x:v>333</x:v>
      </x:c>
      <x:c r="C50" s="463" t="s">
        <x:v>476</x:v>
      </x:c>
      <x:c r="D50" s="464">
        <x:v>45441</x:v>
      </x:c>
      <x:c r="E50" s="465">
        <x:v>166.32</x:v>
      </x:c>
      <x:c r="F50" s="465">
        <x:v>24.96</x:v>
      </x:c>
      <x:c r="G50" s="466">
        <x:v>162.56</x:v>
      </x:c>
      <x:c r="H50" s="465">
        <x:v>21.2</x:v>
      </x:c>
      <x:c r="I50" s="467">
        <x:v>45492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30" ht="15" customHeight="1" x14ac:dyDescent="0.25">
      <x:c r="A51" s="461" t="s">
        <x:v>332</x:v>
      </x:c>
      <x:c r="B51" s="506" t="s">
        <x:v>333</x:v>
      </x:c>
      <x:c r="C51" s="463" t="s">
        <x:v>414</x:v>
      </x:c>
      <x:c r="D51" s="464">
        <x:v>45441</x:v>
      </x:c>
      <x:c r="E51" s="465">
        <x:v>378</x:v>
      </x:c>
      <x:c r="F51" s="465">
        <x:v>75.6</x:v>
      </x:c>
      <x:c r="G51" s="466">
        <x:v>97.76</x:v>
      </x:c>
      <x:c r="H51" s="465">
        <x:v>45.36</x:v>
      </x:c>
      <x:c r="I51" s="467">
        <x:v>45492</x:v>
      </x:c>
      <x:c r="J51" s="433">
        <x:f>97.76/1.12</x:f>
      </x:c>
      <x:c r="K51" s="468">
        <x:f>+I51-D51</x:f>
      </x:c>
      <x:c r="L51" s="503">
        <x:v>0.03</x:v>
      </x:c>
      <x:c r="M51" s="504">
        <x:f>+J51*L51</x:f>
      </x:c>
      <x:c r="O51" s="432"/>
    </x:row>
    <x:row r="52" spans="1:30" ht="15" customHeight="1" x14ac:dyDescent="0.25">
      <x:c r="A52" s="461" t="s">
        <x:v>477</x:v>
      </x:c>
      <x:c r="B52" s="506" t="s">
        <x:v>478</x:v>
      </x:c>
      <x:c r="C52" s="463" t="s">
        <x:v>479</x:v>
      </x:c>
      <x:c r="D52" s="464">
        <x:v>45441</x:v>
      </x:c>
      <x:c r="E52" s="465">
        <x:v>665.28</x:v>
      </x:c>
      <x:c r="F52" s="465">
        <x:v>113.1</x:v>
      </x:c>
      <x:c r="G52" s="466">
        <x:v>604.64</x:v>
      </x:c>
      <x:c r="H52" s="465">
        <x:v>82.83</x:v>
      </x:c>
      <x:c r="I52" s="467">
        <x:v>45493</x:v>
      </x:c>
      <x:c r="J52" s="433">
        <x:f>+E52-F52</x:f>
      </x:c>
      <x:c r="K52" s="468">
        <x:f>+I52-D52</x:f>
      </x:c>
      <x:c r="L52" s="503">
        <x:v>0.03</x:v>
      </x:c>
      <x:c r="M52" s="504">
        <x:f>+J52*L52</x:f>
      </x:c>
      <x:c r="O52" s="432"/>
    </x:row>
    <x:row r="53" spans="1:30" ht="15" customHeight="1" x14ac:dyDescent="0.25">
      <x:c r="A53" s="461" t="s">
        <x:v>347</x:v>
      </x:c>
      <x:c r="B53" s="506" t="s">
        <x:v>110</x:v>
      </x:c>
      <x:c r="C53" s="463" t="s">
        <x:v>480</x:v>
      </x:c>
      <x:c r="D53" s="464">
        <x:v>45442</x:v>
      </x:c>
      <x:c r="E53" s="465">
        <x:v>181.92</x:v>
      </x:c>
      <x:c r="F53" s="465">
        <x:v>27.29</x:v>
      </x:c>
      <x:c r="G53" s="466">
        <x:v>100</x:v>
      </x:c>
      <x:c r="H53" s="465">
        <x:v>23.19</x:v>
      </x:c>
      <x:c r="I53" s="467">
        <x:v>45495</x:v>
      </x:c>
      <x:c r="J53" s="433">
        <x:f>100/1.12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30" ht="15" customHeight="1" x14ac:dyDescent="0.25">
      <x:c r="A54" s="461" t="s">
        <x:v>324</x:v>
      </x:c>
      <x:c r="B54" s="506" t="s">
        <x:v>325</x:v>
      </x:c>
      <x:c r="C54" s="463" t="s">
        <x:v>481</x:v>
      </x:c>
      <x:c r="D54" s="464">
        <x:v>45442</x:v>
      </x:c>
      <x:c r="E54" s="465">
        <x:v>98.4</x:v>
      </x:c>
      <x:c r="F54" s="465">
        <x:v>14.76</x:v>
      </x:c>
      <x:c r="G54" s="466">
        <x:v>91.58</x:v>
      </x:c>
      <x:c r="H54" s="465">
        <x:v>12.55</x:v>
      </x:c>
      <x:c r="I54" s="467">
        <x:v>45498</x:v>
      </x:c>
      <x:c r="J54" s="433">
        <x:f>+E54-F54</x:f>
      </x:c>
      <x:c r="K54" s="468">
        <x:f>+I54-D54</x:f>
      </x:c>
      <x:c r="L54" s="503">
        <x:v>0.03</x:v>
      </x:c>
      <x:c r="M54" s="504">
        <x:f>+J54*L54</x:f>
      </x:c>
      <x:c r="O54" s="432"/>
    </x:row>
    <x:row r="55" spans="1:30" ht="15" customHeight="1" x14ac:dyDescent="0.25">
      <x:c r="A55" s="461" t="s">
        <x:v>482</x:v>
      </x:c>
      <x:c r="B55" s="506" t="s">
        <x:v>478</x:v>
      </x:c>
      <x:c r="C55" s="463" t="s">
        <x:v>483</x:v>
      </x:c>
      <x:c r="D55" s="464">
        <x:v>45441</x:v>
      </x:c>
      <x:c r="E55" s="465">
        <x:v>259.2</x:v>
      </x:c>
      <x:c r="F55" s="465">
        <x:v>38.88</x:v>
      </x:c>
      <x:c r="G55" s="466">
        <x:v>253.37</x:v>
      </x:c>
      <x:c r="H55" s="465">
        <x:v>33.05</x:v>
      </x:c>
      <x:c r="I55" s="467">
        <x:v>45498</x:v>
      </x:c>
      <x:c r="J55" s="433">
        <x:f>+E55-F55</x:f>
      </x:c>
      <x:c r="K55" s="468">
        <x:f>+I55-D55</x:f>
      </x:c>
      <x:c r="L55" s="503">
        <x:v>0.03</x:v>
      </x:c>
      <x:c r="M55" s="504">
        <x:f>+J55*L55</x:f>
      </x:c>
      <x:c r="O55" s="432"/>
    </x:row>
    <x:row r="56" spans="1:30" ht="15" customHeight="1" x14ac:dyDescent="0.25">
      <x:c r="A56" s="461" t="s">
        <x:v>319</x:v>
      </x:c>
      <x:c r="B56" s="506" t="s">
        <x:v>320</x:v>
      </x:c>
      <x:c r="C56" s="463" t="s">
        <x:v>321</x:v>
      </x:c>
      <x:c r="D56" s="464">
        <x:v>45366</x:v>
      </x:c>
      <x:c r="E56" s="465">
        <x:v>261.36</x:v>
      </x:c>
      <x:c r="F56" s="465">
        <x:v>39.21</x:v>
      </x:c>
      <x:c r="G56" s="466">
        <x:v>98.81</x:v>
      </x:c>
      <x:c r="H56" s="465">
        <x:v>26.66</x:v>
      </x:c>
      <x:c r="I56" s="467">
        <x:v>45425</x:v>
      </x:c>
      <x:c r="J56" s="433">
        <x:f>98.81/1.12</x:f>
      </x:c>
      <x:c r="K56" s="468">
        <x:f>+I56-D56</x:f>
      </x:c>
      <x:c r="L56" s="503">
        <x:v>0.03</x:v>
      </x:c>
      <x:c r="M56" s="504">
        <x:f>+J56*L56</x:f>
      </x:c>
      <x:c r="O56" s="432"/>
    </x:row>
    <x:row r="57" spans="1:30" ht="15" customHeight="1" x14ac:dyDescent="0.25">
      <x:c r="A57" s="461" t="s">
        <x:v>114</x:v>
      </x:c>
      <x:c r="B57" s="506" t="s">
        <x:v>26</x:v>
      </x:c>
      <x:c r="C57" s="463" t="s">
        <x:v>484</x:v>
      </x:c>
      <x:c r="D57" s="464">
        <x:v>45394</x:v>
      </x:c>
      <x:c r="E57" s="465">
        <x:v>798</x:v>
      </x:c>
      <x:c r="F57" s="465">
        <x:v>159.6</x:v>
      </x:c>
      <x:c r="G57" s="466">
        <x:v>699.05</x:v>
      </x:c>
      <x:c r="H57" s="465">
        <x:v>95.76</x:v>
      </x:c>
      <x:c r="I57" s="467">
        <x:v>45474</x:v>
      </x:c>
      <x:c r="J57" s="433">
        <x:f>+E57-F57</x:f>
      </x:c>
      <x:c r="K57" s="468">
        <x:f>+I57-D57</x:f>
      </x:c>
      <x:c r="L57" s="503">
        <x:v>0.03</x:v>
      </x:c>
      <x:c r="M57" s="504">
        <x:f>+J57*L57</x:f>
      </x:c>
      <x:c r="O57" s="432"/>
    </x:row>
    <x:row r="58" spans="1:30" ht="15" customHeight="1" x14ac:dyDescent="0.25">
      <x:c r="A58" s="461" t="s">
        <x:v>485</x:v>
      </x:c>
      <x:c r="B58" s="506" t="s">
        <x:v>105</x:v>
      </x:c>
      <x:c r="C58" s="463" t="s">
        <x:v>486</x:v>
      </x:c>
      <x:c r="D58" s="464">
        <x:v>45411</x:v>
      </x:c>
      <x:c r="E58" s="465">
        <x:v>168.48</x:v>
      </x:c>
      <x:c r="F58" s="465">
        <x:v>25.27</x:v>
      </x:c>
      <x:c r="G58" s="466">
        <x:v>164.69</x:v>
      </x:c>
      <x:c r="H58" s="465">
        <x:v>21.48</x:v>
      </x:c>
      <x:c r="I58" s="467">
        <x:v>45496</x:v>
      </x:c>
      <x:c r="J58" s="433">
        <x:f>+E58-F58</x:f>
      </x:c>
      <x:c r="K58" s="468">
        <x:f>+I58-D58</x:f>
      </x:c>
      <x:c r="L58" s="503">
        <x:v>0.03</x:v>
      </x:c>
      <x:c r="M58" s="504">
        <x:f>+J58*L58</x:f>
      </x:c>
      <x:c r="O58" s="432"/>
    </x:row>
    <x:row r="59" spans="1:30" ht="15" customHeight="1" x14ac:dyDescent="0.25">
      <x:c r="A59" s="461" t="s">
        <x:v>49</x:v>
      </x:c>
      <x:c r="B59" s="505" t="s">
        <x:v>26</x:v>
      </x:c>
      <x:c r="C59" s="463" t="s">
        <x:v>487</x:v>
      </x:c>
      <x:c r="D59" s="464">
        <x:v>45413</x:v>
      </x:c>
      <x:c r="E59" s="465">
        <x:v>117</x:v>
      </x:c>
      <x:c r="F59" s="465">
        <x:v>17.55</x:v>
      </x:c>
      <x:c r="G59" s="466">
        <x:v>108.9</x:v>
      </x:c>
      <x:c r="H59" s="465">
        <x:v>14.92</x:v>
      </x:c>
      <x:c r="I59" s="492">
        <x:v>45503</x:v>
      </x:c>
      <x:c r="J59" s="433">
        <x:f>+E59-F59</x:f>
      </x:c>
      <x:c r="K59" s="468">
        <x:f>+I59-D59</x:f>
      </x:c>
      <x:c r="L59" s="503">
        <x:v>0.03</x:v>
      </x:c>
      <x:c r="M59" s="504">
        <x:f>+J59*L59</x:f>
      </x:c>
      <x:c r="O59" s="432"/>
    </x:row>
    <x:row r="60" spans="1:30" ht="15" customHeight="1" x14ac:dyDescent="0.25">
      <x:c r="A60" s="461" t="s">
        <x:v>49</x:v>
      </x:c>
      <x:c r="B60" s="505" t="s">
        <x:v>26</x:v>
      </x:c>
      <x:c r="C60" s="463" t="s">
        <x:v>488</x:v>
      </x:c>
      <x:c r="D60" s="464">
        <x:v>45413</x:v>
      </x:c>
      <x:c r="E60" s="465">
        <x:v>60.72</x:v>
      </x:c>
      <x:c r="F60" s="465">
        <x:v>9.11</x:v>
      </x:c>
      <x:c r="G60" s="466">
        <x:v>56.51</x:v>
      </x:c>
      <x:c r="H60" s="465">
        <x:v>7.74</x:v>
      </x:c>
      <x:c r="I60" s="492">
        <x:v>45503</x:v>
      </x:c>
      <x:c r="J60" s="433">
        <x:f>+E60-F60</x:f>
      </x:c>
      <x:c r="K60" s="468">
        <x:f>+I60-D60</x:f>
      </x:c>
      <x:c r="L60" s="503">
        <x:v>0.03</x:v>
      </x:c>
      <x:c r="M60" s="504">
        <x:f>+J60*L60</x:f>
      </x:c>
      <x:c r="O60" s="432"/>
    </x:row>
    <x:row r="61" spans="1:30" ht="15" customHeight="1" x14ac:dyDescent="0.25">
      <x:c r="A61" s="461" t="s">
        <x:v>49</x:v>
      </x:c>
      <x:c r="B61" s="505" t="s">
        <x:v>26</x:v>
      </x:c>
      <x:c r="C61" s="463" t="s">
        <x:v>489</x:v>
      </x:c>
      <x:c r="D61" s="464">
        <x:v>45411</x:v>
      </x:c>
      <x:c r="E61" s="465">
        <x:v>183.64</x:v>
      </x:c>
      <x:c r="F61" s="465">
        <x:v>27.55</x:v>
      </x:c>
      <x:c r="G61" s="466">
        <x:v>170.92</x:v>
      </x:c>
      <x:c r="H61" s="465">
        <x:v>23.41</x:v>
      </x:c>
      <x:c r="I61" s="492">
        <x:v>45503</x:v>
      </x:c>
      <x:c r="J61" s="433">
        <x:f>+E61-F61</x:f>
      </x:c>
      <x:c r="K61" s="468">
        <x:f>+I61-D61</x:f>
      </x:c>
      <x:c r="L61" s="503">
        <x:v>0.03</x:v>
      </x:c>
      <x:c r="M61" s="504">
        <x:f>+J61*L61</x:f>
      </x:c>
      <x:c r="O61" s="432"/>
    </x:row>
    <x:row r="62" spans="1:30" ht="15" customHeight="1" x14ac:dyDescent="0.25">
      <x:c r="A62" s="486" t="s">
        <x:v>49</x:v>
      </x:c>
      <x:c r="B62" s="505" t="s">
        <x:v>26</x:v>
      </x:c>
      <x:c r="C62" s="488" t="s">
        <x:v>490</x:v>
      </x:c>
      <x:c r="D62" s="489">
        <x:v>45406</x:v>
      </x:c>
      <x:c r="E62" s="490">
        <x:v>93.6</x:v>
      </x:c>
      <x:c r="F62" s="490">
        <x:v>14.04</x:v>
      </x:c>
      <x:c r="G62" s="502">
        <x:v>87.11</x:v>
      </x:c>
      <x:c r="H62" s="490">
        <x:v>11.93</x:v>
      </x:c>
      <x:c r="I62" s="492">
        <x:v>45503</x:v>
      </x:c>
      <x:c r="J62" s="433">
        <x:f>+E62-F62</x:f>
      </x:c>
      <x:c r="K62" s="468">
        <x:f>+I62-D62</x:f>
      </x:c>
      <x:c r="L62" s="503">
        <x:v>0.03</x:v>
      </x:c>
      <x:c r="M62" s="504">
        <x:f>+J62*L62</x:f>
      </x:c>
      <x:c r="O62" s="432"/>
    </x:row>
    <x:row r="63" spans="1:30" ht="15" customHeight="1" x14ac:dyDescent="0.25">
      <x:c r="A63" s="461" t="s">
        <x:v>491</x:v>
      </x:c>
      <x:c r="B63" s="505" t="s">
        <x:v>492</x:v>
      </x:c>
      <x:c r="C63" s="463" t="s">
        <x:v>493</x:v>
      </x:c>
      <x:c r="D63" s="464">
        <x:v>45372</x:v>
      </x:c>
      <x:c r="E63" s="465">
        <x:v>356.4</x:v>
      </x:c>
      <x:c r="F63" s="465">
        <x:v>71.28</x:v>
      </x:c>
      <x:c r="G63" s="466">
        <x:v>306.22</x:v>
      </x:c>
      <x:c r="H63" s="465">
        <x:v>34.21</x:v>
      </x:c>
      <x:c r="I63" s="464">
        <x:v>45475</x:v>
      </x:c>
      <x:c r="J63" s="433">
        <x:f>+E63-F63</x:f>
      </x:c>
      <x:c r="K63" s="468">
        <x:f>+I63-D63</x:f>
      </x:c>
      <x:c r="L63" s="503">
        <x:v>0.03</x:v>
      </x:c>
      <x:c r="M63" s="504">
        <x:f>+J63*L63</x:f>
      </x:c>
      <x:c r="O63" s="432"/>
    </x:row>
    <x:row r="64" spans="1:30" ht="15" customHeight="1" x14ac:dyDescent="0.25">
      <x:c r="A64" s="549"/>
      <x:c r="B64" s="543"/>
      <x:c r="C64" s="525"/>
      <x:c r="D64" s="526"/>
      <x:c r="E64" s="527"/>
      <x:c r="F64" s="527"/>
      <x:c r="G64" s="528"/>
      <x:c r="H64" s="527"/>
      <x:c r="I64" s="529"/>
      <x:c r="J64" s="433"/>
      <x:c r="K64" s="468"/>
      <x:c r="L64" s="503"/>
      <x:c r="M64" s="504"/>
      <x:c r="O64" s="432"/>
    </x:row>
    <x:row r="65" spans="1:30" ht="15" customHeight="1" x14ac:dyDescent="0.3">
      <x:c r="G65" s="516">
        <x:f>SUM(G31:G64)</x:f>
      </x:c>
      <x:c r="J65" s="516">
        <x:f>SUM(J31:J64)</x:f>
      </x:c>
      <x:c r="M65" s="516">
        <x:f>SUM(M31:M64)</x:f>
      </x:c>
    </x:row>
    <x:row r="66" spans="1:30" ht="15" customHeight="1" x14ac:dyDescent="0.25">
      <x:c r="G66" s="435"/>
      <x:c r="H66" s="435"/>
    </x:row>
    <x:row r="67" spans="1:30" ht="15" customHeight="1" x14ac:dyDescent="0.25">
      <x:c r="A67" s="517" t="s">
        <x:v>30</x:v>
      </x:c>
      <x:c r="B67" s="517" t="s">
        <x:v>31</x:v>
      </x:c>
      <x:c r="C67" s="518" t="s">
        <x:v>32</x:v>
      </x:c>
      <x:c r="I67" s="435"/>
      <x:c r="J67" s="435"/>
    </x:row>
    <x:row r="68" spans="1:30" ht="15" customHeight="1" s="434" customFormat="1" x14ac:dyDescent="0.25">
      <x:c r="A68" s="486" t="s">
        <x:v>494</x:v>
      </x:c>
      <x:c r="B68" s="487" t="s">
        <x:v>495</x:v>
      </x:c>
      <x:c r="C68" s="488" t="s">
        <x:v>496</x:v>
      </x:c>
      <x:c r="D68" s="489">
        <x:v>45366</x:v>
      </x:c>
      <x:c r="E68" s="490">
        <x:v>746.52</x:v>
      </x:c>
      <x:c r="F68" s="490">
        <x:v>111.98</x:v>
      </x:c>
      <x:c r="G68" s="491">
        <x:v>704.33</x:v>
      </x:c>
      <x:c r="H68" s="490">
        <x:v>76.14</x:v>
      </x:c>
      <x:c r="I68" s="492">
        <x:v>45513</x:v>
      </x:c>
      <x:c r="J68" s="433">
        <x:f>+E68-F68</x:f>
      </x:c>
      <x:c r="K68" s="468">
        <x:f>+I68-D68</x:f>
      </x:c>
      <x:c r="L68" s="469">
        <x:v>0.03</x:v>
      </x:c>
      <x:c r="M68" s="433">
        <x:f>+J68*L68</x:f>
      </x:c>
      <x:c r="N68" s="470"/>
      <x:c r="O68" s="432"/>
    </x:row>
    <x:row r="69" spans="1:30" ht="15" customHeight="1" s="434" customFormat="1" x14ac:dyDescent="0.25">
      <x:c r="A69" s="486" t="s">
        <x:v>494</x:v>
      </x:c>
      <x:c r="B69" s="487" t="s">
        <x:v>495</x:v>
      </x:c>
      <x:c r="C69" s="488" t="s">
        <x:v>497</x:v>
      </x:c>
      <x:c r="D69" s="489">
        <x:v>45366</x:v>
      </x:c>
      <x:c r="E69" s="490">
        <x:v>129.6</x:v>
      </x:c>
      <x:c r="F69" s="490">
        <x:v>19.44</x:v>
      </x:c>
      <x:c r="G69" s="502">
        <x:v>122.28</x:v>
      </x:c>
      <x:c r="H69" s="490">
        <x:v>13.22</x:v>
      </x:c>
      <x:c r="I69" s="467">
        <x:v>45513</x:v>
      </x:c>
      <x:c r="J69" s="433">
        <x:f>+E69-F69</x:f>
      </x:c>
      <x:c r="K69" s="468">
        <x:f>+I69-D69</x:f>
      </x:c>
      <x:c r="L69" s="469">
        <x:v>0.03</x:v>
      </x:c>
      <x:c r="M69" s="433">
        <x:f>+J69*L69</x:f>
      </x:c>
      <x:c r="N69" s="470"/>
      <x:c r="O69" s="432"/>
    </x:row>
    <x:row r="70" spans="1:30" ht="15" customHeight="1" s="434" customFormat="1" x14ac:dyDescent="0.25">
      <x:c r="A70" s="486" t="s">
        <x:v>498</x:v>
      </x:c>
      <x:c r="B70" s="487" t="s">
        <x:v>499</x:v>
      </x:c>
      <x:c r="C70" s="488" t="s">
        <x:v>500</x:v>
      </x:c>
      <x:c r="D70" s="489">
        <x:v>45442</x:v>
      </x:c>
      <x:c r="E70" s="490">
        <x:v>230.76</x:v>
      </x:c>
      <x:c r="F70" s="490">
        <x:v>34.61</x:v>
      </x:c>
      <x:c r="G70" s="502">
        <x:v>225.57</x:v>
      </x:c>
      <x:c r="H70" s="490">
        <x:v>29.42</x:v>
      </x:c>
      <x:c r="I70" s="467">
        <x:v>45590</x:v>
      </x:c>
      <x:c r="J70" s="433">
        <x:f>+E70-F70</x:f>
      </x:c>
      <x:c r="K70" s="468">
        <x:f>+I70-D70</x:f>
      </x:c>
      <x:c r="L70" s="469">
        <x:v>0.03</x:v>
      </x:c>
      <x:c r="M70" s="433">
        <x:f>+J70*L70</x:f>
      </x:c>
      <x:c r="N70" s="470"/>
      <x:c r="O70" s="432"/>
    </x:row>
    <x:row r="71" spans="1:30" ht="15" customHeight="1" s="434" customFormat="1" x14ac:dyDescent="0.25">
      <x:c r="A71" s="486" t="s">
        <x:v>179</x:v>
      </x:c>
      <x:c r="B71" s="487" t="s">
        <x:v>501</x:v>
      </x:c>
      <x:c r="C71" s="488" t="s">
        <x:v>502</x:v>
      </x:c>
      <x:c r="D71" s="489">
        <x:v>45442</x:v>
      </x:c>
      <x:c r="E71" s="490">
        <x:v>292.68</x:v>
      </x:c>
      <x:c r="F71" s="490">
        <x:v>43.91</x:v>
      </x:c>
      <x:c r="G71" s="502">
        <x:v>272.4</x:v>
      </x:c>
      <x:c r="H71" s="490">
        <x:v>37.32</x:v>
      </x:c>
      <x:c r="I71" s="467">
        <x:v>45548</x:v>
      </x:c>
      <x:c r="J71" s="433">
        <x:f>+E71-F71</x:f>
      </x:c>
      <x:c r="K71" s="468">
        <x:f>+I71-D71</x:f>
      </x:c>
      <x:c r="L71" s="469">
        <x:v>0.03</x:v>
      </x:c>
      <x:c r="M71" s="433">
        <x:f>+J71*L71</x:f>
      </x:c>
      <x:c r="N71" s="470"/>
      <x:c r="O71" s="432"/>
    </x:row>
    <x:row r="72" spans="1:30" ht="15" customHeight="1" s="434" customFormat="1" x14ac:dyDescent="0.25">
      <x:c r="A72" s="486" t="s">
        <x:v>179</x:v>
      </x:c>
      <x:c r="B72" s="487" t="s">
        <x:v>501</x:v>
      </x:c>
      <x:c r="C72" s="488" t="s">
        <x:v>503</x:v>
      </x:c>
      <x:c r="D72" s="489">
        <x:v>45442</x:v>
      </x:c>
      <x:c r="E72" s="490">
        <x:v>1070.88</x:v>
      </x:c>
      <x:c r="F72" s="490">
        <x:v>160.63</x:v>
      </x:c>
      <x:c r="G72" s="502">
        <x:v>996.73</x:v>
      </x:c>
      <x:c r="H72" s="490">
        <x:v>136.54</x:v>
      </x:c>
      <x:c r="I72" s="467">
        <x:v>45548</x:v>
      </x:c>
      <x:c r="J72" s="433">
        <x:f>+E72-F72</x:f>
      </x:c>
      <x:c r="K72" s="468">
        <x:f>+I72-D72</x:f>
      </x:c>
      <x:c r="L72" s="469">
        <x:v>0.03</x:v>
      </x:c>
      <x:c r="M72" s="433">
        <x:f>+J72*L72</x:f>
      </x:c>
      <x:c r="N72" s="470"/>
      <x:c r="O72" s="432"/>
    </x:row>
    <x:row r="73" spans="1:30" ht="15" customHeight="1" s="434" customFormat="1" x14ac:dyDescent="0.25">
      <x:c r="A73" s="486" t="s">
        <x:v>179</x:v>
      </x:c>
      <x:c r="B73" s="487" t="s">
        <x:v>501</x:v>
      </x:c>
      <x:c r="C73" s="488" t="s">
        <x:v>504</x:v>
      </x:c>
      <x:c r="D73" s="489">
        <x:v>45442</x:v>
      </x:c>
      <x:c r="E73" s="490">
        <x:v>216</x:v>
      </x:c>
      <x:c r="F73" s="490">
        <x:v>32.4</x:v>
      </x:c>
      <x:c r="G73" s="502">
        <x:v>201.04</x:v>
      </x:c>
      <x:c r="H73" s="490">
        <x:v>27.54</x:v>
      </x:c>
      <x:c r="I73" s="467">
        <x:v>45548</x:v>
      </x:c>
      <x:c r="J73" s="433">
        <x:f>+E73-F73</x:f>
      </x:c>
      <x:c r="K73" s="468">
        <x:f>+I73-D73</x:f>
      </x:c>
      <x:c r="L73" s="469">
        <x:v>0.03</x:v>
      </x:c>
      <x:c r="M73" s="433">
        <x:f>+J73*L73</x:f>
      </x:c>
      <x:c r="N73" s="470"/>
      <x:c r="O73" s="432"/>
    </x:row>
    <x:row r="74" spans="1:30" ht="15" customHeight="1" s="434" customFormat="1" x14ac:dyDescent="0.25">
      <x:c r="A74" s="486" t="s">
        <x:v>498</x:v>
      </x:c>
      <x:c r="B74" s="487" t="s">
        <x:v>505</x:v>
      </x:c>
      <x:c r="C74" s="488" t="s">
        <x:v>506</x:v>
      </x:c>
      <x:c r="D74" s="489">
        <x:v>45442</x:v>
      </x:c>
      <x:c r="E74" s="490">
        <x:v>212.76</x:v>
      </x:c>
      <x:c r="F74" s="490">
        <x:v>31.91</x:v>
      </x:c>
      <x:c r="G74" s="502">
        <x:v>207.98</x:v>
      </x:c>
      <x:c r="H74" s="490">
        <x:v>27.13</x:v>
      </x:c>
      <x:c r="I74" s="467">
        <x:v>45514</x:v>
      </x:c>
      <x:c r="J74" s="433">
        <x:f>+E74-F74</x:f>
      </x:c>
      <x:c r="K74" s="468">
        <x:f>+I74-D74</x:f>
      </x:c>
      <x:c r="L74" s="469">
        <x:v>0.03</x:v>
      </x:c>
      <x:c r="M74" s="433">
        <x:f>+J74*L74</x:f>
      </x:c>
      <x:c r="N74" s="470"/>
      <x:c r="O74" s="432"/>
    </x:row>
    <x:row r="75" spans="1:30" ht="15" customHeight="1" s="434" customFormat="1" x14ac:dyDescent="0.25">
      <x:c r="A75" s="486" t="s">
        <x:v>498</x:v>
      </x:c>
      <x:c r="B75" s="487" t="s">
        <x:v>507</x:v>
      </x:c>
      <x:c r="C75" s="488" t="s">
        <x:v>508</x:v>
      </x:c>
      <x:c r="D75" s="489">
        <x:v>45453</x:v>
      </x:c>
      <x:c r="E75" s="490">
        <x:v>592.92</x:v>
      </x:c>
      <x:c r="F75" s="490">
        <x:v>88.93</x:v>
      </x:c>
      <x:c r="G75" s="502">
        <x:v>114.43</x:v>
      </x:c>
      <x:c r="H75" s="490">
        <x:v>75.6</x:v>
      </x:c>
      <x:c r="I75" s="467">
        <x:v>45514</x:v>
      </x:c>
      <x:c r="J75" s="433">
        <x:f>+E75-F75</x:f>
      </x:c>
      <x:c r="K75" s="468">
        <x:f>+I75-D75</x:f>
      </x:c>
      <x:c r="L75" s="469">
        <x:v>0.03</x:v>
      </x:c>
      <x:c r="M75" s="433">
        <x:f>+J75*L75</x:f>
      </x:c>
      <x:c r="N75" s="470"/>
      <x:c r="O75" s="432"/>
    </x:row>
    <x:row r="76" spans="1:30" ht="15" customHeight="1" s="434" customFormat="1" x14ac:dyDescent="0.25">
      <x:c r="A76" s="486" t="s">
        <x:v>67</x:v>
      </x:c>
      <x:c r="B76" s="487" t="s">
        <x:v>509</x:v>
      </x:c>
      <x:c r="C76" s="488" t="s">
        <x:v>510</x:v>
      </x:c>
      <x:c r="D76" s="489">
        <x:v>45462</x:v>
      </x:c>
      <x:c r="E76" s="490">
        <x:v>408</x:v>
      </x:c>
      <x:c r="F76" s="490">
        <x:v>81.6</x:v>
      </x:c>
      <x:c r="G76" s="502">
        <x:v>375.36</x:v>
      </x:c>
      <x:c r="H76" s="490">
        <x:v>48.96</x:v>
      </x:c>
      <x:c r="I76" s="467">
        <x:v>45523</x:v>
      </x:c>
      <x:c r="J76" s="433">
        <x:f>+E76-F76</x:f>
      </x:c>
      <x:c r="K76" s="468">
        <x:f>+I76-D76</x:f>
      </x:c>
      <x:c r="L76" s="469">
        <x:v>0.03</x:v>
      </x:c>
      <x:c r="M76" s="433">
        <x:f>+J76*L76</x:f>
      </x:c>
      <x:c r="N76" s="470"/>
      <x:c r="O76" s="432"/>
    </x:row>
    <x:row r="77" spans="1:30" ht="15" customHeight="1" s="434" customFormat="1" x14ac:dyDescent="0.25">
      <x:c r="A77" s="486" t="s">
        <x:v>101</x:v>
      </x:c>
      <x:c r="B77" s="487" t="s">
        <x:v>511</x:v>
      </x:c>
      <x:c r="C77" s="488" t="s">
        <x:v>512</x:v>
      </x:c>
      <x:c r="D77" s="489">
        <x:v>45464</x:v>
      </x:c>
      <x:c r="E77" s="490">
        <x:v>428.4</x:v>
      </x:c>
      <x:c r="F77" s="490">
        <x:v>64.26</x:v>
      </x:c>
      <x:c r="G77" s="502">
        <x:f>418.76-3.64-16.39</x:f>
      </x:c>
      <x:c r="H77" s="490">
        <x:v>54.62</x:v>
      </x:c>
      <x:c r="I77" s="467">
        <x:v>45513</x:v>
      </x:c>
      <x:c r="J77" s="433">
        <x:f>+E77-F77</x:f>
      </x:c>
      <x:c r="K77" s="468">
        <x:f>+I77-D77</x:f>
      </x:c>
      <x:c r="L77" s="469">
        <x:v>0.03</x:v>
      </x:c>
      <x:c r="M77" s="433">
        <x:f>+J77*L77</x:f>
      </x:c>
      <x:c r="N77" s="470"/>
      <x:c r="O77" s="432"/>
    </x:row>
    <x:row r="78" spans="1:30" ht="15" customHeight="1" s="434" customFormat="1" x14ac:dyDescent="0.25">
      <x:c r="A78" s="486" t="s">
        <x:v>101</x:v>
      </x:c>
      <x:c r="B78" s="487" t="s">
        <x:v>513</x:v>
      </x:c>
      <x:c r="C78" s="488" t="s">
        <x:v>514</x:v>
      </x:c>
      <x:c r="D78" s="489">
        <x:v>45470</x:v>
      </x:c>
      <x:c r="E78" s="490">
        <x:v>132.84</x:v>
      </x:c>
      <x:c r="F78" s="490">
        <x:v>19.93</x:v>
      </x:c>
      <x:c r="G78" s="502">
        <x:v>123.64</x:v>
      </x:c>
      <x:c r="H78" s="490">
        <x:v>16.94</x:v>
      </x:c>
      <x:c r="I78" s="467">
        <x:v>45517</x:v>
      </x:c>
      <x:c r="J78" s="433">
        <x:f>+E78-F78</x:f>
      </x:c>
      <x:c r="K78" s="468">
        <x:f>+I78-D78</x:f>
      </x:c>
      <x:c r="L78" s="469">
        <x:v>0.03</x:v>
      </x:c>
      <x:c r="M78" s="433">
        <x:f>+J78*L78</x:f>
      </x:c>
      <x:c r="N78" s="470"/>
      <x:c r="O78" s="432"/>
    </x:row>
    <x:row r="79" spans="1:30" ht="15" customHeight="1" s="434" customFormat="1" x14ac:dyDescent="0.25">
      <x:c r="A79" s="486" t="s">
        <x:v>101</x:v>
      </x:c>
      <x:c r="B79" s="487" t="s">
        <x:v>513</x:v>
      </x:c>
      <x:c r="C79" s="488" t="s">
        <x:v>515</x:v>
      </x:c>
      <x:c r="D79" s="489">
        <x:v>45471</x:v>
      </x:c>
      <x:c r="E79" s="490">
        <x:v>188.64</x:v>
      </x:c>
      <x:c r="F79" s="490">
        <x:v>28.3</x:v>
      </x:c>
      <x:c r="G79" s="502">
        <x:v>175.57</x:v>
      </x:c>
      <x:c r="H79" s="490">
        <x:v>24.05</x:v>
      </x:c>
      <x:c r="I79" s="467">
        <x:v>45517</x:v>
      </x:c>
      <x:c r="J79" s="433">
        <x:f>+E79-F79</x:f>
      </x:c>
      <x:c r="K79" s="468">
        <x:f>+I79-D79</x:f>
      </x:c>
      <x:c r="L79" s="469">
        <x:v>0.03</x:v>
      </x:c>
      <x:c r="M79" s="433">
        <x:f>+J79*L79</x:f>
      </x:c>
      <x:c r="N79" s="470"/>
      <x:c r="O79" s="432"/>
    </x:row>
    <x:row r="80" spans="1:30" ht="15" customHeight="1" s="434" customFormat="1" x14ac:dyDescent="0.25">
      <x:c r="A80" s="486" t="s">
        <x:v>67</x:v>
      </x:c>
      <x:c r="B80" s="487" t="s">
        <x:v>516</x:v>
      </x:c>
      <x:c r="C80" s="488" t="s">
        <x:v>517</x:v>
      </x:c>
      <x:c r="D80" s="489">
        <x:v>45474</x:v>
      </x:c>
      <x:c r="E80" s="490">
        <x:v>201</x:v>
      </x:c>
      <x:c r="F80" s="490">
        <x:v>34.17</x:v>
      </x:c>
      <x:c r="G80" s="502">
        <x:v>191.85</x:v>
      </x:c>
      <x:c r="H80" s="490">
        <x:v>25.02</x:v>
      </x:c>
      <x:c r="I80" s="489">
        <x:v>45536</x:v>
      </x:c>
      <x:c r="J80" s="433">
        <x:f>+E80-F80</x:f>
      </x:c>
      <x:c r="K80" s="468">
        <x:f>+I80-D80</x:f>
      </x:c>
      <x:c r="L80" s="469">
        <x:v>0.03</x:v>
      </x:c>
      <x:c r="M80" s="433">
        <x:f>+J80*L80</x:f>
      </x:c>
      <x:c r="N80" s="470"/>
      <x:c r="O80" s="432"/>
    </x:row>
    <x:row r="81" spans="1:30" ht="15" customHeight="1" s="434" customFormat="1" x14ac:dyDescent="0.25">
      <x:c r="A81" s="486" t="s">
        <x:v>170</x:v>
      </x:c>
      <x:c r="B81" s="487" t="s">
        <x:v>511</x:v>
      </x:c>
      <x:c r="C81" s="488" t="s">
        <x:v>518</x:v>
      </x:c>
      <x:c r="D81" s="489">
        <x:v>45476</x:v>
      </x:c>
      <x:c r="E81" s="490">
        <x:v>1146.12</x:v>
      </x:c>
      <x:c r="F81" s="490">
        <x:v>229.21</x:v>
      </x:c>
      <x:c r="G81" s="502">
        <x:v>1054.45</x:v>
      </x:c>
      <x:c r="H81" s="490">
        <x:v>137.54</x:v>
      </x:c>
      <x:c r="I81" s="489">
        <x:v>45507</x:v>
      </x:c>
      <x:c r="J81" s="433">
        <x:f>+E81-F81</x:f>
      </x:c>
      <x:c r="K81" s="468">
        <x:f>+I81-D81</x:f>
      </x:c>
      <x:c r="L81" s="469">
        <x:v>0.03</x:v>
      </x:c>
      <x:c r="M81" s="433">
        <x:f>+J81*L81</x:f>
      </x:c>
      <x:c r="N81" s="470"/>
      <x:c r="O81" s="432"/>
    </x:row>
    <x:row r="82" spans="1:30" ht="15" customHeight="1" s="434" customFormat="1" x14ac:dyDescent="0.25">
      <x:c r="A82" s="486" t="s">
        <x:v>118</x:v>
      </x:c>
      <x:c r="B82" s="487" t="s">
        <x:v>519</x:v>
      </x:c>
      <x:c r="C82" s="488" t="s">
        <x:v>520</x:v>
      </x:c>
      <x:c r="D82" s="489">
        <x:v>45485</x:v>
      </x:c>
      <x:c r="E82" s="490">
        <x:v>3844.44</x:v>
      </x:c>
      <x:c r="F82" s="490">
        <x:v>961.11</x:v>
      </x:c>
      <x:c r="G82" s="502">
        <x:v>3157.25</x:v>
      </x:c>
      <x:c r="H82" s="490">
        <x:v>432.5</x:v>
      </x:c>
      <x:c r="I82" s="489">
        <x:v>45519</x:v>
      </x:c>
      <x:c r="J82" s="433">
        <x:f>+E82-F82</x:f>
      </x:c>
      <x:c r="K82" s="468">
        <x:f>+I82-D82</x:f>
      </x:c>
      <x:c r="L82" s="469">
        <x:v>0.03</x:v>
      </x:c>
      <x:c r="M82" s="433">
        <x:f>+J82*L82</x:f>
      </x:c>
      <x:c r="N82" s="470"/>
      <x:c r="O82" s="432"/>
    </x:row>
    <x:row r="83" spans="1:30" ht="15" customHeight="1" s="432" customFormat="1" x14ac:dyDescent="0.3">
      <x:c r="A83" s="558"/>
      <x:c r="B83" s="559"/>
      <x:c r="C83" s="560"/>
      <x:c r="D83" s="561"/>
      <x:c r="E83" s="562"/>
      <x:c r="F83" s="562"/>
      <x:c r="G83" s="491"/>
      <x:c r="H83" s="490"/>
      <x:c r="I83" s="492"/>
      <x:c r="J83" s="433"/>
      <x:c r="K83" s="468"/>
      <x:c r="L83" s="469"/>
      <x:c r="M83" s="563"/>
      <x:c r="N83" s="470"/>
    </x:row>
    <x:row r="84" spans="1:30" ht="15" customHeight="1" x14ac:dyDescent="0.35">
      <x:c r="A84" s="493" t="s">
        <x:v>43</x:v>
      </x:c>
      <x:c r="B84" s="493"/>
      <x:c r="C84" s="493"/>
      <x:c r="D84" s="493"/>
      <x:c r="E84" s="493"/>
      <x:c r="F84" s="493"/>
      <x:c r="G84" s="516">
        <x:f>SUM(G65:G83)</x:f>
      </x:c>
      <x:c r="J84" s="516">
        <x:f>SUM(J65:J83)</x:f>
      </x:c>
      <x:c r="L84" s="495"/>
      <x:c r="M84" s="564">
        <x:f>SUM(M65:M83)</x:f>
      </x:c>
    </x:row>
    <x:row r="85" spans="1:30" ht="15" customHeight="1" x14ac:dyDescent="0.3">
      <x:c r="A85" s="520"/>
      <x:c r="G85" s="435"/>
    </x:row>
    <x:row r="86" spans="1:30" ht="15" customHeight="1" x14ac:dyDescent="0.3">
      <x:c r="A86" s="499"/>
      <x:c r="G86" s="435"/>
      <x:c r="J86" s="435"/>
    </x:row>
    <x:row r="87" spans="1:30" ht="15" customHeight="1" x14ac:dyDescent="0.3">
      <x:c r="A87" s="499"/>
      <x:c r="G87" s="435"/>
      <x:c r="J87" s="435"/>
    </x:row>
    <x:row r="88" spans="1:30" ht="15" customHeight="1" x14ac:dyDescent="0.3">
      <x:c r="A88" s="499"/>
      <x:c r="G88" s="435"/>
      <x:c r="J88" s="435"/>
    </x:row>
    <x:row r="89" spans="1:30" ht="15" customHeight="1" x14ac:dyDescent="0.3">
      <x:c r="A89" s="499"/>
      <x:c r="G89" s="435">
        <x:f>4320-764.23</x:f>
      </x:c>
      <x:c r="J89" s="435"/>
    </x:row>
    <x:row r="90" spans="1:30" ht="15" customHeight="1" x14ac:dyDescent="0.3">
      <x:c r="A90" s="499"/>
      <x:c r="G90" s="435"/>
      <x:c r="J90" s="435"/>
    </x:row>
    <x:row r="91" spans="1:30" ht="15" customHeight="1" x14ac:dyDescent="0.3">
      <x:c r="A91" s="499"/>
      <x:c r="G91" s="435">
        <x:f>4491.19+15843.43</x:f>
      </x:c>
      <x:c r="J91" s="435">
        <x:f>(J21+J84)*2%</x:f>
      </x:c>
      <x:c r="M91" s="435">
        <x:f>M21/12</x:f>
      </x:c>
      <x:c r="N91" s="431" t="s">
        <x:v>237</x:v>
      </x:c>
    </x:row>
    <x:row r="92" spans="1:30" ht="15" customHeight="1" x14ac:dyDescent="0.3">
      <x:c r="A92" s="499"/>
      <x:c r="G92" s="435">
        <x:f>G91*2%</x:f>
      </x:c>
      <x:c r="J92" s="565">
        <x:f>J91/12</x:f>
      </x:c>
      <x:c r="M92" s="435">
        <x:f>M21/24</x:f>
      </x:c>
      <x:c r="N92" s="431" t="s">
        <x:v>237</x:v>
      </x:c>
    </x:row>
    <x:row r="93" spans="1:30" ht="15" customHeight="1" x14ac:dyDescent="0.3">
      <x:c r="A93" s="499"/>
      <x:c r="G93" s="435"/>
      <x:c r="J93" s="565">
        <x:f>J91/24</x:f>
      </x:c>
      <x:c r="M93" s="435">
        <x:f>M84/12</x:f>
      </x:c>
      <x:c r="N93" s="431" t="s">
        <x:v>238</x:v>
      </x:c>
      <x:c r="O93" s="435"/>
    </x:row>
    <x:row r="94" spans="1:30" ht="15" customHeight="1" x14ac:dyDescent="0.3">
      <x:c r="A94" s="499"/>
      <x:c r="G94" s="435"/>
      <x:c r="J94" s="435"/>
      <x:c r="M94" s="435">
        <x:f>M84/24</x:f>
      </x:c>
      <x:c r="N94" s="431" t="s">
        <x:v>238</x:v>
      </x:c>
      <x:c r="O94" s="435"/>
    </x:row>
    <x:row r="95" spans="1:30" ht="15" customHeight="1" x14ac:dyDescent="0.3">
      <x:c r="A95" s="499"/>
      <x:c r="G95" s="435"/>
      <x:c r="J95" s="435"/>
      <x:c r="M95" s="435"/>
    </x:row>
    <x:row r="96" spans="1:30" ht="15" customHeight="1" x14ac:dyDescent="0.3">
      <x:c r="A96" s="499"/>
      <x:c r="G96" s="435"/>
      <x:c r="J96" s="435"/>
      <x:c r="M96" s="435">
        <x:f>M91+M93</x:f>
      </x:c>
      <x:c r="N96" s="566" t="s">
        <x:v>435</x:v>
      </x:c>
    </x:row>
    <x:row r="97" spans="1:30" ht="15" customHeight="1" x14ac:dyDescent="0.3">
      <x:c r="A97" s="499"/>
      <x:c r="G97" s="435"/>
      <x:c r="J97" s="435"/>
      <x:c r="M97" s="435">
        <x:f>M92+M94</x:f>
      </x:c>
      <x:c r="N97" s="566" t="s">
        <x:v>436</x:v>
      </x:c>
    </x:row>
    <x:row r="98" spans="1:30" ht="15" customHeight="1" x14ac:dyDescent="0.3">
      <x:c r="A98" s="499"/>
      <x:c r="G98" s="435"/>
      <x:c r="J98" s="435"/>
    </x:row>
    <x:row r="99" spans="1:30" ht="15" customHeight="1" x14ac:dyDescent="0.3">
      <x:c r="A99" s="499"/>
      <x:c r="G99" s="435"/>
      <x:c r="J99" s="435"/>
    </x:row>
    <x:row r="100" spans="1:30" ht="15" customHeight="1" x14ac:dyDescent="0.3">
      <x:c r="A100" s="499"/>
      <x:c r="G100" s="435"/>
      <x:c r="J100" s="435"/>
    </x:row>
    <x:row r="101" spans="1:30" ht="15" customHeight="1" x14ac:dyDescent="0.3">
      <x:c r="A101" s="520"/>
      <x:c r="K101" s="515"/>
    </x:row>
  </x:sheetData>
  <x:sortState xmlns:xlrd2="http://schemas.microsoft.com/office/spreadsheetml/2017/richdata2" ref="A31:AD63">
    <x:sortCondition ref="K31:K63"/>
  </x:sortState>
  <x:mergeCells count="7">
    <x:mergeCell ref="A2:F2"/>
    <x:mergeCell ref="A3:F3"/>
    <x:mergeCell ref="A11:F11"/>
    <x:mergeCell ref="A21:F21"/>
    <x:mergeCell ref="A25:F25"/>
    <x:mergeCell ref="A26:F26"/>
    <x:mergeCell ref="A84:F84"/>
  </x:mergeCells>
  <x:printOptions horizontalCentered="0" verticalCentered="0" headings="0" gridLines="0"/>
  <x:pageMargins left="0.3937007874015748" right="0" top="0.1968503937007874" bottom="0" header="0" footer="0"/>
  <x:pageSetup paperSize="9" scale="65" pageOrder="downThenOver" orientation="landscape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AD80"/>
  <x:sheetViews>
    <x:sheetView topLeftCell="B65" workbookViewId="0">
      <x:selection activeCell="K80" sqref="K80"/>
    </x:sheetView>
  </x:sheetViews>
  <x:sheetFormatPr baseColWidth="10" defaultColWidth="39.554688" defaultRowHeight="13.2" x14ac:dyDescent="0.25"/>
  <x:cols>
    <x:col min="1" max="1" width="53.554688" style="429" customWidth="1"/>
    <x:col min="2" max="2" width="30" style="429" customWidth="1"/>
    <x:col min="3" max="3" width="34" style="429" customWidth="1"/>
    <x:col min="4" max="4" width="10.664062" style="430" customWidth="1"/>
    <x:col min="5" max="6" width="10.664062" style="429" customWidth="1"/>
    <x:col min="7" max="7" width="12.441406" style="429" customWidth="1"/>
    <x:col min="8" max="8" width="10.664062" style="429" customWidth="1"/>
    <x:col min="9" max="9" width="10.664062" style="430" customWidth="1"/>
    <x:col min="10" max="10" width="12.332031" style="429" customWidth="1"/>
    <x:col min="11" max="13" width="10.664062" style="429" customWidth="1"/>
    <x:col min="14" max="14" width="13.664062" style="431" customWidth="1"/>
    <x:col min="15" max="16384" width="39.554688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521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3" customFormat="1" x14ac:dyDescent="0.25">
      <x:c r="A8" s="461" t="s">
        <x:v>88</x:v>
      </x:c>
      <x:c r="B8" s="462" t="s">
        <x:v>26</x:v>
      </x:c>
      <x:c r="C8" s="463" t="s">
        <x:v>522</x:v>
      </x:c>
      <x:c r="D8" s="464">
        <x:v>45419</x:v>
      </x:c>
      <x:c r="E8" s="465">
        <x:v>180.72</x:v>
      </x:c>
      <x:c r="F8" s="465">
        <x:v>27.1</x:v>
      </x:c>
      <x:c r="G8" s="466">
        <x:v>168.21</x:v>
      </x:c>
      <x:c r="H8" s="465">
        <x:v>23.04</x:v>
      </x:c>
      <x:c r="I8" s="467">
        <x:v>45506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  <x:c r="O8" s="432"/>
      <x:c r="P8" s="432"/>
      <x:c r="Q8" s="432"/>
      <x:c r="R8" s="432"/>
      <x:c r="S8" s="432"/>
      <x:c r="T8" s="432"/>
      <x:c r="U8" s="432"/>
      <x:c r="V8" s="432"/>
      <x:c r="W8" s="432"/>
      <x:c r="X8" s="432"/>
      <x:c r="Y8" s="432"/>
      <x:c r="Z8" s="432"/>
      <x:c r="AA8" s="432"/>
      <x:c r="AB8" s="432"/>
      <x:c r="AC8" s="432"/>
      <x:c r="AD8" s="432"/>
    </x:row>
    <x:row r="9" spans="1:30" ht="15" customHeight="1" s="433" customFormat="1" x14ac:dyDescent="0.25">
      <x:c r="A9" s="461" t="s">
        <x:v>523</x:v>
      </x:c>
      <x:c r="B9" s="462" t="s">
        <x:v>26</x:v>
      </x:c>
      <x:c r="C9" s="463" t="s">
        <x:v>524</x:v>
      </x:c>
      <x:c r="D9" s="464">
        <x:v>45420</x:v>
      </x:c>
      <x:c r="E9" s="465">
        <x:v>1274.4</x:v>
      </x:c>
      <x:c r="F9" s="465">
        <x:v>318.6</x:v>
      </x:c>
      <x:c r="G9" s="466">
        <x:v>946.24</x:v>
      </x:c>
      <x:c r="H9" s="465">
        <x:v>143.37</x:v>
      </x:c>
      <x:c r="I9" s="492">
        <x:v>45523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3" customFormat="1" x14ac:dyDescent="0.25">
      <x:c r="A10" s="461" t="s">
        <x:v>88</x:v>
      </x:c>
      <x:c r="B10" s="462" t="s">
        <x:v>26</x:v>
      </x:c>
      <x:c r="C10" s="463" t="s">
        <x:v>525</x:v>
      </x:c>
      <x:c r="D10" s="464">
        <x:v>45441</x:v>
      </x:c>
      <x:c r="E10" s="465">
        <x:v>118.8</x:v>
      </x:c>
      <x:c r="F10" s="465">
        <x:v>17.82</x:v>
      </x:c>
      <x:c r="G10" s="466">
        <x:v>110.58</x:v>
      </x:c>
      <x:c r="H10" s="465">
        <x:v>15.15</x:v>
      </x:c>
      <x:c r="I10" s="492">
        <x:v>45533</x:v>
      </x:c>
      <x:c r="J10" s="433">
        <x:f>+E10-F10</x:f>
      </x:c>
      <x:c r="K10" s="468">
        <x:f>+I10-D10</x:f>
      </x:c>
      <x:c r="L10" s="469">
        <x:v>0.03</x:v>
      </x:c>
      <x:c r="M10" s="433">
        <x:f>+J10*L10</x:f>
      </x:c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3" customFormat="1" x14ac:dyDescent="0.25">
      <x:c r="A11" s="461" t="s">
        <x:v>22</x:v>
      </x:c>
      <x:c r="B11" s="462" t="s">
        <x:v>23</x:v>
      </x:c>
      <x:c r="C11" s="463" t="s">
        <x:v>526</x:v>
      </x:c>
      <x:c r="D11" s="464">
        <x:v>45446</x:v>
      </x:c>
      <x:c r="E11" s="465">
        <x:v>6974.4</x:v>
      </x:c>
      <x:c r="F11" s="465">
        <x:v>2092.32</x:v>
      </x:c>
      <x:c r="G11" s="466">
        <x:v>1000</x:v>
      </x:c>
      <x:c r="H11" s="465">
        <x:v>732.31</x:v>
      </x:c>
      <x:c r="I11" s="467">
        <x:v>45534</x:v>
      </x:c>
      <x:c r="J11" s="433">
        <x:f>1000/1.15</x:f>
      </x:c>
      <x:c r="K11" s="468">
        <x:f>+I11-D11</x:f>
      </x:c>
      <x:c r="L11" s="469">
        <x:v>0.03</x:v>
      </x:c>
      <x:c r="M11" s="433">
        <x:f>+J11*L11</x:f>
      </x:c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3" customFormat="1" x14ac:dyDescent="0.25">
      <x:c r="A12" s="461" t="s">
        <x:v>25</x:v>
      </x:c>
      <x:c r="B12" s="506" t="s">
        <x:v>26</x:v>
      </x:c>
      <x:c r="C12" s="463" t="s">
        <x:v>527</x:v>
      </x:c>
      <x:c r="D12" s="464">
        <x:v>45481</x:v>
      </x:c>
      <x:c r="E12" s="465">
        <x:v>432</x:v>
      </x:c>
      <x:c r="F12" s="465">
        <x:v>86.4</x:v>
      </x:c>
      <x:c r="G12" s="466">
        <x:v>378.43</x:v>
      </x:c>
      <x:c r="H12" s="465">
        <x:v>51.84</x:v>
      </x:c>
      <x:c r="I12" s="464">
        <x:v>45512</x:v>
      </x:c>
      <x:c r="J12" s="433">
        <x:f>+E12-F12</x:f>
      </x:c>
      <x:c r="K12" s="468">
        <x:f>+I12-D12</x:f>
      </x:c>
      <x:c r="L12" s="469">
        <x:v>0.03</x:v>
      </x:c>
      <x:c r="M12" s="433">
        <x:f>+J12*L12</x:f>
      </x:c>
      <x:c r="N12" s="470"/>
      <x:c r="O12" s="432"/>
      <x:c r="P12" s="432"/>
      <x:c r="Q12" s="432"/>
      <x:c r="R12" s="432"/>
      <x:c r="S12" s="432"/>
      <x:c r="T12" s="432"/>
      <x:c r="U12" s="432"/>
      <x:c r="V12" s="432"/>
      <x:c r="W12" s="432"/>
      <x:c r="X12" s="432"/>
      <x:c r="Y12" s="432"/>
      <x:c r="Z12" s="432"/>
      <x:c r="AA12" s="432"/>
      <x:c r="AB12" s="432"/>
      <x:c r="AC12" s="432"/>
      <x:c r="AD12" s="432"/>
    </x:row>
    <x:row r="13" spans="1:30" ht="15" customHeight="1" s="433" customFormat="1" x14ac:dyDescent="0.25">
      <x:c r="A13" s="461" t="s">
        <x:v>296</x:v>
      </x:c>
      <x:c r="B13" s="506" t="s">
        <x:v>26</x:v>
      </x:c>
      <x:c r="C13" s="463" t="s">
        <x:v>528</x:v>
      </x:c>
      <x:c r="D13" s="464">
        <x:v>45491</x:v>
      </x:c>
      <x:c r="E13" s="465">
        <x:v>280.8</x:v>
      </x:c>
      <x:c r="F13" s="465">
        <x:v>42.12</x:v>
      </x:c>
      <x:c r="G13" s="466">
        <x:v>274.48</x:v>
      </x:c>
      <x:c r="H13" s="465">
        <x:v>35.8</x:v>
      </x:c>
      <x:c r="I13" s="464">
        <x:v>45529</x:v>
      </x:c>
      <x:c r="J13" s="433">
        <x:f>+E13-F13</x:f>
      </x:c>
      <x:c r="K13" s="468">
        <x:f>+I13-D13</x:f>
      </x:c>
      <x:c r="L13" s="469">
        <x:v>0.03</x:v>
      </x:c>
      <x:c r="M13" s="433">
        <x:f>+J13*L13</x:f>
      </x:c>
      <x:c r="N13" s="470"/>
      <x:c r="O13" s="432"/>
      <x:c r="P13" s="432"/>
      <x:c r="Q13" s="432"/>
      <x:c r="R13" s="432"/>
      <x:c r="S13" s="432"/>
      <x:c r="T13" s="432"/>
      <x:c r="U13" s="432"/>
      <x:c r="V13" s="432"/>
      <x:c r="W13" s="432"/>
      <x:c r="X13" s="432"/>
      <x:c r="Y13" s="432"/>
      <x:c r="Z13" s="432"/>
      <x:c r="AA13" s="432"/>
      <x:c r="AB13" s="432"/>
      <x:c r="AC13" s="432"/>
      <x:c r="AD13" s="432"/>
    </x:row>
    <x:row r="14" spans="1:30" ht="15" customHeight="1" s="433" customFormat="1" x14ac:dyDescent="0.25">
      <x:c r="A14" s="461" t="s">
        <x:v>25</x:v>
      </x:c>
      <x:c r="B14" s="506" t="s">
        <x:v>26</x:v>
      </x:c>
      <x:c r="C14" s="463" t="s">
        <x:v>529</x:v>
      </x:c>
      <x:c r="D14" s="464">
        <x:v>45520</x:v>
      </x:c>
      <x:c r="E14" s="465">
        <x:v>172.8</x:v>
      </x:c>
      <x:c r="F14" s="465">
        <x:v>34.56</x:v>
      </x:c>
      <x:c r="G14" s="466">
        <x:f>158.98-1.38-6.22</x:f>
      </x:c>
      <x:c r="H14" s="465">
        <x:v>20.74</x:v>
      </x:c>
      <x:c r="I14" s="467">
        <x:v>45531</x:v>
      </x:c>
      <x:c r="J14" s="433">
        <x:f>+E14-F14</x:f>
      </x:c>
      <x:c r="K14" s="468">
        <x:f>+I14-D14</x:f>
      </x:c>
      <x:c r="L14" s="469">
        <x:v>0.035</x:v>
      </x:c>
      <x:c r="M14" s="433">
        <x:f>+J14*L14</x:f>
      </x:c>
      <x:c r="N14" s="470"/>
      <x:c r="O14" s="432"/>
      <x:c r="P14" s="432"/>
      <x:c r="Q14" s="432"/>
      <x:c r="R14" s="432"/>
      <x:c r="S14" s="432"/>
      <x:c r="T14" s="432"/>
      <x:c r="U14" s="432"/>
      <x:c r="V14" s="432"/>
      <x:c r="W14" s="432"/>
      <x:c r="X14" s="432"/>
      <x:c r="Y14" s="432"/>
      <x:c r="Z14" s="432"/>
      <x:c r="AA14" s="432"/>
      <x:c r="AB14" s="432"/>
      <x:c r="AC14" s="432"/>
      <x:c r="AD14" s="432"/>
    </x:row>
    <x:row r="15" spans="1:30" ht="15" customHeight="1" s="433" customFormat="1" x14ac:dyDescent="0.25">
      <x:c r="A15" s="530"/>
      <x:c r="B15" s="524"/>
      <x:c r="C15" s="524"/>
      <x:c r="D15" s="529"/>
      <x:c r="E15" s="531"/>
      <x:c r="F15" s="531"/>
      <x:c r="G15" s="532"/>
      <x:c r="H15" s="533"/>
      <x:c r="I15" s="534"/>
      <x:c r="K15" s="468"/>
      <x:c r="L15" s="469"/>
      <x:c r="N15" s="470"/>
      <x:c r="O15" s="432"/>
      <x:c r="P15" s="432"/>
      <x:c r="Q15" s="432"/>
      <x:c r="R15" s="432"/>
      <x:c r="S15" s="432"/>
      <x:c r="T15" s="432"/>
      <x:c r="U15" s="432"/>
      <x:c r="V15" s="432"/>
      <x:c r="W15" s="432"/>
      <x:c r="X15" s="432"/>
      <x:c r="Y15" s="432"/>
      <x:c r="Z15" s="432"/>
      <x:c r="AA15" s="432"/>
      <x:c r="AB15" s="432"/>
      <x:c r="AC15" s="432"/>
      <x:c r="AD15" s="432"/>
    </x:row>
    <x:row r="16" spans="1:30" ht="15" customHeight="1" s="434" customFormat="1" x14ac:dyDescent="0.25">
      <x:c r="A16" s="478"/>
      <x:c r="B16" s="478"/>
      <x:c r="C16" s="478"/>
      <x:c r="D16" s="478"/>
      <x:c r="E16" s="478"/>
      <x:c r="F16" s="478"/>
      <x:c r="G16" s="479">
        <x:f>SUM(G8:G15)</x:f>
      </x:c>
      <x:c r="H16" s="480"/>
      <x:c r="I16" s="481"/>
      <x:c r="J16" s="479">
        <x:f>SUM(J8:J15)</x:f>
      </x:c>
      <x:c r="K16" s="482"/>
      <x:c r="L16" s="482"/>
      <x:c r="M16" s="479">
        <x:f>SUM(M8:M15)</x:f>
      </x:c>
      <x:c r="N16" s="470"/>
    </x:row>
    <x:row r="17" spans="1:30" ht="15" customHeight="1" s="434" customFormat="1" x14ac:dyDescent="0.25">
      <x:c r="A17" s="483"/>
      <x:c r="B17" s="483"/>
      <x:c r="C17" s="483"/>
      <x:c r="D17" s="484"/>
      <x:c r="E17" s="483"/>
      <x:c r="F17" s="483"/>
      <x:c r="G17" s="432"/>
      <x:c r="I17" s="485"/>
      <x:c r="N17" s="470"/>
    </x:row>
    <x:row r="18" spans="1:30" ht="15" customHeight="1" s="434" customFormat="1" x14ac:dyDescent="0.25">
      <x:c r="A18" s="483"/>
      <x:c r="B18" s="483"/>
      <x:c r="C18" s="483"/>
      <x:c r="D18" s="484"/>
      <x:c r="E18" s="483"/>
      <x:c r="F18" s="483"/>
      <x:c r="G18" s="432"/>
      <x:c r="I18" s="485"/>
      <x:c r="J18" s="432"/>
      <x:c r="M18" s="432"/>
      <x:c r="N18" s="470"/>
    </x:row>
    <x:row r="19" spans="1:30" ht="15" customHeight="1" s="434" customFormat="1" x14ac:dyDescent="0.25">
      <x:c r="A19" s="434" t="s">
        <x:v>30</x:v>
      </x:c>
      <x:c r="B19" s="434" t="s">
        <x:v>31</x:v>
      </x:c>
      <x:c r="C19" s="483" t="s">
        <x:v>32</x:v>
      </x:c>
      <x:c r="D19" s="485"/>
      <x:c r="G19" s="432"/>
      <x:c r="I19" s="485"/>
      <x:c r="N19" s="470"/>
    </x:row>
    <x:row r="20" spans="1:30" ht="15" customHeight="1" s="432" customFormat="1" x14ac:dyDescent="0.25">
      <x:c r="A20" s="486" t="s">
        <x:v>36</x:v>
      </x:c>
      <x:c r="B20" s="487" t="s">
        <x:v>530</x:v>
      </x:c>
      <x:c r="C20" s="488" t="s">
        <x:v>531</x:v>
      </x:c>
      <x:c r="D20" s="489">
        <x:v>45510</x:v>
      </x:c>
      <x:c r="E20" s="490">
        <x:v>150.48</x:v>
      </x:c>
      <x:c r="F20" s="490">
        <x:v>37.62</x:v>
      </x:c>
      <x:c r="G20" s="491">
        <x:v>123.58</x:v>
      </x:c>
      <x:c r="H20" s="490">
        <x:v>16.93</x:v>
      </x:c>
      <x:c r="I20" s="492">
        <x:v>45581</x:v>
      </x:c>
      <x:c r="J20" s="433">
        <x:f>+E20-F20</x:f>
      </x:c>
      <x:c r="K20" s="468">
        <x:f>+I20-D20</x:f>
      </x:c>
      <x:c r="L20" s="469">
        <x:v>0.03</x:v>
      </x:c>
      <x:c r="M20" s="433">
        <x:f>+J20*L20</x:f>
      </x:c>
      <x:c r="N20" s="470"/>
    </x:row>
    <x:row r="21" spans="1:30" ht="15" customHeight="1" s="432" customFormat="1" x14ac:dyDescent="0.25">
      <x:c r="A21" s="486" t="s">
        <x:v>36</x:v>
      </x:c>
      <x:c r="B21" s="570" t="s">
        <x:v>530</x:v>
      </x:c>
      <x:c r="C21" s="488" t="s">
        <x:v>532</x:v>
      </x:c>
      <x:c r="D21" s="489">
        <x:v>45520</x:v>
      </x:c>
      <x:c r="E21" s="490">
        <x:v>369.6</x:v>
      </x:c>
      <x:c r="F21" s="490">
        <x:v>92.4</x:v>
      </x:c>
      <x:c r="G21" s="502">
        <x:v>303.54</x:v>
      </x:c>
      <x:c r="H21" s="490">
        <x:v>41.58</x:v>
      </x:c>
      <x:c r="I21" s="467">
        <x:v>45581</x:v>
      </x:c>
      <x:c r="J21" s="433">
        <x:f>+E21-F21</x:f>
      </x:c>
      <x:c r="K21" s="468">
        <x:f>+I21-D21</x:f>
      </x:c>
      <x:c r="L21" s="469">
        <x:v>0.03</x:v>
      </x:c>
      <x:c r="M21" s="433">
        <x:f>+J21*L21</x:f>
      </x:c>
      <x:c r="N21" s="470"/>
    </x:row>
    <x:row r="22" spans="1:30" ht="15" customHeight="1" s="432" customFormat="1" x14ac:dyDescent="0.25">
      <x:c r="A22" s="486" t="s">
        <x:v>36</x:v>
      </x:c>
      <x:c r="B22" s="570" t="s">
        <x:v>533</x:v>
      </x:c>
      <x:c r="C22" s="488" t="s">
        <x:v>534</x:v>
      </x:c>
      <x:c r="D22" s="489">
        <x:v>45526</x:v>
      </x:c>
      <x:c r="E22" s="490">
        <x:v>174</x:v>
      </x:c>
      <x:c r="F22" s="490">
        <x:v>43.5</x:v>
      </x:c>
      <x:c r="G22" s="502">
        <x:f>150.08-1.31-5.87</x:f>
      </x:c>
      <x:c r="H22" s="490">
        <x:v>19.58</x:v>
      </x:c>
      <x:c r="I22" s="467">
        <x:v>45565</x:v>
      </x:c>
      <x:c r="J22" s="433">
        <x:f>+E22-F22</x:f>
      </x:c>
      <x:c r="K22" s="468">
        <x:f>+I22-D22</x:f>
      </x:c>
      <x:c r="L22" s="469">
        <x:v>0.03</x:v>
      </x:c>
      <x:c r="M22" s="433">
        <x:f>+J22*L22</x:f>
      </x:c>
      <x:c r="N22" s="470"/>
    </x:row>
    <x:row r="23" spans="1:30" ht="15" customHeight="1" s="432" customFormat="1" x14ac:dyDescent="0.3">
      <x:c r="A23" s="558"/>
      <x:c r="B23" s="559"/>
      <x:c r="C23" s="560"/>
      <x:c r="D23" s="561"/>
      <x:c r="E23" s="562"/>
      <x:c r="F23" s="562"/>
      <x:c r="G23" s="491"/>
      <x:c r="H23" s="490"/>
      <x:c r="I23" s="492"/>
      <x:c r="J23" s="433"/>
      <x:c r="K23" s="468"/>
      <x:c r="L23" s="469"/>
      <x:c r="M23" s="563"/>
      <x:c r="N23" s="470"/>
    </x:row>
    <x:row r="24" spans="1:30" ht="15" customHeight="1" x14ac:dyDescent="0.35">
      <x:c r="A24" s="493" t="s">
        <x:v>43</x:v>
      </x:c>
      <x:c r="B24" s="493"/>
      <x:c r="C24" s="493"/>
      <x:c r="D24" s="493"/>
      <x:c r="E24" s="493"/>
      <x:c r="F24" s="493"/>
      <x:c r="G24" s="494">
        <x:f>SUM(G16:G23)</x:f>
      </x:c>
      <x:c r="J24" s="494">
        <x:f>SUM(J16:J23)</x:f>
      </x:c>
      <x:c r="L24" s="495"/>
      <x:c r="M24" s="496">
        <x:f>SUM(M16:M23)</x:f>
      </x:c>
    </x:row>
    <x:row r="25" spans="1:30" ht="15" customHeight="1" x14ac:dyDescent="0.25">
      <x:c r="A25" s="497"/>
      <x:c r="B25" s="497"/>
      <x:c r="C25" s="497"/>
      <x:c r="D25" s="498"/>
      <x:c r="E25" s="497"/>
      <x:c r="F25" s="497"/>
      <x:c r="G25" s="435"/>
      <x:c r="J25" s="435"/>
      <x:c r="M25" s="435"/>
    </x:row>
    <x:row r="26" spans="1:30" ht="15" customHeight="1" x14ac:dyDescent="0.3">
      <x:c r="A26" s="499"/>
      <x:c r="B26" s="497"/>
      <x:c r="C26" s="497"/>
      <x:c r="D26" s="498"/>
      <x:c r="E26" s="497"/>
      <x:c r="F26" s="497"/>
      <x:c r="G26" s="435"/>
      <x:c r="J26" s="435"/>
      <x:c r="M26" s="435"/>
    </x:row>
    <x:row r="27" spans="1:30" ht="15" customHeight="1" x14ac:dyDescent="0.25">
      <x:c r="A27" s="497"/>
      <x:c r="B27" s="497"/>
      <x:c r="C27" s="497"/>
      <x:c r="D27" s="498"/>
      <x:c r="E27" s="497"/>
      <x:c r="F27" s="497"/>
      <x:c r="G27" s="435"/>
      <x:c r="I27" s="500"/>
    </x:row>
    <x:row r="28" spans="1:30" ht="15" customHeight="1" x14ac:dyDescent="0.25">
      <x:c r="A28" s="436" t="s">
        <x:v>44</x:v>
      </x:c>
      <x:c r="B28" s="436"/>
      <x:c r="C28" s="436"/>
      <x:c r="D28" s="436"/>
      <x:c r="E28" s="436"/>
      <x:c r="F28" s="436"/>
      <x:c r="G28" s="437"/>
      <x:c r="H28" s="437"/>
      <x:c r="I28" s="439"/>
      <x:c r="J28" s="440"/>
      <x:c r="K28" s="441"/>
      <x:c r="L28" s="442"/>
      <x:c r="M28" s="443"/>
    </x:row>
    <x:row r="29" spans="1:30" ht="15" customHeight="1" x14ac:dyDescent="0.25">
      <x:c r="A29" s="436" t="s">
        <x:v>1</x:v>
      </x:c>
      <x:c r="B29" s="436"/>
      <x:c r="C29" s="436"/>
      <x:c r="D29" s="436"/>
      <x:c r="E29" s="436"/>
      <x:c r="F29" s="436"/>
      <x:c r="G29" s="437"/>
      <x:c r="H29" s="438"/>
      <x:c r="I29" s="439"/>
      <x:c r="J29" s="441"/>
      <x:c r="K29" s="441"/>
      <x:c r="L29" s="442"/>
      <x:c r="M29" s="443"/>
    </x:row>
    <x:row r="30" spans="1:30" ht="15" customHeight="1" x14ac:dyDescent="0.25">
      <x:c r="A30" s="436"/>
      <x:c r="B30" s="444" t="s">
        <x:v>521</x:v>
      </x:c>
      <x:c r="C30" s="436"/>
      <x:c r="D30" s="445"/>
      <x:c r="E30" s="436"/>
      <x:c r="F30" s="436"/>
      <x:c r="G30" s="437"/>
      <x:c r="H30" s="438"/>
      <x:c r="I30" s="439"/>
      <x:c r="J30" s="441"/>
      <x:c r="K30" s="441"/>
      <x:c r="L30" s="442"/>
      <x:c r="M30" s="443"/>
    </x:row>
    <x:row r="31" spans="1:30" ht="15" customHeight="1" x14ac:dyDescent="0.3">
      <x:c r="A31" s="436"/>
      <x:c r="B31" s="444" t="s">
        <x:v>45</x:v>
      </x:c>
      <x:c r="C31" s="436"/>
      <x:c r="D31" s="445"/>
      <x:c r="E31" s="436"/>
      <x:c r="F31" s="436"/>
      <x:c r="G31" s="443"/>
      <x:c r="H31" s="437"/>
      <x:c r="I31" s="446"/>
      <x:c r="J31" s="441"/>
      <x:c r="K31" s="441"/>
      <x:c r="L31" s="442"/>
      <x:c r="M31" s="443"/>
    </x:row>
    <x:row r="32" spans="1:30" ht="15" customHeight="1" x14ac:dyDescent="0.25">
      <x:c r="A32" s="447"/>
      <x:c r="B32" s="441"/>
      <x:c r="C32" s="441"/>
      <x:c r="D32" s="439"/>
      <x:c r="E32" s="441"/>
      <x:c r="F32" s="441"/>
      <x:c r="G32" s="448" t="s">
        <x:v>5</x:v>
      </x:c>
      <x:c r="H32" s="441"/>
      <x:c r="I32" s="439"/>
      <x:c r="J32" s="449" t="s">
        <x:v>6</x:v>
      </x:c>
      <x:c r="K32" s="450" t="s">
        <x:v>7</x:v>
      </x:c>
      <x:c r="L32" s="451" t="s">
        <x:v>8</x:v>
      </x:c>
      <x:c r="M32" s="449" t="s">
        <x:v>9</x:v>
      </x:c>
    </x:row>
    <x:row r="33" spans="1:30" ht="15" customHeight="1" x14ac:dyDescent="0.25">
      <x:c r="A33" s="452" t="s">
        <x:v>10</x:v>
      </x:c>
      <x:c r="B33" s="452" t="s">
        <x:v>11</x:v>
      </x:c>
      <x:c r="C33" s="452" t="s">
        <x:v>12</x:v>
      </x:c>
      <x:c r="D33" s="453" t="s">
        <x:v>13</x:v>
      </x:c>
      <x:c r="E33" s="452" t="s">
        <x:v>14</x:v>
      </x:c>
      <x:c r="F33" s="454" t="s">
        <x:v>15</x:v>
      </x:c>
      <x:c r="G33" s="501" t="s">
        <x:v>16</x:v>
      </x:c>
      <x:c r="H33" s="456" t="s">
        <x:v>17</x:v>
      </x:c>
      <x:c r="I33" s="457" t="s">
        <x:v>18</x:v>
      </x:c>
      <x:c r="J33" s="458" t="s">
        <x:v>19</x:v>
      </x:c>
      <x:c r="K33" s="459"/>
      <x:c r="L33" s="460" t="s">
        <x:v>20</x:v>
      </x:c>
      <x:c r="M33" s="458" t="s">
        <x:v>21</x:v>
      </x:c>
    </x:row>
    <x:row r="34" spans="1:30" ht="15" customHeight="1" x14ac:dyDescent="0.25">
      <x:c r="A34" s="461" t="s">
        <x:v>104</x:v>
      </x:c>
      <x:c r="B34" s="462" t="s">
        <x:v>105</x:v>
      </x:c>
      <x:c r="C34" s="463" t="s">
        <x:v>535</x:v>
      </x:c>
      <x:c r="D34" s="464">
        <x:v>45411</x:v>
      </x:c>
      <x:c r="E34" s="465">
        <x:v>345.48</x:v>
      </x:c>
      <x:c r="F34" s="465">
        <x:v>51.82</x:v>
      </x:c>
      <x:c r="G34" s="466">
        <x:v>321.55</x:v>
      </x:c>
      <x:c r="H34" s="465">
        <x:v>44.05</x:v>
      </x:c>
      <x:c r="I34" s="492">
        <x:v>45516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  <x:c r="O34" s="432"/>
    </x:row>
    <x:row r="35" spans="1:30" ht="18" customHeight="1" x14ac:dyDescent="0.25">
      <x:c r="A35" s="461" t="s">
        <x:v>49</x:v>
      </x:c>
      <x:c r="B35" s="462" t="s">
        <x:v>26</x:v>
      </x:c>
      <x:c r="C35" s="463" t="s">
        <x:v>536</x:v>
      </x:c>
      <x:c r="D35" s="464">
        <x:v>45420</x:v>
      </x:c>
      <x:c r="E35" s="465">
        <x:v>117</x:v>
      </x:c>
      <x:c r="F35" s="465">
        <x:v>17.55</x:v>
      </x:c>
      <x:c r="G35" s="466">
        <x:v>108.9</x:v>
      </x:c>
      <x:c r="H35" s="465">
        <x:v>14.92</x:v>
      </x:c>
      <x:c r="I35" s="467">
        <x:v>45527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  <x:c r="O35" s="432"/>
    </x:row>
    <x:row r="36" spans="1:30" ht="15" customHeight="1" x14ac:dyDescent="0.25">
      <x:c r="A36" s="461" t="s">
        <x:v>49</x:v>
      </x:c>
      <x:c r="B36" s="462" t="s">
        <x:v>26</x:v>
      </x:c>
      <x:c r="C36" s="463" t="s">
        <x:v>537</x:v>
      </x:c>
      <x:c r="D36" s="464">
        <x:v>45420</x:v>
      </x:c>
      <x:c r="E36" s="465">
        <x:v>10.8</x:v>
      </x:c>
      <x:c r="F36" s="465">
        <x:v>1.62</x:v>
      </x:c>
      <x:c r="G36" s="466">
        <x:v>10.06</x:v>
      </x:c>
      <x:c r="H36" s="465">
        <x:v>1.38</x:v>
      </x:c>
      <x:c r="I36" s="492">
        <x:v>45527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  <x:c r="O36" s="432"/>
    </x:row>
    <x:row r="37" spans="1:30" ht="15" customHeight="1" x14ac:dyDescent="0.25">
      <x:c r="A37" s="461" t="s">
        <x:v>49</x:v>
      </x:c>
      <x:c r="B37" s="462" t="s">
        <x:v>26</x:v>
      </x:c>
      <x:c r="C37" s="463" t="s">
        <x:v>538</x:v>
      </x:c>
      <x:c r="D37" s="464">
        <x:v>45421</x:v>
      </x:c>
      <x:c r="E37" s="465">
        <x:v>79.2</x:v>
      </x:c>
      <x:c r="F37" s="465">
        <x:v>11.88</x:v>
      </x:c>
      <x:c r="G37" s="466">
        <x:v>73.72</x:v>
      </x:c>
      <x:c r="H37" s="465">
        <x:v>10.1</x:v>
      </x:c>
      <x:c r="I37" s="492">
        <x:v>45527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  <x:c r="O37" s="432"/>
    </x:row>
    <x:row r="38" spans="1:30" ht="15" customHeight="1" x14ac:dyDescent="0.25">
      <x:c r="A38" s="461" t="s">
        <x:v>49</x:v>
      </x:c>
      <x:c r="B38" s="462" t="s">
        <x:v>26</x:v>
      </x:c>
      <x:c r="C38" s="463" t="s">
        <x:v>539</x:v>
      </x:c>
      <x:c r="D38" s="464">
        <x:v>45426</x:v>
      </x:c>
      <x:c r="E38" s="465">
        <x:v>117</x:v>
      </x:c>
      <x:c r="F38" s="465">
        <x:v>17.55</x:v>
      </x:c>
      <x:c r="G38" s="466">
        <x:v>108.9</x:v>
      </x:c>
      <x:c r="H38" s="465">
        <x:v>14.92</x:v>
      </x:c>
      <x:c r="I38" s="492">
        <x:v>45527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30" ht="15" customHeight="1" x14ac:dyDescent="0.25">
      <x:c r="A39" s="461" t="s">
        <x:v>49</x:v>
      </x:c>
      <x:c r="B39" s="462" t="s">
        <x:v>26</x:v>
      </x:c>
      <x:c r="C39" s="463" t="s">
        <x:v>540</x:v>
      </x:c>
      <x:c r="D39" s="464">
        <x:v>45426</x:v>
      </x:c>
      <x:c r="E39" s="465">
        <x:v>32.4</x:v>
      </x:c>
      <x:c r="F39" s="465">
        <x:v>4.86</x:v>
      </x:c>
      <x:c r="G39" s="466">
        <x:v>30.15</x:v>
      </x:c>
      <x:c r="H39" s="465">
        <x:v>4.13</x:v>
      </x:c>
      <x:c r="I39" s="492">
        <x:v>45527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30" ht="15" customHeight="1" x14ac:dyDescent="0.25">
      <x:c r="A40" s="461" t="s">
        <x:v>308</x:v>
      </x:c>
      <x:c r="B40" s="462" t="s">
        <x:v>309</x:v>
      </x:c>
      <x:c r="C40" s="463" t="s">
        <x:v>541</x:v>
      </x:c>
      <x:c r="D40" s="464">
        <x:v>45441</x:v>
      </x:c>
      <x:c r="E40" s="465">
        <x:v>170.88</x:v>
      </x:c>
      <x:c r="F40" s="465">
        <x:v>25.62</x:v>
      </x:c>
      <x:c r="G40" s="466">
        <x:v>167.05</x:v>
      </x:c>
      <x:c r="H40" s="465">
        <x:v>21.79</x:v>
      </x:c>
      <x:c r="I40" s="492">
        <x:v>45510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30" ht="15" customHeight="1" x14ac:dyDescent="0.25">
      <x:c r="A41" s="461" t="s">
        <x:v>332</x:v>
      </x:c>
      <x:c r="B41" s="462" t="s">
        <x:v>333</x:v>
      </x:c>
      <x:c r="C41" s="463" t="s">
        <x:v>414</x:v>
      </x:c>
      <x:c r="D41" s="464">
        <x:v>45441</x:v>
      </x:c>
      <x:c r="E41" s="465">
        <x:v>378</x:v>
      </x:c>
      <x:c r="F41" s="465">
        <x:v>75.6</x:v>
      </x:c>
      <x:c r="G41" s="466">
        <x:v>100</x:v>
      </x:c>
      <x:c r="H41" s="465">
        <x:v>45.36</x:v>
      </x:c>
      <x:c r="I41" s="492">
        <x:v>45512</x:v>
      </x:c>
      <x:c r="J41" s="433">
        <x:f>100/1.15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30" ht="15" customHeight="1" x14ac:dyDescent="0.25">
      <x:c r="A42" s="461" t="s">
        <x:v>542</x:v>
      </x:c>
      <x:c r="B42" s="462" t="s">
        <x:v>320</x:v>
      </x:c>
      <x:c r="C42" s="463" t="s">
        <x:v>543</x:v>
      </x:c>
      <x:c r="D42" s="464">
        <x:v>45442</x:v>
      </x:c>
      <x:c r="E42" s="465">
        <x:v>234.36</x:v>
      </x:c>
      <x:c r="F42" s="465">
        <x:v>35.15</x:v>
      </x:c>
      <x:c r="G42" s="466">
        <x:v>229.09</x:v>
      </x:c>
      <x:c r="H42" s="465">
        <x:v>29.88</x:v>
      </x:c>
      <x:c r="I42" s="467">
        <x:v>45524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30" ht="15" customHeight="1" x14ac:dyDescent="0.25">
      <x:c r="A43" s="461" t="s">
        <x:v>474</x:v>
      </x:c>
      <x:c r="B43" s="505" t="s">
        <x:v>60</x:v>
      </x:c>
      <x:c r="C43" s="463" t="s">
        <x:v>475</x:v>
      </x:c>
      <x:c r="D43" s="464">
        <x:v>45442</x:v>
      </x:c>
      <x:c r="E43" s="465">
        <x:v>1027.44</x:v>
      </x:c>
      <x:c r="F43" s="465">
        <x:v>205.49</x:v>
      </x:c>
      <x:c r="G43" s="466">
        <x:v>320</x:v>
      </x:c>
      <x:c r="H43" s="465">
        <x:v>0</x:v>
      </x:c>
      <x:c r="I43" s="467">
        <x:v>45527</x:v>
      </x:c>
      <x:c r="J43" s="433">
        <x:v>320</x:v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567" t="s">
        <x:v>109</x:v>
      </x:c>
      <x:c r="B44" s="505" t="s">
        <x:v>110</x:v>
      </x:c>
      <x:c r="C44" s="571" t="s">
        <x:v>544</x:v>
      </x:c>
      <x:c r="D44" s="568">
        <x:v>45442</x:v>
      </x:c>
      <x:c r="E44" s="569">
        <x:v>521.28</x:v>
      </x:c>
      <x:c r="F44" s="569">
        <x:v>78.2</x:v>
      </x:c>
      <x:c r="G44" s="466">
        <x:v>481.85</x:v>
      </x:c>
      <x:c r="H44" s="569">
        <x:v>66.46</x:v>
      </x:c>
      <x:c r="I44" s="467">
        <x:v>45534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30" ht="15" customHeight="1" x14ac:dyDescent="0.25">
      <x:c r="A45" s="461" t="s">
        <x:v>101</x:v>
      </x:c>
      <x:c r="B45" s="506" t="s">
        <x:v>26</x:v>
      </x:c>
      <x:c r="C45" s="463" t="s">
        <x:v>545</x:v>
      </x:c>
      <x:c r="D45" s="464">
        <x:v>45476</x:v>
      </x:c>
      <x:c r="E45" s="465">
        <x:v>184.8</x:v>
      </x:c>
      <x:c r="F45" s="465">
        <x:v>27.72</x:v>
      </x:c>
      <x:c r="G45" s="466">
        <x:v>172</x:v>
      </x:c>
      <x:c r="H45" s="465">
        <x:v>23.56</x:v>
      </x:c>
      <x:c r="I45" s="464">
        <x:v>45528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461" t="s">
        <x:v>101</x:v>
      </x:c>
      <x:c r="B46" s="506" t="s">
        <x:v>26</x:v>
      </x:c>
      <x:c r="C46" s="463" t="s">
        <x:v>546</x:v>
      </x:c>
      <x:c r="D46" s="464">
        <x:v>45481</x:v>
      </x:c>
      <x:c r="E46" s="465">
        <x:v>151.8</x:v>
      </x:c>
      <x:c r="F46" s="465">
        <x:v>22.77</x:v>
      </x:c>
      <x:c r="G46" s="466">
        <x:v>141.28</x:v>
      </x:c>
      <x:c r="H46" s="465">
        <x:v>19.35</x:v>
      </x:c>
      <x:c r="I46" s="464">
        <x:v>45528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461" t="s">
        <x:v>52</x:v>
      </x:c>
      <x:c r="B47" s="505" t="s">
        <x:v>53</x:v>
      </x:c>
      <x:c r="C47" s="463" t="s">
        <x:v>547</x:v>
      </x:c>
      <x:c r="D47" s="464">
        <x:v>45495</x:v>
      </x:c>
      <x:c r="E47" s="465">
        <x:v>748.2</x:v>
      </x:c>
      <x:c r="F47" s="465">
        <x:v>187.05</x:v>
      </x:c>
      <x:c r="G47" s="466">
        <x:v>645.32</x:v>
      </x:c>
      <x:c r="H47" s="465">
        <x:v>84.17</x:v>
      </x:c>
      <x:c r="I47" s="464">
        <x:v>45531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x14ac:dyDescent="0.25">
      <x:c r="A48" s="461" t="s">
        <x:v>127</x:v>
      </x:c>
      <x:c r="B48" s="506" t="s">
        <x:v>26</x:v>
      </x:c>
      <x:c r="C48" s="463" t="s">
        <x:v>548</x:v>
      </x:c>
      <x:c r="D48" s="464">
        <x:v>45505</x:v>
      </x:c>
      <x:c r="E48" s="465">
        <x:v>306</x:v>
      </x:c>
      <x:c r="F48" s="465">
        <x:v>61.2</x:v>
      </x:c>
      <x:c r="G48" s="466">
        <x:v>268.05</x:v>
      </x:c>
      <x:c r="H48" s="465">
        <x:v>36.72</x:v>
      </x:c>
      <x:c r="I48" s="467">
        <x:v>45512</x:v>
      </x:c>
      <x:c r="J48" s="433">
        <x:f>+E48-F48</x:f>
      </x:c>
      <x:c r="K48" s="468">
        <x:f>+I48-D48</x:f>
      </x:c>
      <x:c r="L48" s="503">
        <x:v>0.035</x:v>
      </x:c>
      <x:c r="M48" s="504">
        <x:f>+J48*L48</x:f>
      </x:c>
      <x:c r="O48" s="432"/>
    </x:row>
    <x:row r="49" spans="1:30" ht="15" customHeight="1" x14ac:dyDescent="0.25">
      <x:c r="A49" s="461" t="s">
        <x:v>549</x:v>
      </x:c>
      <x:c r="B49" s="462" t="s">
        <x:v>60</x:v>
      </x:c>
      <x:c r="C49" s="463" t="s">
        <x:v>550</x:v>
      </x:c>
      <x:c r="D49" s="464">
        <x:v>45509</x:v>
      </x:c>
      <x:c r="E49" s="465">
        <x:v>1110</x:v>
      </x:c>
      <x:c r="F49" s="465">
        <x:v>277.5</x:v>
      </x:c>
      <x:c r="G49" s="466">
        <x:v>957.38</x:v>
      </x:c>
      <x:c r="H49" s="465">
        <x:v>124.88</x:v>
      </x:c>
      <x:c r="I49" s="467">
        <x:v>45530</x:v>
      </x:c>
      <x:c r="J49" s="433">
        <x:f>+E49-F49</x:f>
      </x:c>
      <x:c r="K49" s="468">
        <x:f>+I49-D49</x:f>
      </x:c>
      <x:c r="L49" s="503">
        <x:v>0.035</x:v>
      </x:c>
      <x:c r="M49" s="504">
        <x:f>+J49*L49</x:f>
      </x:c>
      <x:c r="O49" s="432"/>
    </x:row>
    <x:row r="50" spans="1:30" ht="15" customHeight="1" x14ac:dyDescent="0.25">
      <x:c r="A50" s="461" t="s">
        <x:v>75</x:v>
      </x:c>
      <x:c r="B50" s="505" t="s">
        <x:v>26</x:v>
      </x:c>
      <x:c r="C50" s="463" t="s">
        <x:v>551</x:v>
      </x:c>
      <x:c r="D50" s="464">
        <x:v>45510</x:v>
      </x:c>
      <x:c r="E50" s="465">
        <x:v>46.8</x:v>
      </x:c>
      <x:c r="F50" s="465">
        <x:v>7.02</x:v>
      </x:c>
      <x:c r="G50" s="466">
        <x:f>45.75</x:f>
      </x:c>
      <x:c r="H50" s="465">
        <x:v>5.97</x:v>
      </x:c>
      <x:c r="I50" s="467">
        <x:v>45525</x:v>
      </x:c>
      <x:c r="J50" s="433">
        <x:f>+E50-F50</x:f>
      </x:c>
      <x:c r="K50" s="468">
        <x:f>+I50-D50</x:f>
      </x:c>
      <x:c r="L50" s="503">
        <x:v>0.035</x:v>
      </x:c>
      <x:c r="M50" s="504">
        <x:f>+J50*L50</x:f>
      </x:c>
      <x:c r="O50" s="432"/>
    </x:row>
    <x:row r="51" spans="1:30" ht="15" customHeight="1" x14ac:dyDescent="0.25">
      <x:c r="A51" s="461" t="s">
        <x:v>552</x:v>
      </x:c>
      <x:c r="B51" s="462" t="s">
        <x:v>105</x:v>
      </x:c>
      <x:c r="C51" s="463" t="s">
        <x:v>553</x:v>
      </x:c>
      <x:c r="D51" s="464">
        <x:v>45523</x:v>
      </x:c>
      <x:c r="E51" s="465">
        <x:v>290.64</x:v>
      </x:c>
      <x:c r="F51" s="465">
        <x:v>29.07</x:v>
      </x:c>
      <x:c r="G51" s="466">
        <x:v>286.42</x:v>
      </x:c>
      <x:c r="H51" s="465">
        <x:v>39.24</x:v>
      </x:c>
      <x:c r="I51" s="467">
        <x:v>45531</x:v>
      </x:c>
      <x:c r="J51" s="433">
        <x:f>+E51-F51</x:f>
      </x:c>
      <x:c r="K51" s="468">
        <x:f>+I51-D51</x:f>
      </x:c>
      <x:c r="L51" s="503">
        <x:v>0.035</x:v>
      </x:c>
      <x:c r="M51" s="504">
        <x:f>+J51*L51</x:f>
      </x:c>
      <x:c r="O51" s="432"/>
    </x:row>
    <x:row r="52" spans="1:30" ht="15" customHeight="1" x14ac:dyDescent="0.25">
      <x:c r="A52" s="461" t="s">
        <x:v>127</x:v>
      </x:c>
      <x:c r="B52" s="506" t="s">
        <x:v>26</x:v>
      </x:c>
      <x:c r="C52" s="463" t="s">
        <x:v>554</x:v>
      </x:c>
      <x:c r="D52" s="464">
        <x:v>45525</x:v>
      </x:c>
      <x:c r="E52" s="465">
        <x:v>115.2</x:v>
      </x:c>
      <x:c r="F52" s="465">
        <x:v>17.28</x:v>
      </x:c>
      <x:c r="G52" s="466">
        <x:v>107.22</x:v>
      </x:c>
      <x:c r="H52" s="465">
        <x:v>14.69</x:v>
      </x:c>
      <x:c r="I52" s="467">
        <x:v>45534</x:v>
      </x:c>
      <x:c r="J52" s="433">
        <x:f>+E52-F52</x:f>
      </x:c>
      <x:c r="K52" s="468">
        <x:f>+I52-D52</x:f>
      </x:c>
      <x:c r="L52" s="503">
        <x:v>0.035</x:v>
      </x:c>
      <x:c r="M52" s="504">
        <x:f>+J52*L52</x:f>
      </x:c>
      <x:c r="O52" s="432"/>
    </x:row>
    <x:row r="53" spans="1:30" ht="15" customHeight="1" x14ac:dyDescent="0.25">
      <x:c r="A53" s="549"/>
      <x:c r="B53" s="543"/>
      <x:c r="C53" s="525"/>
      <x:c r="D53" s="526"/>
      <x:c r="E53" s="527"/>
      <x:c r="F53" s="527"/>
      <x:c r="G53" s="528"/>
      <x:c r="H53" s="527"/>
      <x:c r="I53" s="529"/>
      <x:c r="J53" s="433"/>
      <x:c r="K53" s="468"/>
      <x:c r="L53" s="503"/>
      <x:c r="M53" s="504"/>
      <x:c r="O53" s="432"/>
    </x:row>
    <x:row r="54" spans="1:30" ht="15" customHeight="1" x14ac:dyDescent="0.3">
      <x:c r="G54" s="516">
        <x:f>SUM(G34:G53)</x:f>
      </x:c>
      <x:c r="J54" s="516">
        <x:f>SUM(J34:J53)</x:f>
      </x:c>
      <x:c r="M54" s="516">
        <x:f>SUM(M34:M53)</x:f>
      </x:c>
    </x:row>
    <x:row r="55" spans="1:30" ht="15" customHeight="1" x14ac:dyDescent="0.25">
      <x:c r="G55" s="435"/>
      <x:c r="H55" s="435"/>
    </x:row>
    <x:row r="56" spans="1:30" ht="15" customHeight="1" x14ac:dyDescent="0.25">
      <x:c r="A56" s="517" t="s">
        <x:v>30</x:v>
      </x:c>
      <x:c r="B56" s="517" t="s">
        <x:v>31</x:v>
      </x:c>
      <x:c r="C56" s="518" t="s">
        <x:v>32</x:v>
      </x:c>
      <x:c r="I56" s="435"/>
      <x:c r="J56" s="435"/>
    </x:row>
    <x:row r="57" spans="1:30" ht="15" customHeight="1" s="434" customFormat="1" x14ac:dyDescent="0.25">
      <x:c r="A57" s="486" t="s">
        <x:v>477</x:v>
      </x:c>
      <x:c r="B57" s="487" t="s">
        <x:v>555</x:v>
      </x:c>
      <x:c r="C57" s="488" t="s">
        <x:v>556</x:v>
      </x:c>
      <x:c r="D57" s="489">
        <x:v>45492</x:v>
      </x:c>
      <x:c r="E57" s="490">
        <x:v>551.4</x:v>
      </x:c>
      <x:c r="F57" s="490">
        <x:v>93.75</x:v>
      </x:c>
      <x:c r="G57" s="491">
        <x:f>526.3-4.58-20.6</x:f>
      </x:c>
      <x:c r="H57" s="490">
        <x:v>68.65</x:v>
      </x:c>
      <x:c r="I57" s="489">
        <x:v>45555</x:v>
      </x:c>
      <x:c r="J57" s="433">
        <x:f>+E57-F57</x:f>
      </x:c>
      <x:c r="K57" s="468">
        <x:f>+I57-D57</x:f>
      </x:c>
      <x:c r="L57" s="469">
        <x:v>0.03</x:v>
      </x:c>
      <x:c r="M57" s="433">
        <x:f>+J57*L57</x:f>
      </x:c>
      <x:c r="N57" s="470"/>
      <x:c r="O57" s="432"/>
    </x:row>
    <x:row r="58" spans="1:30" ht="15" customHeight="1" s="434" customFormat="1" x14ac:dyDescent="0.25">
      <x:c r="A58" s="486" t="s">
        <x:v>67</x:v>
      </x:c>
      <x:c r="B58" s="487" t="s">
        <x:v>557</x:v>
      </x:c>
      <x:c r="C58" s="488" t="s">
        <x:v>558</x:v>
      </x:c>
      <x:c r="D58" s="489">
        <x:v>45509</x:v>
      </x:c>
      <x:c r="E58" s="490">
        <x:v>92.28</x:v>
      </x:c>
      <x:c r="F58" s="490">
        <x:v>13.84</x:v>
      </x:c>
      <x:c r="G58" s="502">
        <x:f>90.21</x:f>
      </x:c>
      <x:c r="H58" s="490">
        <x:v>11.77</x:v>
      </x:c>
      <x:c r="I58" s="467">
        <x:v>45540</x:v>
      </x:c>
      <x:c r="J58" s="433">
        <x:f>+E58-F58</x:f>
      </x:c>
      <x:c r="K58" s="468">
        <x:f>+I58-D58</x:f>
      </x:c>
      <x:c r="L58" s="469">
        <x:v>0.03</x:v>
      </x:c>
      <x:c r="M58" s="433">
        <x:f>+J58*L58</x:f>
      </x:c>
      <x:c r="N58" s="470"/>
      <x:c r="O58" s="432"/>
    </x:row>
    <x:row r="59" spans="1:30" ht="15" customHeight="1" s="434" customFormat="1" x14ac:dyDescent="0.25">
      <x:c r="A59" s="486" t="s">
        <x:v>101</x:v>
      </x:c>
      <x:c r="B59" s="487" t="s">
        <x:v>559</x:v>
      </x:c>
      <x:c r="C59" s="488" t="s">
        <x:v>560</x:v>
      </x:c>
      <x:c r="D59" s="489">
        <x:v>45511</x:v>
      </x:c>
      <x:c r="E59" s="490">
        <x:v>81.6</x:v>
      </x:c>
      <x:c r="F59" s="490">
        <x:v>12.24</x:v>
      </x:c>
      <x:c r="G59" s="502">
        <x:v>75.95</x:v>
      </x:c>
      <x:c r="H59" s="490">
        <x:v>10.4</x:v>
      </x:c>
      <x:c r="I59" s="467">
        <x:v>45550</x:v>
      </x:c>
      <x:c r="J59" s="433">
        <x:f>+E59-F59</x:f>
      </x:c>
      <x:c r="K59" s="468">
        <x:f>+I59-D59</x:f>
      </x:c>
      <x:c r="L59" s="469">
        <x:v>0.03</x:v>
      </x:c>
      <x:c r="M59" s="433">
        <x:f>+J59*L59</x:f>
      </x:c>
      <x:c r="N59" s="470"/>
      <x:c r="O59" s="432"/>
    </x:row>
    <x:row r="60" spans="1:30" ht="15" customHeight="1" s="434" customFormat="1" x14ac:dyDescent="0.25">
      <x:c r="A60" s="486" t="s">
        <x:v>67</x:v>
      </x:c>
      <x:c r="B60" s="487" t="s">
        <x:v>561</x:v>
      </x:c>
      <x:c r="C60" s="488" t="s">
        <x:v>562</x:v>
      </x:c>
      <x:c r="D60" s="489">
        <x:v>45516</x:v>
      </x:c>
      <x:c r="E60" s="490">
        <x:v>70.2</x:v>
      </x:c>
      <x:c r="F60" s="490">
        <x:v>10.53</x:v>
      </x:c>
      <x:c r="G60" s="502">
        <x:v>68.62</x:v>
      </x:c>
      <x:c r="H60" s="490">
        <x:v>8.95</x:v>
      </x:c>
      <x:c r="I60" s="467">
        <x:v>45547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  <x:c r="N60" s="470"/>
      <x:c r="O60" s="432"/>
    </x:row>
    <x:row r="61" spans="1:30" ht="15" customHeight="1" s="434" customFormat="1" x14ac:dyDescent="0.25">
      <x:c r="A61" s="486" t="s">
        <x:v>101</x:v>
      </x:c>
      <x:c r="B61" s="487" t="s">
        <x:v>559</x:v>
      </x:c>
      <x:c r="C61" s="488" t="s">
        <x:v>563</x:v>
      </x:c>
      <x:c r="D61" s="489">
        <x:v>45518</x:v>
      </x:c>
      <x:c r="E61" s="490">
        <x:v>102</x:v>
      </x:c>
      <x:c r="F61" s="490">
        <x:v>15.3</x:v>
      </x:c>
      <x:c r="G61" s="502">
        <x:v>94.94</x:v>
      </x:c>
      <x:c r="H61" s="490">
        <x:v>13.01</x:v>
      </x:c>
      <x:c r="I61" s="467">
        <x:v>45550</x:v>
      </x:c>
      <x:c r="J61" s="433">
        <x:f>+E61-F61</x:f>
      </x:c>
      <x:c r="K61" s="468">
        <x:f>+I61-D61</x:f>
      </x:c>
      <x:c r="L61" s="469">
        <x:v>0.03</x:v>
      </x:c>
      <x:c r="M61" s="433">
        <x:f>+J61*L61</x:f>
      </x:c>
      <x:c r="N61" s="470"/>
      <x:c r="O61" s="432"/>
    </x:row>
    <x:row r="62" spans="1:30" ht="15" customHeight="1" s="432" customFormat="1" x14ac:dyDescent="0.3">
      <x:c r="A62" s="558"/>
      <x:c r="B62" s="559"/>
      <x:c r="C62" s="560"/>
      <x:c r="D62" s="561"/>
      <x:c r="E62" s="562"/>
      <x:c r="F62" s="562"/>
      <x:c r="G62" s="491"/>
      <x:c r="H62" s="490"/>
      <x:c r="I62" s="492"/>
      <x:c r="J62" s="433"/>
      <x:c r="K62" s="468"/>
      <x:c r="L62" s="469"/>
      <x:c r="M62" s="563"/>
      <x:c r="N62" s="470"/>
    </x:row>
    <x:row r="63" spans="1:30" ht="15" customHeight="1" x14ac:dyDescent="0.35">
      <x:c r="A63" s="493" t="s">
        <x:v>43</x:v>
      </x:c>
      <x:c r="B63" s="493"/>
      <x:c r="C63" s="493"/>
      <x:c r="D63" s="493"/>
      <x:c r="E63" s="493"/>
      <x:c r="F63" s="493"/>
      <x:c r="G63" s="516">
        <x:f>SUM(G54:G62)</x:f>
      </x:c>
      <x:c r="J63" s="516">
        <x:f>SUM(J54:J62)</x:f>
      </x:c>
      <x:c r="L63" s="495"/>
      <x:c r="M63" s="564">
        <x:f>SUM(M54:M62)</x:f>
      </x:c>
    </x:row>
    <x:row r="64" spans="1:30" ht="15" customHeight="1" x14ac:dyDescent="0.3">
      <x:c r="A64" s="520"/>
      <x:c r="G64" s="435"/>
    </x:row>
    <x:row r="65" spans="1:30" ht="15" customHeight="1" x14ac:dyDescent="0.3">
      <x:c r="A65" s="499"/>
      <x:c r="G65" s="435"/>
      <x:c r="J65" s="435"/>
    </x:row>
    <x:row r="66" spans="1:30" ht="15" customHeight="1" x14ac:dyDescent="0.3">
      <x:c r="A66" s="499"/>
      <x:c r="G66" s="435"/>
      <x:c r="J66" s="435"/>
    </x:row>
    <x:row r="67" spans="1:30" ht="15" customHeight="1" x14ac:dyDescent="0.3">
      <x:c r="A67" s="499"/>
      <x:c r="G67" s="435"/>
      <x:c r="J67" s="435"/>
    </x:row>
    <x:row r="68" spans="1:30" ht="15" customHeight="1" x14ac:dyDescent="0.3">
      <x:c r="A68" s="499"/>
      <x:c r="G68" s="435"/>
      <x:c r="J68" s="435"/>
    </x:row>
    <x:row r="69" spans="1:30" ht="15" customHeight="1" x14ac:dyDescent="0.3">
      <x:c r="A69" s="499"/>
      <x:c r="G69" s="435"/>
      <x:c r="J69" s="435"/>
    </x:row>
    <x:row r="70" spans="1:30" ht="15" customHeight="1" x14ac:dyDescent="0.3">
      <x:c r="A70" s="499"/>
      <x:c r="G70" s="435"/>
      <x:c r="J70" s="435">
        <x:f>(J24+J63)*2%</x:f>
      </x:c>
      <x:c r="M70" s="435">
        <x:f>M24/12</x:f>
      </x:c>
      <x:c r="N70" s="431" t="s">
        <x:v>237</x:v>
      </x:c>
    </x:row>
    <x:row r="71" spans="1:30" ht="15" customHeight="1" x14ac:dyDescent="0.3">
      <x:c r="A71" s="499"/>
      <x:c r="G71" s="435"/>
      <x:c r="J71" s="565">
        <x:f>J70/12</x:f>
      </x:c>
      <x:c r="M71" s="435">
        <x:f>M24/24</x:f>
      </x:c>
      <x:c r="N71" s="431" t="s">
        <x:v>237</x:v>
      </x:c>
    </x:row>
    <x:row r="72" spans="1:30" ht="15" customHeight="1" x14ac:dyDescent="0.3">
      <x:c r="A72" s="499"/>
      <x:c r="G72" s="435"/>
      <x:c r="J72" s="565">
        <x:f>J70/24</x:f>
      </x:c>
      <x:c r="M72" s="435">
        <x:f>M63/12</x:f>
      </x:c>
      <x:c r="N72" s="431" t="s">
        <x:v>238</x:v>
      </x:c>
      <x:c r="O72" s="435"/>
    </x:row>
    <x:row r="73" spans="1:30" ht="15" customHeight="1" x14ac:dyDescent="0.3">
      <x:c r="A73" s="499"/>
      <x:c r="G73" s="435"/>
      <x:c r="J73" s="435"/>
      <x:c r="M73" s="435">
        <x:f>M63/24</x:f>
      </x:c>
      <x:c r="N73" s="431" t="s">
        <x:v>238</x:v>
      </x:c>
      <x:c r="O73" s="435"/>
    </x:row>
    <x:row r="74" spans="1:30" ht="15" customHeight="1" x14ac:dyDescent="0.3">
      <x:c r="A74" s="499"/>
      <x:c r="G74" s="435"/>
      <x:c r="J74" s="435"/>
      <x:c r="M74" s="435"/>
    </x:row>
    <x:row r="75" spans="1:30" ht="15" customHeight="1" x14ac:dyDescent="0.3">
      <x:c r="A75" s="499"/>
      <x:c r="G75" s="435"/>
      <x:c r="J75" s="435"/>
      <x:c r="M75" s="435">
        <x:f>M70+M72</x:f>
      </x:c>
      <x:c r="N75" s="566" t="s">
        <x:v>435</x:v>
      </x:c>
    </x:row>
    <x:row r="76" spans="1:30" ht="15" customHeight="1" x14ac:dyDescent="0.3">
      <x:c r="A76" s="499"/>
      <x:c r="G76" s="435"/>
      <x:c r="J76" s="435"/>
      <x:c r="M76" s="435">
        <x:f>M71+M73</x:f>
      </x:c>
      <x:c r="N76" s="566" t="s">
        <x:v>436</x:v>
      </x:c>
    </x:row>
    <x:row r="77" spans="1:30" ht="15" customHeight="1" x14ac:dyDescent="0.3">
      <x:c r="A77" s="499"/>
      <x:c r="G77" s="435"/>
      <x:c r="J77" s="435"/>
    </x:row>
    <x:row r="78" spans="1:30" ht="15" customHeight="1" x14ac:dyDescent="0.3">
      <x:c r="A78" s="499"/>
      <x:c r="G78" s="435"/>
      <x:c r="J78" s="435"/>
    </x:row>
    <x:row r="79" spans="1:30" ht="15" customHeight="1" x14ac:dyDescent="0.3">
      <x:c r="A79" s="499"/>
      <x:c r="G79" s="435"/>
      <x:c r="J79" s="435"/>
    </x:row>
    <x:row r="80" spans="1:30" ht="15" customHeight="1" x14ac:dyDescent="0.3">
      <x:c r="A80" s="520"/>
      <x:c r="K80" s="515"/>
    </x:row>
  </x:sheetData>
  <x:sortState xmlns:xlrd2="http://schemas.microsoft.com/office/spreadsheetml/2017/richdata2" ref="A34:AD52">
    <x:sortCondition ref="D34:D52"/>
  </x:sortState>
  <x:mergeCells count="7">
    <x:mergeCell ref="A2:F2"/>
    <x:mergeCell ref="A3:F3"/>
    <x:mergeCell ref="A16:F16"/>
    <x:mergeCell ref="A24:F24"/>
    <x:mergeCell ref="A28:F28"/>
    <x:mergeCell ref="A29:F29"/>
    <x:mergeCell ref="A63:F63"/>
  </x:mergeCells>
  <x:printOptions horizontalCentered="0" verticalCentered="0" headings="0" gridLines="0"/>
  <x:pageMargins left="0.1968503937007874" right="0" top="0.3937007874015748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AD113"/>
  <x:sheetViews>
    <x:sheetView topLeftCell="A10" workbookViewId="0">
      <x:selection activeCell="J10" sqref="J10"/>
    </x:sheetView>
  </x:sheetViews>
  <x:sheetFormatPr baseColWidth="10" defaultColWidth="11.441406" defaultRowHeight="13.2" x14ac:dyDescent="0.25"/>
  <x:cols>
    <x:col min="1" max="1" width="41.664062" style="429" customWidth="1"/>
    <x:col min="2" max="2" width="35.109375" style="429" customWidth="1"/>
    <x:col min="3" max="3" width="11" style="429" customWidth="1"/>
    <x:col min="4" max="4" width="12" style="430" customWidth="1"/>
    <x:col min="5" max="5" width="11.441406" style="429" customWidth="1"/>
    <x:col min="6" max="6" width="11" style="429" customWidth="1"/>
    <x:col min="7" max="7" width="12.554688" style="429" customWidth="1"/>
    <x:col min="8" max="8" width="10.109375" style="429" customWidth="1"/>
    <x:col min="9" max="9" width="13.664062" style="430" customWidth="1"/>
    <x:col min="10" max="10" width="12.554688" style="429" customWidth="1"/>
    <x:col min="11" max="11" width="6.109375" style="429" customWidth="1"/>
    <x:col min="12" max="12" width="6.441406" style="429" customWidth="1"/>
    <x:col min="13" max="13" width="10.332031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564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433" customFormat="1" x14ac:dyDescent="0.25">
      <x:c r="A8" s="461" t="s">
        <x:v>565</x:v>
      </x:c>
      <x:c r="B8" s="462" t="s">
        <x:v>80</x:v>
      </x:c>
      <x:c r="C8" s="463" t="s">
        <x:v>566</x:v>
      </x:c>
      <x:c r="D8" s="464">
        <x:v>45425</x:v>
      </x:c>
      <x:c r="E8" s="465">
        <x:v>324</x:v>
      </x:c>
      <x:c r="F8" s="465">
        <x:v>97.2</x:v>
      </x:c>
      <x:c r="G8" s="466">
        <x:v>248.34</x:v>
      </x:c>
      <x:c r="H8" s="465">
        <x:v>34.02</x:v>
      </x:c>
      <x:c r="I8" s="492">
        <x:v>45562</x:v>
      </x:c>
      <x:c r="J8" s="433">
        <x:f>+E8-F8</x:f>
      </x:c>
      <x:c r="K8" s="468">
        <x:f>+I8-D8</x:f>
      </x:c>
      <x:c r="L8" s="469">
        <x:v>0.03</x:v>
      </x:c>
      <x:c r="M8" s="433">
        <x:f>+J8*L8</x:f>
      </x:c>
      <x:c r="N8" s="470"/>
      <x:c r="O8" s="432"/>
      <x:c r="P8" s="432"/>
      <x:c r="Q8" s="432"/>
      <x:c r="R8" s="432"/>
      <x:c r="S8" s="432"/>
      <x:c r="T8" s="432"/>
      <x:c r="U8" s="432"/>
      <x:c r="V8" s="432"/>
      <x:c r="W8" s="432"/>
      <x:c r="X8" s="432"/>
      <x:c r="Y8" s="432"/>
      <x:c r="Z8" s="432"/>
      <x:c r="AA8" s="432"/>
      <x:c r="AB8" s="432"/>
      <x:c r="AC8" s="432"/>
      <x:c r="AD8" s="432"/>
    </x:row>
    <x:row r="9" spans="1:30" ht="15" customHeight="1" s="433" customFormat="1" x14ac:dyDescent="0.25">
      <x:c r="A9" s="461" t="s">
        <x:v>33</x:v>
      </x:c>
      <x:c r="B9" s="462" t="s">
        <x:v>26</x:v>
      </x:c>
      <x:c r="C9" s="463" t="s">
        <x:v>567</x:v>
      </x:c>
      <x:c r="D9" s="464">
        <x:v>45441</x:v>
      </x:c>
      <x:c r="E9" s="465">
        <x:v>26.4</x:v>
      </x:c>
      <x:c r="F9" s="465">
        <x:v>3.96</x:v>
      </x:c>
      <x:c r="G9" s="466">
        <x:v>24.58</x:v>
      </x:c>
      <x:c r="H9" s="465">
        <x:v>3.37</x:v>
      </x:c>
      <x:c r="I9" s="467">
        <x:v>45539</x:v>
      </x:c>
      <x:c r="J9" s="433">
        <x:f>+E9-F9</x:f>
      </x:c>
      <x:c r="K9" s="468">
        <x:f>+I9-D9</x:f>
      </x:c>
      <x:c r="L9" s="469">
        <x:v>0.03</x:v>
      </x:c>
      <x:c r="M9" s="433">
        <x:f>+J9*L9</x:f>
      </x:c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3" customFormat="1" x14ac:dyDescent="0.25">
      <x:c r="A10" s="461" t="s">
        <x:v>22</x:v>
      </x:c>
      <x:c r="B10" s="462" t="s">
        <x:v>23</x:v>
      </x:c>
      <x:c r="C10" s="463" t="s">
        <x:v>526</x:v>
      </x:c>
      <x:c r="D10" s="464">
        <x:v>45446</x:v>
      </x:c>
      <x:c r="E10" s="465">
        <x:v>6974.4</x:v>
      </x:c>
      <x:c r="F10" s="465">
        <x:v>2092.32</x:v>
      </x:c>
      <x:c r="G10" s="466">
        <x:f>1500+844.83</x:f>
      </x:c>
      <x:c r="H10" s="465">
        <x:v>732.31</x:v>
      </x:c>
      <x:c r="I10" s="467">
        <x:v>45536</x:v>
      </x:c>
      <x:c r="J10" s="433">
        <x:f>(1500+844.83)/1.15</x:f>
      </x:c>
      <x:c r="K10" s="468">
        <x:f>+I10-D10</x:f>
      </x:c>
      <x:c r="L10" s="469">
        <x:v>0.03</x:v>
      </x:c>
      <x:c r="M10" s="433">
        <x:f>+J10*L10</x:f>
      </x:c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3" customFormat="1" x14ac:dyDescent="0.25">
      <x:c r="A11" s="461" t="s">
        <x:v>568</x:v>
      </x:c>
      <x:c r="B11" s="462" t="s">
        <x:v>80</x:v>
      </x:c>
      <x:c r="C11" s="463" t="s">
        <x:v>569</x:v>
      </x:c>
      <x:c r="D11" s="464">
        <x:v>45446</x:v>
      </x:c>
      <x:c r="E11" s="465">
        <x:v>1224.84</x:v>
      </x:c>
      <x:c r="F11" s="465">
        <x:v>367.45</x:v>
      </x:c>
      <x:c r="G11" s="466">
        <x:v>938.85</x:v>
      </x:c>
      <x:c r="H11" s="465">
        <x:v>128.61</x:v>
      </x:c>
      <x:c r="I11" s="492">
        <x:v>45562</x:v>
      </x:c>
      <x:c r="J11" s="433">
        <x:f>+E11-F11</x:f>
      </x:c>
      <x:c r="K11" s="468">
        <x:f>+I11-D11</x:f>
      </x:c>
      <x:c r="L11" s="469">
        <x:v>0.03</x:v>
      </x:c>
      <x:c r="M11" s="433">
        <x:f>+J11*L11</x:f>
      </x:c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3" customFormat="1" x14ac:dyDescent="0.25">
      <x:c r="A12" s="461" t="s">
        <x:v>568</x:v>
      </x:c>
      <x:c r="B12" s="462" t="s">
        <x:v>80</x:v>
      </x:c>
      <x:c r="C12" s="463" t="s">
        <x:v>570</x:v>
      </x:c>
      <x:c r="D12" s="464">
        <x:v>45446</x:v>
      </x:c>
      <x:c r="E12" s="465">
        <x:v>460.8</x:v>
      </x:c>
      <x:c r="F12" s="465">
        <x:v>138.24</x:v>
      </x:c>
      <x:c r="G12" s="466">
        <x:v>353.2</x:v>
      </x:c>
      <x:c r="H12" s="465">
        <x:v>48.38</x:v>
      </x:c>
      <x:c r="I12" s="492">
        <x:v>45562</x:v>
      </x:c>
      <x:c r="J12" s="433">
        <x:f>+E12-F12</x:f>
      </x:c>
      <x:c r="K12" s="468">
        <x:f>+I12-D12</x:f>
      </x:c>
      <x:c r="L12" s="469">
        <x:v>0.03</x:v>
      </x:c>
      <x:c r="M12" s="433">
        <x:f>+J12*L12</x:f>
      </x:c>
      <x:c r="N12" s="470"/>
      <x:c r="O12" s="432"/>
      <x:c r="P12" s="432"/>
      <x:c r="Q12" s="432"/>
      <x:c r="R12" s="432"/>
      <x:c r="S12" s="432"/>
      <x:c r="T12" s="432"/>
      <x:c r="U12" s="432"/>
      <x:c r="V12" s="432"/>
      <x:c r="W12" s="432"/>
      <x:c r="X12" s="432"/>
      <x:c r="Y12" s="432"/>
      <x:c r="Z12" s="432"/>
      <x:c r="AA12" s="432"/>
      <x:c r="AB12" s="432"/>
      <x:c r="AC12" s="432"/>
      <x:c r="AD12" s="432"/>
    </x:row>
    <x:row r="13" spans="1:30" ht="15" customHeight="1" s="433" customFormat="1" x14ac:dyDescent="0.25">
      <x:c r="A13" s="461" t="s">
        <x:v>571</x:v>
      </x:c>
      <x:c r="B13" s="506" t="s">
        <x:v>23</x:v>
      </x:c>
      <x:c r="C13" s="463" t="s">
        <x:v>572</x:v>
      </x:c>
      <x:c r="D13" s="464">
        <x:v>45450</x:v>
      </x:c>
      <x:c r="E13" s="465">
        <x:v>694.44</x:v>
      </x:c>
      <x:c r="F13" s="465">
        <x:v>138.88</x:v>
      </x:c>
      <x:c r="G13" s="466">
        <x:v>608.33</x:v>
      </x:c>
      <x:c r="H13" s="465">
        <x:v>83.33</x:v>
      </x:c>
      <x:c r="I13" s="467">
        <x:v>45555</x:v>
      </x:c>
      <x:c r="J13" s="433">
        <x:f>+E13-F13</x:f>
      </x:c>
      <x:c r="K13" s="468">
        <x:f>+I13-D13</x:f>
      </x:c>
      <x:c r="L13" s="469">
        <x:v>0.03</x:v>
      </x:c>
      <x:c r="M13" s="433">
        <x:f>+J13*L13</x:f>
      </x:c>
      <x:c r="N13" s="470"/>
      <x:c r="O13" s="432"/>
      <x:c r="P13" s="432"/>
      <x:c r="Q13" s="432"/>
      <x:c r="R13" s="432"/>
      <x:c r="S13" s="432"/>
      <x:c r="T13" s="432"/>
      <x:c r="U13" s="432"/>
      <x:c r="V13" s="432"/>
      <x:c r="W13" s="432"/>
      <x:c r="X13" s="432"/>
      <x:c r="Y13" s="432"/>
      <x:c r="Z13" s="432"/>
      <x:c r="AA13" s="432"/>
      <x:c r="AB13" s="432"/>
      <x:c r="AC13" s="432"/>
      <x:c r="AD13" s="432"/>
    </x:row>
    <x:row r="14" spans="1:30" ht="15" customHeight="1" s="433" customFormat="1" x14ac:dyDescent="0.25">
      <x:c r="A14" s="461" t="s">
        <x:v>33</x:v>
      </x:c>
      <x:c r="B14" s="506" t="s">
        <x:v>26</x:v>
      </x:c>
      <x:c r="C14" s="463" t="s">
        <x:v>573</x:v>
      </x:c>
      <x:c r="D14" s="464">
        <x:v>45491</x:v>
      </x:c>
      <x:c r="E14" s="465">
        <x:v>93.6</x:v>
      </x:c>
      <x:c r="F14" s="465">
        <x:v>14.04</x:v>
      </x:c>
      <x:c r="G14" s="466">
        <x:v>87.11</x:v>
      </x:c>
      <x:c r="H14" s="465">
        <x:v>11.93</x:v>
      </x:c>
      <x:c r="I14" s="464">
        <x:v>45539</x:v>
      </x:c>
      <x:c r="J14" s="433">
        <x:f>+E14-F14</x:f>
      </x:c>
      <x:c r="K14" s="468">
        <x:f>+I14-D14</x:f>
      </x:c>
      <x:c r="L14" s="469">
        <x:v>0.03</x:v>
      </x:c>
      <x:c r="M14" s="433">
        <x:f>+J14*L14</x:f>
      </x:c>
      <x:c r="N14" s="470"/>
      <x:c r="O14" s="432"/>
      <x:c r="P14" s="432"/>
      <x:c r="Q14" s="432"/>
      <x:c r="R14" s="432"/>
      <x:c r="S14" s="432"/>
      <x:c r="T14" s="432"/>
      <x:c r="U14" s="432"/>
      <x:c r="V14" s="432"/>
      <x:c r="W14" s="432"/>
      <x:c r="X14" s="432"/>
      <x:c r="Y14" s="432"/>
      <x:c r="Z14" s="432"/>
      <x:c r="AA14" s="432"/>
      <x:c r="AB14" s="432"/>
      <x:c r="AC14" s="432"/>
      <x:c r="AD14" s="432"/>
    </x:row>
    <x:row r="15" spans="1:30" ht="15" customHeight="1" s="433" customFormat="1" x14ac:dyDescent="0.25">
      <x:c r="A15" s="461" t="s">
        <x:v>574</x:v>
      </x:c>
      <x:c r="B15" s="505" t="s">
        <x:v>23</x:v>
      </x:c>
      <x:c r="C15" s="463" t="s">
        <x:v>575</x:v>
      </x:c>
      <x:c r="D15" s="464">
        <x:v>45498</x:v>
      </x:c>
      <x:c r="E15" s="465">
        <x:v>864</x:v>
      </x:c>
      <x:c r="F15" s="465">
        <x:v>259.2</x:v>
      </x:c>
      <x:c r="G15" s="466">
        <x:v>695.52</x:v>
      </x:c>
      <x:c r="H15" s="465">
        <x:v>90.72</x:v>
      </x:c>
      <x:c r="I15" s="464">
        <x:v>45559</x:v>
      </x:c>
      <x:c r="J15" s="433">
        <x:f>+E15-F15</x:f>
      </x:c>
      <x:c r="K15" s="468">
        <x:f>+I15-D15</x:f>
      </x:c>
      <x:c r="L15" s="469">
        <x:v>0.03</x:v>
      </x:c>
      <x:c r="M15" s="433">
        <x:f>+J15*L15</x:f>
      </x:c>
      <x:c r="N15" s="470"/>
      <x:c r="O15" s="432"/>
      <x:c r="P15" s="432"/>
      <x:c r="Q15" s="432"/>
      <x:c r="R15" s="432"/>
      <x:c r="S15" s="432"/>
      <x:c r="T15" s="432"/>
      <x:c r="U15" s="432"/>
      <x:c r="V15" s="432"/>
      <x:c r="W15" s="432"/>
      <x:c r="X15" s="432"/>
      <x:c r="Y15" s="432"/>
      <x:c r="Z15" s="432"/>
      <x:c r="AA15" s="432"/>
      <x:c r="AB15" s="432"/>
      <x:c r="AC15" s="432"/>
      <x:c r="AD15" s="432"/>
    </x:row>
    <x:row r="16" spans="1:30" ht="15" customHeight="1" s="433" customFormat="1" x14ac:dyDescent="0.25">
      <x:c r="A16" s="461" t="s">
        <x:v>25</x:v>
      </x:c>
      <x:c r="B16" s="506" t="s">
        <x:v>26</x:v>
      </x:c>
      <x:c r="C16" s="463" t="s">
        <x:v>576</x:v>
      </x:c>
      <x:c r="D16" s="464">
        <x:v>45503</x:v>
      </x:c>
      <x:c r="E16" s="465">
        <x:v>540</x:v>
      </x:c>
      <x:c r="F16" s="465">
        <x:v>108</x:v>
      </x:c>
      <x:c r="G16" s="466">
        <x:v>473.04</x:v>
      </x:c>
      <x:c r="H16" s="465">
        <x:v>64.8</x:v>
      </x:c>
      <x:c r="I16" s="464">
        <x:v>45551</x:v>
      </x:c>
      <x:c r="J16" s="433">
        <x:f>+E16-F16</x:f>
      </x:c>
      <x:c r="K16" s="468">
        <x:f>+I16-D16</x:f>
      </x:c>
      <x:c r="L16" s="469">
        <x:v>0.03</x:v>
      </x:c>
      <x:c r="M16" s="433">
        <x:f>+J16*L16</x:f>
      </x:c>
      <x:c r="N16" s="470"/>
      <x:c r="O16" s="432"/>
      <x:c r="P16" s="432"/>
      <x:c r="Q16" s="432"/>
      <x:c r="R16" s="432"/>
      <x:c r="S16" s="432"/>
      <x:c r="T16" s="432"/>
      <x:c r="U16" s="432"/>
      <x:c r="V16" s="432"/>
      <x:c r="W16" s="432"/>
      <x:c r="X16" s="432"/>
      <x:c r="Y16" s="432"/>
      <x:c r="Z16" s="432"/>
      <x:c r="AA16" s="432"/>
      <x:c r="AB16" s="432"/>
      <x:c r="AC16" s="432"/>
      <x:c r="AD16" s="432"/>
    </x:row>
    <x:row r="17" spans="1:30" ht="15" customHeight="1" s="433" customFormat="1" x14ac:dyDescent="0.25">
      <x:c r="A17" s="461" t="s">
        <x:v>33</x:v>
      </x:c>
      <x:c r="B17" s="506" t="s">
        <x:v>26</x:v>
      </x:c>
      <x:c r="C17" s="463" t="s">
        <x:v>577</x:v>
      </x:c>
      <x:c r="D17" s="464">
        <x:v>45518</x:v>
      </x:c>
      <x:c r="E17" s="465">
        <x:v>283.08</x:v>
      </x:c>
      <x:c r="F17" s="465">
        <x:v>42.46</x:v>
      </x:c>
      <x:c r="G17" s="466">
        <x:v>263.47</x:v>
      </x:c>
      <x:c r="H17" s="465">
        <x:v>36.09</x:v>
      </x:c>
      <x:c r="I17" s="467">
        <x:v>45565</x:v>
      </x:c>
      <x:c r="J17" s="433">
        <x:f>+E17-F17</x:f>
      </x:c>
      <x:c r="K17" s="468">
        <x:f>+I17-D17</x:f>
      </x:c>
      <x:c r="L17" s="469">
        <x:v>0.03</x:v>
      </x:c>
      <x:c r="M17" s="433">
        <x:f>+J17*L17</x:f>
      </x:c>
      <x:c r="N17" s="470"/>
      <x:c r="O17" s="432"/>
      <x:c r="P17" s="432"/>
      <x:c r="Q17" s="432"/>
      <x:c r="R17" s="432"/>
      <x:c r="S17" s="432"/>
      <x:c r="T17" s="432"/>
      <x:c r="U17" s="432"/>
      <x:c r="V17" s="432"/>
      <x:c r="W17" s="432"/>
      <x:c r="X17" s="432"/>
      <x:c r="Y17" s="432"/>
      <x:c r="Z17" s="432"/>
      <x:c r="AA17" s="432"/>
      <x:c r="AB17" s="432"/>
      <x:c r="AC17" s="432"/>
      <x:c r="AD17" s="432"/>
    </x:row>
    <x:row r="18" spans="1:30" ht="15" customHeight="1" s="433" customFormat="1" x14ac:dyDescent="0.25">
      <x:c r="A18" s="461" t="s">
        <x:v>25</x:v>
      </x:c>
      <x:c r="B18" s="506" t="s">
        <x:v>26</x:v>
      </x:c>
      <x:c r="C18" s="463" t="s">
        <x:v>578</x:v>
      </x:c>
      <x:c r="D18" s="464">
        <x:v>45526</x:v>
      </x:c>
      <x:c r="E18" s="465">
        <x:v>648</x:v>
      </x:c>
      <x:c r="F18" s="465">
        <x:v>129.6</x:v>
      </x:c>
      <x:c r="G18" s="466">
        <x:v>567.65</x:v>
      </x:c>
      <x:c r="H18" s="465">
        <x:v>77.76</x:v>
      </x:c>
      <x:c r="I18" s="467">
        <x:v>45558</x:v>
      </x:c>
      <x:c r="J18" s="433">
        <x:f>+E18-F18</x:f>
      </x:c>
      <x:c r="K18" s="468">
        <x:f>+I18-D18</x:f>
      </x:c>
      <x:c r="L18" s="469">
        <x:v>0.03</x:v>
      </x:c>
      <x:c r="M18" s="433">
        <x:f>+J18*L18</x:f>
      </x:c>
      <x:c r="N18" s="470"/>
      <x:c r="O18" s="432"/>
      <x:c r="P18" s="432"/>
      <x:c r="Q18" s="432"/>
      <x:c r="R18" s="432"/>
      <x:c r="S18" s="432"/>
      <x:c r="T18" s="432"/>
      <x:c r="U18" s="432"/>
      <x:c r="V18" s="432"/>
      <x:c r="W18" s="432"/>
      <x:c r="X18" s="432"/>
      <x:c r="Y18" s="432"/>
      <x:c r="Z18" s="432"/>
      <x:c r="AA18" s="432"/>
      <x:c r="AB18" s="432"/>
      <x:c r="AC18" s="432"/>
      <x:c r="AD18" s="432"/>
    </x:row>
    <x:row r="19" spans="1:30" ht="15" customHeight="1" s="433" customFormat="1" x14ac:dyDescent="0.25">
      <x:c r="A19" s="461" t="s">
        <x:v>25</x:v>
      </x:c>
      <x:c r="B19" s="506" t="s">
        <x:v>26</x:v>
      </x:c>
      <x:c r="C19" s="463" t="s">
        <x:v>579</x:v>
      </x:c>
      <x:c r="D19" s="464">
        <x:v>45527</x:v>
      </x:c>
      <x:c r="E19" s="465">
        <x:v>108</x:v>
      </x:c>
      <x:c r="F19" s="465">
        <x:v>21.6</x:v>
      </x:c>
      <x:c r="G19" s="466">
        <x:v>94.61</x:v>
      </x:c>
      <x:c r="H19" s="465">
        <x:v>12.96</x:v>
      </x:c>
      <x:c r="I19" s="467">
        <x:v>45558</x:v>
      </x:c>
      <x:c r="J19" s="433">
        <x:f>+E19-F19</x:f>
      </x:c>
      <x:c r="K19" s="468">
        <x:f>+I19-D19</x:f>
      </x:c>
      <x:c r="L19" s="469">
        <x:v>0.03</x:v>
      </x:c>
      <x:c r="M19" s="433">
        <x:f>+J19*L19</x:f>
      </x:c>
      <x:c r="N19" s="470"/>
      <x:c r="O19" s="432"/>
      <x:c r="P19" s="432"/>
      <x:c r="Q19" s="432"/>
      <x:c r="R19" s="432"/>
      <x:c r="S19" s="432"/>
      <x:c r="T19" s="432"/>
      <x:c r="U19" s="432"/>
      <x:c r="V19" s="432"/>
      <x:c r="W19" s="432"/>
      <x:c r="X19" s="432"/>
      <x:c r="Y19" s="432"/>
      <x:c r="Z19" s="432"/>
      <x:c r="AA19" s="432"/>
      <x:c r="AB19" s="432"/>
      <x:c r="AC19" s="432"/>
      <x:c r="AD19" s="432"/>
    </x:row>
    <x:row r="20" spans="1:30" ht="15" customHeight="1" s="433" customFormat="1" x14ac:dyDescent="0.25">
      <x:c r="A20" s="530"/>
      <x:c r="B20" s="524"/>
      <x:c r="C20" s="524"/>
      <x:c r="D20" s="529"/>
      <x:c r="E20" s="531"/>
      <x:c r="F20" s="531"/>
      <x:c r="G20" s="532"/>
      <x:c r="H20" s="533"/>
      <x:c r="I20" s="534"/>
      <x:c r="K20" s="468"/>
      <x:c r="L20" s="469"/>
      <x:c r="N20" s="470"/>
      <x:c r="O20" s="432"/>
      <x:c r="P20" s="432"/>
      <x:c r="Q20" s="432"/>
      <x:c r="R20" s="432"/>
      <x:c r="S20" s="432"/>
      <x:c r="T20" s="432"/>
      <x:c r="U20" s="432"/>
      <x:c r="V20" s="432"/>
      <x:c r="W20" s="432"/>
      <x:c r="X20" s="432"/>
      <x:c r="Y20" s="432"/>
      <x:c r="Z20" s="432"/>
      <x:c r="AA20" s="432"/>
      <x:c r="AB20" s="432"/>
      <x:c r="AC20" s="432"/>
      <x:c r="AD20" s="432"/>
    </x:row>
    <x:row r="21" spans="1:30" ht="15" customHeight="1" s="434" customFormat="1" x14ac:dyDescent="0.25">
      <x:c r="A21" s="478"/>
      <x:c r="B21" s="478"/>
      <x:c r="C21" s="478"/>
      <x:c r="D21" s="478"/>
      <x:c r="E21" s="478"/>
      <x:c r="F21" s="478"/>
      <x:c r="G21" s="479">
        <x:f>SUM(G8:G20)</x:f>
      </x:c>
      <x:c r="H21" s="480"/>
      <x:c r="I21" s="481"/>
      <x:c r="J21" s="479">
        <x:f>SUM(J8:J20)</x:f>
      </x:c>
      <x:c r="K21" s="482"/>
      <x:c r="L21" s="482"/>
      <x:c r="M21" s="479">
        <x:f>SUM(M8:M20)</x:f>
      </x:c>
      <x:c r="N21" s="470"/>
    </x:row>
    <x:row r="22" spans="1:30" ht="15" customHeight="1" s="434" customFormat="1" x14ac:dyDescent="0.25">
      <x:c r="A22" s="483"/>
      <x:c r="B22" s="483"/>
      <x:c r="C22" s="483"/>
      <x:c r="D22" s="484"/>
      <x:c r="E22" s="483"/>
      <x:c r="F22" s="483"/>
      <x:c r="G22" s="432"/>
      <x:c r="I22" s="485"/>
      <x:c r="N22" s="470"/>
    </x:row>
    <x:row r="23" spans="1:30" ht="15" customHeight="1" s="434" customFormat="1" x14ac:dyDescent="0.25">
      <x:c r="A23" s="483"/>
      <x:c r="B23" s="483"/>
      <x:c r="C23" s="483"/>
      <x:c r="D23" s="484"/>
      <x:c r="E23" s="483"/>
      <x:c r="F23" s="483"/>
      <x:c r="G23" s="432"/>
      <x:c r="I23" s="485"/>
      <x:c r="J23" s="432"/>
      <x:c r="M23" s="432"/>
      <x:c r="N23" s="470"/>
    </x:row>
    <x:row r="24" spans="1:30" ht="15" customHeight="1" s="434" customFormat="1" x14ac:dyDescent="0.25">
      <x:c r="A24" s="434" t="s">
        <x:v>30</x:v>
      </x:c>
      <x:c r="B24" s="434" t="s">
        <x:v>31</x:v>
      </x:c>
      <x:c r="C24" s="483" t="s">
        <x:v>32</x:v>
      </x:c>
      <x:c r="D24" s="485"/>
      <x:c r="G24" s="432"/>
      <x:c r="I24" s="485"/>
      <x:c r="N24" s="470"/>
    </x:row>
    <x:row r="25" spans="1:30" ht="15" customHeight="1" s="432" customFormat="1" x14ac:dyDescent="0.25">
      <x:c r="A25" s="486" t="s">
        <x:v>242</x:v>
      </x:c>
      <x:c r="B25" s="487" t="s">
        <x:v>580</x:v>
      </x:c>
      <x:c r="C25" s="488" t="s">
        <x:v>581</x:v>
      </x:c>
      <x:c r="D25" s="489">
        <x:v>45509</x:v>
      </x:c>
      <x:c r="E25" s="490">
        <x:v>748.8</x:v>
      </x:c>
      <x:c r="F25" s="490">
        <x:v>112.34</x:v>
      </x:c>
      <x:c r="G25" s="491">
        <x:v>696.93</x:v>
      </x:c>
      <x:c r="H25" s="490">
        <x:v>95.47</x:v>
      </x:c>
      <x:c r="I25" s="492">
        <x:v>45590</x:v>
      </x:c>
      <x:c r="J25" s="433">
        <x:f>+E25-F25</x:f>
      </x:c>
      <x:c r="K25" s="468">
        <x:f>+I25-D25</x:f>
      </x:c>
      <x:c r="L25" s="469">
        <x:v>0.03</x:v>
      </x:c>
      <x:c r="M25" s="433">
        <x:f>+J25*L25</x:f>
      </x:c>
      <x:c r="N25" s="470"/>
    </x:row>
    <x:row r="26" spans="1:30" ht="15" customHeight="1" s="432" customFormat="1" x14ac:dyDescent="0.25">
      <x:c r="A26" s="486" t="s">
        <x:v>242</x:v>
      </x:c>
      <x:c r="B26" s="487" t="s">
        <x:v>580</x:v>
      </x:c>
      <x:c r="C26" s="488" t="s">
        <x:v>582</x:v>
      </x:c>
      <x:c r="D26" s="489">
        <x:v>45527</x:v>
      </x:c>
      <x:c r="E26" s="490">
        <x:v>142.56</x:v>
      </x:c>
      <x:c r="F26" s="490">
        <x:v>21.39</x:v>
      </x:c>
      <x:c r="G26" s="502">
        <x:v>132.69</x:v>
      </x:c>
      <x:c r="H26" s="490">
        <x:v>18.18</x:v>
      </x:c>
      <x:c r="I26" s="467">
        <x:v>45590</x:v>
      </x:c>
      <x:c r="J26" s="433">
        <x:f>+E26-F26</x:f>
      </x:c>
      <x:c r="K26" s="468">
        <x:f>+I26-D26</x:f>
      </x:c>
      <x:c r="L26" s="469">
        <x:v>0.03</x:v>
      </x:c>
      <x:c r="M26" s="433">
        <x:f>+J26*L26</x:f>
      </x:c>
      <x:c r="N26" s="470"/>
    </x:row>
    <x:row r="27" spans="1:30" ht="15" customHeight="1" s="432" customFormat="1" x14ac:dyDescent="0.25">
      <x:c r="A27" s="486" t="s">
        <x:v>242</x:v>
      </x:c>
      <x:c r="B27" s="487" t="s">
        <x:v>580</x:v>
      </x:c>
      <x:c r="C27" s="488" t="s">
        <x:v>583</x:v>
      </x:c>
      <x:c r="D27" s="489">
        <x:v>45538</x:v>
      </x:c>
      <x:c r="E27" s="490">
        <x:v>210.72</x:v>
      </x:c>
      <x:c r="F27" s="490">
        <x:v>31.61</x:v>
      </x:c>
      <x:c r="G27" s="502">
        <x:f>205.98-1.79-8.06</x:f>
      </x:c>
      <x:c r="H27" s="490">
        <x:v>26.87</x:v>
      </x:c>
      <x:c r="I27" s="467">
        <x:v>45590</x:v>
      </x:c>
      <x:c r="J27" s="433">
        <x:f>+E27-F27</x:f>
      </x:c>
      <x:c r="K27" s="468">
        <x:f>+I27-D27</x:f>
      </x:c>
      <x:c r="L27" s="469">
        <x:v>0.03</x:v>
      </x:c>
      <x:c r="M27" s="433">
        <x:f>+J27*L27</x:f>
      </x:c>
      <x:c r="N27" s="470"/>
    </x:row>
    <x:row r="28" spans="1:30" ht="15" customHeight="1" s="432" customFormat="1" x14ac:dyDescent="0.25">
      <x:c r="A28" s="486" t="s">
        <x:v>584</x:v>
      </x:c>
      <x:c r="B28" s="487" t="s">
        <x:v>585</x:v>
      </x:c>
      <x:c r="C28" s="488" t="s">
        <x:v>586</x:v>
      </x:c>
      <x:c r="D28" s="489">
        <x:v>45505</x:v>
      </x:c>
      <x:c r="E28" s="490">
        <x:v>777.24</x:v>
      </x:c>
      <x:c r="F28" s="490">
        <x:v>194.31</x:v>
      </x:c>
      <x:c r="G28" s="491">
        <x:f>670.37-5.83-26.23</x:f>
      </x:c>
      <x:c r="H28" s="490">
        <x:v>87.44</x:v>
      </x:c>
      <x:c r="I28" s="492">
        <x:v>45573</x:v>
      </x:c>
      <x:c r="J28" s="433">
        <x:f>+E28-F28</x:f>
      </x:c>
      <x:c r="K28" s="468">
        <x:f>+I28-D28</x:f>
      </x:c>
      <x:c r="L28" s="469">
        <x:v>0.03</x:v>
      </x:c>
      <x:c r="M28" s="433">
        <x:f>+J28*L28</x:f>
      </x:c>
      <x:c r="N28" s="470"/>
    </x:row>
    <x:row r="29" spans="1:30" ht="15" customHeight="1" s="432" customFormat="1" x14ac:dyDescent="0.25">
      <x:c r="A29" s="486" t="s">
        <x:v>584</x:v>
      </x:c>
      <x:c r="B29" s="487" t="s">
        <x:v>585</x:v>
      </x:c>
      <x:c r="C29" s="488" t="s">
        <x:v>587</x:v>
      </x:c>
      <x:c r="D29" s="489">
        <x:v>45505</x:v>
      </x:c>
      <x:c r="E29" s="490">
        <x:v>562.2</x:v>
      </x:c>
      <x:c r="F29" s="490">
        <x:v>140.55</x:v>
      </x:c>
      <x:c r="G29" s="491">
        <x:f>484.9-4.22-18.98</x:f>
      </x:c>
      <x:c r="H29" s="490">
        <x:v>63.25</x:v>
      </x:c>
      <x:c r="I29" s="492">
        <x:v>45573</x:v>
      </x:c>
      <x:c r="J29" s="433">
        <x:f>+E29-F29</x:f>
      </x:c>
      <x:c r="K29" s="468">
        <x:f>+I29-D29</x:f>
      </x:c>
      <x:c r="L29" s="469">
        <x:v>0.03</x:v>
      </x:c>
      <x:c r="M29" s="433">
        <x:f>+J29*L29</x:f>
      </x:c>
      <x:c r="N29" s="470"/>
    </x:row>
    <x:row r="30" spans="1:30" ht="15" customHeight="1" s="432" customFormat="1" x14ac:dyDescent="0.25">
      <x:c r="A30" s="486" t="s">
        <x:v>33</x:v>
      </x:c>
      <x:c r="B30" s="487" t="s">
        <x:v>588</x:v>
      </x:c>
      <x:c r="C30" s="488" t="s">
        <x:v>589</x:v>
      </x:c>
      <x:c r="D30" s="489">
        <x:v>45524</x:v>
      </x:c>
      <x:c r="E30" s="490">
        <x:v>408</x:v>
      </x:c>
      <x:c r="F30" s="490">
        <x:v>61.2</x:v>
      </x:c>
      <x:c r="G30" s="491">
        <x:v>379.74</x:v>
      </x:c>
      <x:c r="H30" s="490">
        <x:v>52.02</x:v>
      </x:c>
      <x:c r="I30" s="492">
        <x:v>45572</x:v>
      </x:c>
      <x:c r="J30" s="433">
        <x:f>+E30-F30</x:f>
      </x:c>
      <x:c r="K30" s="468">
        <x:f>+I30-D30</x:f>
      </x:c>
      <x:c r="L30" s="469">
        <x:v>0.03</x:v>
      </x:c>
      <x:c r="M30" s="433">
        <x:f>+J30*L30</x:f>
      </x:c>
      <x:c r="N30" s="470"/>
    </x:row>
    <x:row r="31" spans="1:30" ht="15" customHeight="1" s="432" customFormat="1" x14ac:dyDescent="0.25">
      <x:c r="A31" s="486" t="s">
        <x:v>36</x:v>
      </x:c>
      <x:c r="B31" s="487" t="s">
        <x:v>590</x:v>
      </x:c>
      <x:c r="C31" s="488" t="s">
        <x:v>591</x:v>
      </x:c>
      <x:c r="D31" s="489">
        <x:v>45537</x:v>
      </x:c>
      <x:c r="E31" s="490">
        <x:v>43.2</x:v>
      </x:c>
      <x:c r="F31" s="490">
        <x:v>10.8</x:v>
      </x:c>
      <x:c r="G31" s="502">
        <x:f>37.26-0.32-1.46</x:f>
      </x:c>
      <x:c r="H31" s="490">
        <x:v>4.86</x:v>
      </x:c>
      <x:c r="I31" s="467">
        <x:v>45566</x:v>
      </x:c>
      <x:c r="J31" s="433">
        <x:f>+E31-F31</x:f>
      </x:c>
      <x:c r="K31" s="468">
        <x:f>+I31-D31</x:f>
      </x:c>
      <x:c r="L31" s="469">
        <x:v>0.03</x:v>
      </x:c>
      <x:c r="M31" s="433">
        <x:f>+J31*L31</x:f>
      </x:c>
      <x:c r="N31" s="470"/>
    </x:row>
    <x:row r="32" spans="1:30" ht="15" customHeight="1" s="432" customFormat="1" x14ac:dyDescent="0.3">
      <x:c r="A32" s="558"/>
      <x:c r="B32" s="559"/>
      <x:c r="C32" s="560"/>
      <x:c r="D32" s="561"/>
      <x:c r="E32" s="562"/>
      <x:c r="F32" s="562"/>
      <x:c r="G32" s="491"/>
      <x:c r="H32" s="490"/>
      <x:c r="I32" s="492"/>
      <x:c r="J32" s="433"/>
      <x:c r="K32" s="468"/>
      <x:c r="L32" s="469"/>
      <x:c r="M32" s="563"/>
      <x:c r="N32" s="470"/>
    </x:row>
    <x:row r="33" spans="1:30" ht="15" customHeight="1" x14ac:dyDescent="0.35">
      <x:c r="A33" s="493" t="s">
        <x:v>43</x:v>
      </x:c>
      <x:c r="B33" s="493"/>
      <x:c r="C33" s="493"/>
      <x:c r="D33" s="493"/>
      <x:c r="E33" s="493"/>
      <x:c r="F33" s="493"/>
      <x:c r="G33" s="494">
        <x:f>SUM(G21:G32)</x:f>
      </x:c>
      <x:c r="J33" s="494">
        <x:f>SUM(J21:J32)</x:f>
      </x:c>
      <x:c r="L33" s="495"/>
      <x:c r="M33" s="496">
        <x:f>SUM(M21:M32)</x:f>
      </x:c>
      <x:c r="N33" s="431" t="s">
        <x:v>592</x:v>
      </x:c>
    </x:row>
    <x:row r="34" spans="1:30" ht="15" customHeight="1" x14ac:dyDescent="0.25">
      <x:c r="A34" s="497"/>
      <x:c r="B34" s="497"/>
      <x:c r="C34" s="497"/>
      <x:c r="D34" s="498"/>
      <x:c r="E34" s="497"/>
      <x:c r="F34" s="497"/>
      <x:c r="G34" s="435"/>
      <x:c r="J34" s="435"/>
      <x:c r="M34" s="435"/>
    </x:row>
    <x:row r="35" spans="1:30" ht="15" customHeight="1" x14ac:dyDescent="0.3">
      <x:c r="A35" s="499"/>
      <x:c r="B35" s="497"/>
      <x:c r="C35" s="497"/>
      <x:c r="D35" s="498"/>
      <x:c r="E35" s="497"/>
      <x:c r="F35" s="497"/>
      <x:c r="G35" s="435"/>
      <x:c r="J35" s="435"/>
      <x:c r="M35" s="435"/>
    </x:row>
    <x:row r="36" spans="1:30" ht="15" customHeight="1" x14ac:dyDescent="0.25">
      <x:c r="A36" s="497"/>
      <x:c r="B36" s="497"/>
      <x:c r="C36" s="497"/>
      <x:c r="D36" s="498"/>
      <x:c r="E36" s="497"/>
      <x:c r="F36" s="497"/>
      <x:c r="G36" s="435"/>
      <x:c r="I36" s="500"/>
    </x:row>
    <x:row r="37" spans="1:30" ht="15" customHeight="1" x14ac:dyDescent="0.25">
      <x:c r="A37" s="436" t="s">
        <x:v>44</x:v>
      </x:c>
      <x:c r="B37" s="436"/>
      <x:c r="C37" s="436"/>
      <x:c r="D37" s="436"/>
      <x:c r="E37" s="436"/>
      <x:c r="F37" s="436"/>
      <x:c r="G37" s="437"/>
      <x:c r="H37" s="437"/>
      <x:c r="I37" s="439"/>
      <x:c r="J37" s="440"/>
      <x:c r="K37" s="441"/>
      <x:c r="L37" s="442"/>
      <x:c r="M37" s="443"/>
    </x:row>
    <x:row r="38" spans="1:30" ht="15" customHeight="1" x14ac:dyDescent="0.25">
      <x:c r="A38" s="436" t="s">
        <x:v>1</x:v>
      </x:c>
      <x:c r="B38" s="436"/>
      <x:c r="C38" s="436"/>
      <x:c r="D38" s="436"/>
      <x:c r="E38" s="436"/>
      <x:c r="F38" s="436"/>
      <x:c r="G38" s="437"/>
      <x:c r="H38" s="438"/>
      <x:c r="I38" s="439"/>
      <x:c r="J38" s="441"/>
      <x:c r="K38" s="441"/>
      <x:c r="L38" s="442"/>
      <x:c r="M38" s="443"/>
    </x:row>
    <x:row r="39" spans="1:30" ht="15" customHeight="1" x14ac:dyDescent="0.25">
      <x:c r="A39" s="436"/>
      <x:c r="B39" s="444" t="s">
        <x:v>564</x:v>
      </x:c>
      <x:c r="C39" s="436"/>
      <x:c r="D39" s="445"/>
      <x:c r="E39" s="436"/>
      <x:c r="F39" s="436"/>
      <x:c r="G39" s="437"/>
      <x:c r="H39" s="438"/>
      <x:c r="I39" s="439"/>
      <x:c r="J39" s="441"/>
      <x:c r="K39" s="441"/>
      <x:c r="L39" s="442"/>
      <x:c r="M39" s="443"/>
    </x:row>
    <x:row r="40" spans="1:30" ht="15" customHeight="1" x14ac:dyDescent="0.3">
      <x:c r="A40" s="436"/>
      <x:c r="B40" s="444" t="s">
        <x:v>45</x:v>
      </x:c>
      <x:c r="C40" s="436"/>
      <x:c r="D40" s="445"/>
      <x:c r="E40" s="436"/>
      <x:c r="F40" s="436"/>
      <x:c r="G40" s="443"/>
      <x:c r="H40" s="437"/>
      <x:c r="I40" s="446"/>
      <x:c r="J40" s="441"/>
      <x:c r="K40" s="441"/>
      <x:c r="L40" s="442"/>
      <x:c r="M40" s="443"/>
    </x:row>
    <x:row r="41" spans="1:30" ht="15" customHeight="1" x14ac:dyDescent="0.25">
      <x:c r="A41" s="447"/>
      <x:c r="B41" s="441"/>
      <x:c r="C41" s="441"/>
      <x:c r="D41" s="439"/>
      <x:c r="E41" s="441"/>
      <x:c r="F41" s="441"/>
      <x:c r="G41" s="448" t="s">
        <x:v>5</x:v>
      </x:c>
      <x:c r="H41" s="441"/>
      <x:c r="I41" s="439"/>
      <x:c r="J41" s="449" t="s">
        <x:v>6</x:v>
      </x:c>
      <x:c r="K41" s="450" t="s">
        <x:v>7</x:v>
      </x:c>
      <x:c r="L41" s="451" t="s">
        <x:v>8</x:v>
      </x:c>
      <x:c r="M41" s="449" t="s">
        <x:v>9</x:v>
      </x:c>
    </x:row>
    <x:row r="42" spans="1:30" ht="15" customHeight="1" x14ac:dyDescent="0.25">
      <x:c r="A42" s="452" t="s">
        <x:v>10</x:v>
      </x:c>
      <x:c r="B42" s="452" t="s">
        <x:v>11</x:v>
      </x:c>
      <x:c r="C42" s="452" t="s">
        <x:v>12</x:v>
      </x:c>
      <x:c r="D42" s="453" t="s">
        <x:v>13</x:v>
      </x:c>
      <x:c r="E42" s="452" t="s">
        <x:v>14</x:v>
      </x:c>
      <x:c r="F42" s="454" t="s">
        <x:v>15</x:v>
      </x:c>
      <x:c r="G42" s="501" t="s">
        <x:v>16</x:v>
      </x:c>
      <x:c r="H42" s="456" t="s">
        <x:v>17</x:v>
      </x:c>
      <x:c r="I42" s="457" t="s">
        <x:v>18</x:v>
      </x:c>
      <x:c r="J42" s="458" t="s">
        <x:v>19</x:v>
      </x:c>
      <x:c r="K42" s="459"/>
      <x:c r="L42" s="460" t="s">
        <x:v>20</x:v>
      </x:c>
      <x:c r="M42" s="458" t="s">
        <x:v>21</x:v>
      </x:c>
    </x:row>
    <x:row r="43" spans="1:30" ht="15" customHeight="1" x14ac:dyDescent="0.25">
      <x:c r="A43" s="461" t="s">
        <x:v>57</x:v>
      </x:c>
      <x:c r="B43" s="462" t="s">
        <x:v>26</x:v>
      </x:c>
      <x:c r="C43" s="463" t="s">
        <x:v>593</x:v>
      </x:c>
      <x:c r="D43" s="464">
        <x:v>45378</x:v>
      </x:c>
      <x:c r="E43" s="465">
        <x:v>1944</x:v>
      </x:c>
      <x:c r="F43" s="465">
        <x:v>388.8</x:v>
      </x:c>
      <x:c r="G43" s="466">
        <x:v>324.37</x:v>
      </x:c>
      <x:c r="H43" s="465">
        <x:v>186.62</x:v>
      </x:c>
      <x:c r="I43" s="521">
        <x:v>45551</x:v>
      </x:c>
      <x:c r="J43" s="433">
        <x:f>324.37/1.15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461" t="s">
        <x:v>57</x:v>
      </x:c>
      <x:c r="B44" s="462" t="s">
        <x:v>26</x:v>
      </x:c>
      <x:c r="C44" s="463" t="s">
        <x:v>594</x:v>
      </x:c>
      <x:c r="D44" s="464">
        <x:v>45397</x:v>
      </x:c>
      <x:c r="E44" s="465">
        <x:v>237.6</x:v>
      </x:c>
      <x:c r="F44" s="465">
        <x:v>47.52</x:v>
      </x:c>
      <x:c r="G44" s="466">
        <x:v>208.14</x:v>
      </x:c>
      <x:c r="H44" s="465">
        <x:v>28.51</x:v>
      </x:c>
      <x:c r="I44" s="521">
        <x:v>45551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30" ht="15" customHeight="1" x14ac:dyDescent="0.25">
      <x:c r="A45" s="461" t="s">
        <x:v>57</x:v>
      </x:c>
      <x:c r="B45" s="462" t="s">
        <x:v>26</x:v>
      </x:c>
      <x:c r="C45" s="463" t="s">
        <x:v>595</x:v>
      </x:c>
      <x:c r="D45" s="464">
        <x:v>45404</x:v>
      </x:c>
      <x:c r="E45" s="465">
        <x:v>194.4</x:v>
      </x:c>
      <x:c r="F45" s="465">
        <x:v>38.88</x:v>
      </x:c>
      <x:c r="G45" s="466">
        <x:v>170.29</x:v>
      </x:c>
      <x:c r="H45" s="465">
        <x:v>23.33</x:v>
      </x:c>
      <x:c r="I45" s="521">
        <x:v>45551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461" t="s">
        <x:v>104</x:v>
      </x:c>
      <x:c r="B46" s="462" t="s">
        <x:v>105</x:v>
      </x:c>
      <x:c r="C46" s="463" t="s">
        <x:v>596</x:v>
      </x:c>
      <x:c r="D46" s="464">
        <x:v>45411</x:v>
      </x:c>
      <x:c r="E46" s="465">
        <x:v>230.4</x:v>
      </x:c>
      <x:c r="F46" s="465">
        <x:v>34.56</x:v>
      </x:c>
      <x:c r="G46" s="466">
        <x:v>214.45</x:v>
      </x:c>
      <x:c r="H46" s="465">
        <x:v>29.38</x:v>
      </x:c>
      <x:c r="I46" s="492">
        <x:v>45552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461" t="s">
        <x:v>104</x:v>
      </x:c>
      <x:c r="B47" s="462" t="s">
        <x:v>105</x:v>
      </x:c>
      <x:c r="C47" s="463" t="s">
        <x:v>597</x:v>
      </x:c>
      <x:c r="D47" s="464">
        <x:v>45411</x:v>
      </x:c>
      <x:c r="E47" s="465">
        <x:v>23.4</x:v>
      </x:c>
      <x:c r="F47" s="465">
        <x:v>3.51</x:v>
      </x:c>
      <x:c r="G47" s="466">
        <x:v>21.78</x:v>
      </x:c>
      <x:c r="H47" s="465">
        <x:v>2.98</x:v>
      </x:c>
      <x:c r="I47" s="492">
        <x:v>45552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x14ac:dyDescent="0.25">
      <x:c r="A48" s="461" t="s">
        <x:v>57</x:v>
      </x:c>
      <x:c r="B48" s="462" t="s">
        <x:v>26</x:v>
      </x:c>
      <x:c r="C48" s="463" t="s">
        <x:v>598</x:v>
      </x:c>
      <x:c r="D48" s="464">
        <x:v>45412</x:v>
      </x:c>
      <x:c r="E48" s="465">
        <x:v>345.6</x:v>
      </x:c>
      <x:c r="F48" s="465">
        <x:v>69.12</x:v>
      </x:c>
      <x:c r="G48" s="466">
        <x:v>302.75</x:v>
      </x:c>
      <x:c r="H48" s="465">
        <x:v>41.47</x:v>
      </x:c>
      <x:c r="I48" s="521">
        <x:v>45551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30" ht="15" customHeight="1" x14ac:dyDescent="0.25">
      <x:c r="A49" s="486" t="s">
        <x:v>49</x:v>
      </x:c>
      <x:c r="B49" s="462" t="s">
        <x:v>26</x:v>
      </x:c>
      <x:c r="C49" s="488" t="s">
        <x:v>599</x:v>
      </x:c>
      <x:c r="D49" s="489">
        <x:v>45433</x:v>
      </x:c>
      <x:c r="E49" s="490">
        <x:v>163.8</x:v>
      </x:c>
      <x:c r="F49" s="490">
        <x:v>24.57</x:v>
      </x:c>
      <x:c r="G49" s="502">
        <x:v>152.46</x:v>
      </x:c>
      <x:c r="H49" s="490">
        <x:v>20.88</x:v>
      </x:c>
      <x:c r="I49" s="492">
        <x:v>45545</x:v>
      </x:c>
      <x:c r="J49" s="433">
        <x:f>+E49-F49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30" ht="15" customHeight="1" x14ac:dyDescent="0.25">
      <x:c r="A50" s="461" t="s">
        <x:v>49</x:v>
      </x:c>
      <x:c r="B50" s="462" t="s">
        <x:v>26</x:v>
      </x:c>
      <x:c r="C50" s="463" t="s">
        <x:v>600</x:v>
      </x:c>
      <x:c r="D50" s="464">
        <x:v>45441</x:v>
      </x:c>
      <x:c r="E50" s="465">
        <x:v>23.4</x:v>
      </x:c>
      <x:c r="F50" s="465">
        <x:v>3.51</x:v>
      </x:c>
      <x:c r="G50" s="466">
        <x:v>21.78</x:v>
      </x:c>
      <x:c r="H50" s="465">
        <x:v>2.98</x:v>
      </x:c>
      <x:c r="I50" s="492">
        <x:v>45545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30" ht="15" customHeight="1" x14ac:dyDescent="0.25">
      <x:c r="A51" s="461" t="s">
        <x:v>49</x:v>
      </x:c>
      <x:c r="B51" s="462" t="s">
        <x:v>26</x:v>
      </x:c>
      <x:c r="C51" s="463" t="s">
        <x:v>601</x:v>
      </x:c>
      <x:c r="D51" s="464">
        <x:v>45441</x:v>
      </x:c>
      <x:c r="E51" s="465">
        <x:v>10.8</x:v>
      </x:c>
      <x:c r="F51" s="465">
        <x:v>1.62</x:v>
      </x:c>
      <x:c r="G51" s="466">
        <x:v>10.06</x:v>
      </x:c>
      <x:c r="H51" s="465">
        <x:v>1.38</x:v>
      </x:c>
      <x:c r="I51" s="492">
        <x:v>45545</x:v>
      </x:c>
      <x:c r="J51" s="433">
        <x:f>+E51-F51</x:f>
      </x:c>
      <x:c r="K51" s="468">
        <x:f>+I51-D51</x:f>
      </x:c>
      <x:c r="L51" s="503">
        <x:v>0.03</x:v>
      </x:c>
      <x:c r="M51" s="504">
        <x:f>+J51*L51</x:f>
      </x:c>
      <x:c r="O51" s="432"/>
    </x:row>
    <x:row r="52" spans="1:30" ht="15" customHeight="1" x14ac:dyDescent="0.25">
      <x:c r="A52" s="461" t="s">
        <x:v>364</x:v>
      </x:c>
      <x:c r="B52" s="462" t="s">
        <x:v>336</x:v>
      </x:c>
      <x:c r="C52" s="463" t="s">
        <x:v>602</x:v>
      </x:c>
      <x:c r="D52" s="464">
        <x:v>45441</x:v>
      </x:c>
      <x:c r="E52" s="465">
        <x:v>52.8</x:v>
      </x:c>
      <x:c r="F52" s="465">
        <x:v>7.92</x:v>
      </x:c>
      <x:c r="G52" s="466">
        <x:v>51.61</x:v>
      </x:c>
      <x:c r="H52" s="465">
        <x:v>6.73</x:v>
      </x:c>
      <x:c r="I52" s="492">
        <x:v>45561</x:v>
      </x:c>
      <x:c r="J52" s="433">
        <x:f>+E52-F52</x:f>
      </x:c>
      <x:c r="K52" s="468">
        <x:f>+I52-D52</x:f>
      </x:c>
      <x:c r="L52" s="503">
        <x:v>0.03</x:v>
      </x:c>
      <x:c r="M52" s="504">
        <x:f>+J52*L52</x:f>
      </x:c>
      <x:c r="O52" s="432"/>
    </x:row>
    <x:row r="53" spans="1:30" ht="15" customHeight="1" x14ac:dyDescent="0.25">
      <x:c r="A53" s="461" t="s">
        <x:v>104</x:v>
      </x:c>
      <x:c r="B53" s="462" t="s">
        <x:v>105</x:v>
      </x:c>
      <x:c r="C53" s="463" t="s">
        <x:v>603</x:v>
      </x:c>
      <x:c r="D53" s="464">
        <x:v>45441</x:v>
      </x:c>
      <x:c r="E53" s="465">
        <x:v>135.96</x:v>
      </x:c>
      <x:c r="F53" s="465">
        <x:v>20.39</x:v>
      </x:c>
      <x:c r="G53" s="466">
        <x:v>126.55</x:v>
      </x:c>
      <x:c r="H53" s="465">
        <x:v>17.34</x:v>
      </x:c>
      <x:c r="I53" s="492">
        <x:v>45552</x:v>
      </x:c>
      <x:c r="J53" s="433">
        <x:f>+E53-F53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30" ht="15" customHeight="1" x14ac:dyDescent="0.25">
      <x:c r="A54" s="461" t="s">
        <x:v>57</x:v>
      </x:c>
      <x:c r="B54" s="462" t="s">
        <x:v>26</x:v>
      </x:c>
      <x:c r="C54" s="463" t="s">
        <x:v>604</x:v>
      </x:c>
      <x:c r="D54" s="464">
        <x:v>45442</x:v>
      </x:c>
      <x:c r="E54" s="465">
        <x:v>158.4</x:v>
      </x:c>
      <x:c r="F54" s="465">
        <x:v>31.67</x:v>
      </x:c>
      <x:c r="G54" s="466">
        <x:v>138.77</x:v>
      </x:c>
      <x:c r="H54" s="465">
        <x:v>19.01</x:v>
      </x:c>
      <x:c r="I54" s="521">
        <x:v>45551</x:v>
      </x:c>
      <x:c r="J54" s="433">
        <x:f>+E54-F54</x:f>
      </x:c>
      <x:c r="K54" s="468">
        <x:f>+I54-D54</x:f>
      </x:c>
      <x:c r="L54" s="503">
        <x:v>0.03</x:v>
      </x:c>
      <x:c r="M54" s="504">
        <x:f>+J54*L54</x:f>
      </x:c>
      <x:c r="O54" s="432"/>
    </x:row>
    <x:row r="55" spans="1:30" ht="15" customHeight="1" x14ac:dyDescent="0.25">
      <x:c r="A55" s="461" t="s">
        <x:v>347</x:v>
      </x:c>
      <x:c r="B55" s="462" t="s">
        <x:v>110</x:v>
      </x:c>
      <x:c r="C55" s="463" t="s">
        <x:v>480</x:v>
      </x:c>
      <x:c r="D55" s="464">
        <x:v>45442</x:v>
      </x:c>
      <x:c r="E55" s="465">
        <x:v>181.92</x:v>
      </x:c>
      <x:c r="F55" s="465">
        <x:v>27.29</x:v>
      </x:c>
      <x:c r="G55" s="466">
        <x:v>77.82</x:v>
      </x:c>
      <x:c r="H55" s="465">
        <x:v>23.19</x:v>
      </x:c>
      <x:c r="I55" s="467">
        <x:v>45495</x:v>
      </x:c>
      <x:c r="J55" s="433">
        <x:f>77.82/1.15</x:f>
      </x:c>
      <x:c r="K55" s="468">
        <x:f>+I55-D55</x:f>
      </x:c>
      <x:c r="L55" s="503">
        <x:v>0.03</x:v>
      </x:c>
      <x:c r="M55" s="504">
        <x:f>+J55*L55</x:f>
      </x:c>
      <x:c r="O55" s="432"/>
    </x:row>
    <x:row r="56" spans="1:30" ht="15" customHeight="1" x14ac:dyDescent="0.25">
      <x:c r="A56" s="461" t="s">
        <x:v>605</x:v>
      </x:c>
      <x:c r="B56" s="506" t="s">
        <x:v>336</x:v>
      </x:c>
      <x:c r="C56" s="463" t="s">
        <x:v>606</x:v>
      </x:c>
      <x:c r="D56" s="464">
        <x:v>45449</x:v>
      </x:c>
      <x:c r="E56" s="465">
        <x:v>312</x:v>
      </x:c>
      <x:c r="F56" s="465">
        <x:v>46.8</x:v>
      </x:c>
      <x:c r="G56" s="466">
        <x:v>304.98</x:v>
      </x:c>
      <x:c r="H56" s="465">
        <x:v>39.78</x:v>
      </x:c>
      <x:c r="I56" s="467">
        <x:v>45560</x:v>
      </x:c>
      <x:c r="J56" s="433">
        <x:f>+E56-F56</x:f>
      </x:c>
      <x:c r="K56" s="468">
        <x:f>+I56-D56</x:f>
      </x:c>
      <x:c r="L56" s="503">
        <x:v>0.03</x:v>
      </x:c>
      <x:c r="M56" s="504">
        <x:f>+J56*L56</x:f>
      </x:c>
      <x:c r="O56" s="432"/>
    </x:row>
    <x:row r="57" spans="1:30" ht="15" customHeight="1" x14ac:dyDescent="0.25">
      <x:c r="A57" s="461" t="s">
        <x:v>605</x:v>
      </x:c>
      <x:c r="B57" s="506" t="s">
        <x:v>336</x:v>
      </x:c>
      <x:c r="C57" s="463" t="s">
        <x:v>607</x:v>
      </x:c>
      <x:c r="D57" s="464">
        <x:v>45449</x:v>
      </x:c>
      <x:c r="E57" s="465">
        <x:v>163.8</x:v>
      </x:c>
      <x:c r="F57" s="465">
        <x:v>24.57</x:v>
      </x:c>
      <x:c r="G57" s="466">
        <x:v>160.11</x:v>
      </x:c>
      <x:c r="H57" s="465">
        <x:v>20.88</x:v>
      </x:c>
      <x:c r="I57" s="467">
        <x:v>45560</x:v>
      </x:c>
      <x:c r="J57" s="433">
        <x:f>+E57-F57</x:f>
      </x:c>
      <x:c r="K57" s="468">
        <x:f>+I57-D57</x:f>
      </x:c>
      <x:c r="L57" s="503">
        <x:v>0.03</x:v>
      </x:c>
      <x:c r="M57" s="504">
        <x:f>+J57*L57</x:f>
      </x:c>
      <x:c r="O57" s="432"/>
    </x:row>
    <x:row r="58" spans="1:30" ht="15" customHeight="1" x14ac:dyDescent="0.25">
      <x:c r="A58" s="461" t="s">
        <x:v>462</x:v>
      </x:c>
      <x:c r="B58" s="506" t="s">
        <x:v>463</x:v>
      </x:c>
      <x:c r="C58" s="463" t="s">
        <x:v>464</x:v>
      </x:c>
      <x:c r="D58" s="464">
        <x:v>45454</x:v>
      </x:c>
      <x:c r="E58" s="465">
        <x:v>152.88</x:v>
      </x:c>
      <x:c r="F58" s="465">
        <x:v>22.93</x:v>
      </x:c>
      <x:c r="G58" s="466">
        <x:v>143.62</x:v>
      </x:c>
      <x:c r="H58" s="465">
        <x:v>19.49</x:v>
      </x:c>
      <x:c r="I58" s="467">
        <x:v>45561</x:v>
      </x:c>
      <x:c r="J58" s="433">
        <x:f>143.62/1.15</x:f>
      </x:c>
      <x:c r="K58" s="468">
        <x:f>+I58-D58</x:f>
      </x:c>
      <x:c r="L58" s="503">
        <x:v>0.03</x:v>
      </x:c>
      <x:c r="M58" s="504">
        <x:f>+J58*L58</x:f>
      </x:c>
      <x:c r="O58" s="432"/>
    </x:row>
    <x:row r="59" spans="1:30" ht="15" customHeight="1" x14ac:dyDescent="0.25">
      <x:c r="A59" s="461" t="s">
        <x:v>49</x:v>
      </x:c>
      <x:c r="B59" s="506" t="s">
        <x:v>26</x:v>
      </x:c>
      <x:c r="C59" s="463" t="s">
        <x:v>608</x:v>
      </x:c>
      <x:c r="D59" s="464">
        <x:v>45454</x:v>
      </x:c>
      <x:c r="E59" s="465">
        <x:v>187.2</x:v>
      </x:c>
      <x:c r="F59" s="465">
        <x:v>28.08</x:v>
      </x:c>
      <x:c r="G59" s="466">
        <x:v>174.24</x:v>
      </x:c>
      <x:c r="H59" s="465">
        <x:v>23.87</x:v>
      </x:c>
      <x:c r="I59" s="467">
        <x:v>45552</x:v>
      </x:c>
      <x:c r="J59" s="433">
        <x:f>+E59-F59</x:f>
      </x:c>
      <x:c r="K59" s="468">
        <x:f>+I59-D59</x:f>
      </x:c>
      <x:c r="L59" s="503">
        <x:v>0.03</x:v>
      </x:c>
      <x:c r="M59" s="504">
        <x:f>+J59*L59</x:f>
      </x:c>
      <x:c r="O59" s="432"/>
    </x:row>
    <x:row r="60" spans="1:30" ht="15" customHeight="1" x14ac:dyDescent="0.25">
      <x:c r="A60" s="461" t="s">
        <x:v>49</x:v>
      </x:c>
      <x:c r="B60" s="506" t="s">
        <x:v>26</x:v>
      </x:c>
      <x:c r="C60" s="463" t="s">
        <x:v>609</x:v>
      </x:c>
      <x:c r="D60" s="464">
        <x:v>45454</x:v>
      </x:c>
      <x:c r="E60" s="465">
        <x:v>21.6</x:v>
      </x:c>
      <x:c r="F60" s="465">
        <x:v>3.24</x:v>
      </x:c>
      <x:c r="G60" s="466">
        <x:v>20.1</x:v>
      </x:c>
      <x:c r="H60" s="465">
        <x:v>2.75</x:v>
      </x:c>
      <x:c r="I60" s="467">
        <x:v>45552</x:v>
      </x:c>
      <x:c r="J60" s="433">
        <x:f>+E60-F60</x:f>
      </x:c>
      <x:c r="K60" s="468">
        <x:f>+I60-D60</x:f>
      </x:c>
      <x:c r="L60" s="503">
        <x:v>0.03</x:v>
      </x:c>
      <x:c r="M60" s="504">
        <x:f>+J60*L60</x:f>
      </x:c>
      <x:c r="O60" s="432"/>
    </x:row>
    <x:row r="61" spans="1:30" ht="15" customHeight="1" x14ac:dyDescent="0.25">
      <x:c r="A61" s="461" t="s">
        <x:v>49</x:v>
      </x:c>
      <x:c r="B61" s="506" t="s">
        <x:v>26</x:v>
      </x:c>
      <x:c r="C61" s="463" t="s">
        <x:v>610</x:v>
      </x:c>
      <x:c r="D61" s="464">
        <x:v>45457</x:v>
      </x:c>
      <x:c r="E61" s="465">
        <x:v>168</x:v>
      </x:c>
      <x:c r="F61" s="465">
        <x:v>25.2</x:v>
      </x:c>
      <x:c r="G61" s="466">
        <x:v>156.36</x:v>
      </x:c>
      <x:c r="H61" s="465">
        <x:v>21.42</x:v>
      </x:c>
      <x:c r="I61" s="467">
        <x:v>45552</x:v>
      </x:c>
      <x:c r="J61" s="433">
        <x:f>+E61-F61</x:f>
      </x:c>
      <x:c r="K61" s="468">
        <x:f>+I61-D61</x:f>
      </x:c>
      <x:c r="L61" s="503">
        <x:v>0.03</x:v>
      </x:c>
      <x:c r="M61" s="504">
        <x:f>+J61*L61</x:f>
      </x:c>
      <x:c r="O61" s="432"/>
    </x:row>
    <x:row r="62" spans="1:30" ht="15" customHeight="1" x14ac:dyDescent="0.25">
      <x:c r="A62" s="461" t="s">
        <x:v>49</x:v>
      </x:c>
      <x:c r="B62" s="506" t="s">
        <x:v>26</x:v>
      </x:c>
      <x:c r="C62" s="463" t="s">
        <x:v>611</x:v>
      </x:c>
      <x:c r="D62" s="464">
        <x:v>45460</x:v>
      </x:c>
      <x:c r="E62" s="465">
        <x:v>129.6</x:v>
      </x:c>
      <x:c r="F62" s="465">
        <x:v>19.44</x:v>
      </x:c>
      <x:c r="G62" s="466">
        <x:v>120.62</x:v>
      </x:c>
      <x:c r="H62" s="465">
        <x:v>16.52</x:v>
      </x:c>
      <x:c r="I62" s="467">
        <x:v>45545</x:v>
      </x:c>
      <x:c r="J62" s="433">
        <x:f>+E62-F62</x:f>
      </x:c>
      <x:c r="K62" s="468">
        <x:f>+I62-D62</x:f>
      </x:c>
      <x:c r="L62" s="503">
        <x:v>0.03</x:v>
      </x:c>
      <x:c r="M62" s="504">
        <x:f>+J62*L62</x:f>
      </x:c>
      <x:c r="O62" s="432"/>
    </x:row>
    <x:row r="63" spans="1:30" ht="15" customHeight="1" x14ac:dyDescent="0.25">
      <x:c r="A63" s="461" t="s">
        <x:v>49</x:v>
      </x:c>
      <x:c r="B63" s="506" t="s">
        <x:v>26</x:v>
      </x:c>
      <x:c r="C63" s="463" t="s">
        <x:v>612</x:v>
      </x:c>
      <x:c r="D63" s="464">
        <x:v>45461</x:v>
      </x:c>
      <x:c r="E63" s="465">
        <x:v>54</x:v>
      </x:c>
      <x:c r="F63" s="465">
        <x:v>8.1</x:v>
      </x:c>
      <x:c r="G63" s="466">
        <x:v>50.26</x:v>
      </x:c>
      <x:c r="H63" s="465">
        <x:v>6.89</x:v>
      </x:c>
      <x:c r="I63" s="467">
        <x:v>45545</x:v>
      </x:c>
      <x:c r="J63" s="433">
        <x:f>+E63-F63</x:f>
      </x:c>
      <x:c r="K63" s="468">
        <x:f>+I63-D63</x:f>
      </x:c>
      <x:c r="L63" s="503">
        <x:v>0.03</x:v>
      </x:c>
      <x:c r="M63" s="504">
        <x:f>+J63*L63</x:f>
      </x:c>
      <x:c r="O63" s="432"/>
    </x:row>
    <x:row r="64" spans="1:30" ht="15" customHeight="1" x14ac:dyDescent="0.25">
      <x:c r="A64" s="461" t="s">
        <x:v>613</x:v>
      </x:c>
      <x:c r="B64" s="506" t="s">
        <x:v>463</x:v>
      </x:c>
      <x:c r="C64" s="463" t="s">
        <x:v>614</x:v>
      </x:c>
      <x:c r="D64" s="464">
        <x:v>45463</x:v>
      </x:c>
      <x:c r="E64" s="465">
        <x:v>171.6</x:v>
      </x:c>
      <x:c r="F64" s="465">
        <x:v>25.74</x:v>
      </x:c>
      <x:c r="G64" s="466">
        <x:v>167.74</x:v>
      </x:c>
      <x:c r="H64" s="465">
        <x:v>21.88</x:v>
      </x:c>
      <x:c r="I64" s="467">
        <x:v>45561</x:v>
      </x:c>
      <x:c r="J64" s="433">
        <x:f>+E64-F64</x:f>
      </x:c>
      <x:c r="K64" s="468">
        <x:f>+I64-D64</x:f>
      </x:c>
      <x:c r="L64" s="503">
        <x:v>0.03</x:v>
      </x:c>
      <x:c r="M64" s="504">
        <x:f>+J64*L64</x:f>
      </x:c>
      <x:c r="O64" s="432"/>
    </x:row>
    <x:row r="65" spans="1:30" ht="15" customHeight="1" x14ac:dyDescent="0.25">
      <x:c r="A65" s="461" t="s">
        <x:v>613</x:v>
      </x:c>
      <x:c r="B65" s="506" t="s">
        <x:v>463</x:v>
      </x:c>
      <x:c r="C65" s="463" t="s">
        <x:v>615</x:v>
      </x:c>
      <x:c r="D65" s="464">
        <x:v>45463</x:v>
      </x:c>
      <x:c r="E65" s="465">
        <x:v>61.2</x:v>
      </x:c>
      <x:c r="F65" s="465">
        <x:v>9.19</x:v>
      </x:c>
      <x:c r="G65" s="466">
        <x:v>59.81</x:v>
      </x:c>
      <x:c r="H65" s="465">
        <x:v>7.8</x:v>
      </x:c>
      <x:c r="I65" s="467">
        <x:v>45561</x:v>
      </x:c>
      <x:c r="J65" s="433">
        <x:f>+E65-F65</x:f>
      </x:c>
      <x:c r="K65" s="468">
        <x:f>+I65-D65</x:f>
      </x:c>
      <x:c r="L65" s="503">
        <x:v>0.03</x:v>
      </x:c>
      <x:c r="M65" s="504">
        <x:f>+J65*L65</x:f>
      </x:c>
      <x:c r="O65" s="432"/>
    </x:row>
    <x:row r="66" spans="1:30" ht="15" customHeight="1" x14ac:dyDescent="0.25">
      <x:c r="A66" s="461" t="s">
        <x:v>67</x:v>
      </x:c>
      <x:c r="B66" s="505" t="s">
        <x:v>26</x:v>
      </x:c>
      <x:c r="C66" s="463" t="s">
        <x:v>616</x:v>
      </x:c>
      <x:c r="D66" s="464">
        <x:v>45471</x:v>
      </x:c>
      <x:c r="E66" s="465">
        <x:v>70.2</x:v>
      </x:c>
      <x:c r="F66" s="465">
        <x:v>10.53</x:v>
      </x:c>
      <x:c r="G66" s="466">
        <x:v>68.62</x:v>
      </x:c>
      <x:c r="H66" s="465">
        <x:v>8.95</x:v>
      </x:c>
      <x:c r="I66" s="467">
        <x:v>45547</x:v>
      </x:c>
      <x:c r="J66" s="433">
        <x:f>+E66-F66</x:f>
      </x:c>
      <x:c r="K66" s="468">
        <x:f>+I66-D66</x:f>
      </x:c>
      <x:c r="L66" s="503">
        <x:v>0.03</x:v>
      </x:c>
      <x:c r="M66" s="504">
        <x:f>+J66*L66</x:f>
      </x:c>
      <x:c r="O66" s="432"/>
    </x:row>
    <x:row r="67" spans="1:30" ht="15" customHeight="1" x14ac:dyDescent="0.25">
      <x:c r="A67" s="461" t="s">
        <x:v>49</x:v>
      </x:c>
      <x:c r="B67" s="506" t="s">
        <x:v>26</x:v>
      </x:c>
      <x:c r="C67" s="463" t="s">
        <x:v>617</x:v>
      </x:c>
      <x:c r="D67" s="464">
        <x:v>45477</x:v>
      </x:c>
      <x:c r="E67" s="465">
        <x:v>315.24</x:v>
      </x:c>
      <x:c r="F67" s="465">
        <x:v>47.28</x:v>
      </x:c>
      <x:c r="G67" s="466">
        <x:v>293.41</x:v>
      </x:c>
      <x:c r="H67" s="465">
        <x:v>40.19</x:v>
      </x:c>
      <x:c r="I67" s="464">
        <x:v>45552</x:v>
      </x:c>
      <x:c r="J67" s="433">
        <x:f>+E67-F67</x:f>
      </x:c>
      <x:c r="K67" s="468">
        <x:f>+I67-D67</x:f>
      </x:c>
      <x:c r="L67" s="503">
        <x:v>0.03</x:v>
      </x:c>
      <x:c r="M67" s="504">
        <x:f>+J67*L67</x:f>
      </x:c>
      <x:c r="O67" s="432"/>
    </x:row>
    <x:row r="68" spans="1:30" ht="15" customHeight="1" x14ac:dyDescent="0.25">
      <x:c r="A68" s="461" t="s">
        <x:v>49</x:v>
      </x:c>
      <x:c r="B68" s="506" t="s">
        <x:v>26</x:v>
      </x:c>
      <x:c r="C68" s="463" t="s">
        <x:v>618</x:v>
      </x:c>
      <x:c r="D68" s="464">
        <x:v>45482</x:v>
      </x:c>
      <x:c r="E68" s="465">
        <x:v>108.72</x:v>
      </x:c>
      <x:c r="F68" s="465">
        <x:v>16.31</x:v>
      </x:c>
      <x:c r="G68" s="466">
        <x:v>101.19</x:v>
      </x:c>
      <x:c r="H68" s="465">
        <x:v>13.86</x:v>
      </x:c>
      <x:c r="I68" s="464">
        <x:v>45552</x:v>
      </x:c>
      <x:c r="J68" s="433">
        <x:f>+E68-F68</x:f>
      </x:c>
      <x:c r="K68" s="468">
        <x:f>+I68-D68</x:f>
      </x:c>
      <x:c r="L68" s="503">
        <x:v>0.03</x:v>
      </x:c>
      <x:c r="M68" s="504">
        <x:f>+J68*L68</x:f>
      </x:c>
      <x:c r="O68" s="432"/>
    </x:row>
    <x:row r="69" spans="1:30" ht="15" customHeight="1" x14ac:dyDescent="0.25">
      <x:c r="A69" s="461" t="s">
        <x:v>114</x:v>
      </x:c>
      <x:c r="B69" s="506" t="s">
        <x:v>26</x:v>
      </x:c>
      <x:c r="C69" s="463" t="s">
        <x:v>619</x:v>
      </x:c>
      <x:c r="D69" s="464">
        <x:v>45492</x:v>
      </x:c>
      <x:c r="E69" s="465">
        <x:v>684.6</x:v>
      </x:c>
      <x:c r="F69" s="465">
        <x:v>136.92</x:v>
      </x:c>
      <x:c r="G69" s="466">
        <x:v>599.7</x:v>
      </x:c>
      <x:c r="H69" s="465">
        <x:v>82.15</x:v>
      </x:c>
      <x:c r="I69" s="467">
        <x:v>45554</x:v>
      </x:c>
      <x:c r="J69" s="433">
        <x:f>+E69-F69</x:f>
      </x:c>
      <x:c r="K69" s="468">
        <x:f>+I69-D69</x:f>
      </x:c>
      <x:c r="L69" s="503">
        <x:v>0.03</x:v>
      </x:c>
      <x:c r="M69" s="504">
        <x:f>+J69*L69</x:f>
      </x:c>
      <x:c r="O69" s="432"/>
    </x:row>
    <x:row r="70" spans="1:30" ht="15" customHeight="1" x14ac:dyDescent="0.25">
      <x:c r="A70" s="461" t="s">
        <x:v>217</x:v>
      </x:c>
      <x:c r="B70" s="505" t="s">
        <x:v>53</x:v>
      </x:c>
      <x:c r="C70" s="463" t="s">
        <x:v>620</x:v>
      </x:c>
      <x:c r="D70" s="464">
        <x:v>45495</x:v>
      </x:c>
      <x:c r="E70" s="465">
        <x:v>6342.96</x:v>
      </x:c>
      <x:c r="F70" s="465">
        <x:v>1585.74</x:v>
      </x:c>
      <x:c r="G70" s="466">
        <x:v>5209.16</x:v>
      </x:c>
      <x:c r="H70" s="465">
        <x:v>713.58</x:v>
      </x:c>
      <x:c r="I70" s="464">
        <x:v>45538</x:v>
      </x:c>
      <x:c r="J70" s="433">
        <x:f>+E70-F70</x:f>
      </x:c>
      <x:c r="K70" s="468">
        <x:f>+I70-D70</x:f>
      </x:c>
      <x:c r="L70" s="503">
        <x:v>0.03</x:v>
      </x:c>
      <x:c r="M70" s="504">
        <x:f>+J70*L70</x:f>
      </x:c>
      <x:c r="O70" s="432"/>
    </x:row>
    <x:row r="71" spans="1:30" ht="15" customHeight="1" x14ac:dyDescent="0.25">
      <x:c r="A71" s="461" t="s">
        <x:v>164</x:v>
      </x:c>
      <x:c r="B71" s="506" t="s">
        <x:v>26</x:v>
      </x:c>
      <x:c r="C71" s="463" t="s">
        <x:v>621</x:v>
      </x:c>
      <x:c r="D71" s="464">
        <x:v>45502</x:v>
      </x:c>
      <x:c r="E71" s="465">
        <x:v>141</x:v>
      </x:c>
      <x:c r="F71" s="465">
        <x:v>21.15</x:v>
      </x:c>
      <x:c r="G71" s="466">
        <x:v>137.83</x:v>
      </x:c>
      <x:c r="H71" s="465">
        <x:v>17.98</x:v>
      </x:c>
      <x:c r="I71" s="464">
        <x:v>45556</x:v>
      </x:c>
      <x:c r="J71" s="433">
        <x:f>+E71-F71</x:f>
      </x:c>
      <x:c r="K71" s="468">
        <x:f>+I71-D71</x:f>
      </x:c>
      <x:c r="L71" s="503">
        <x:v>0.03</x:v>
      </x:c>
      <x:c r="M71" s="504">
        <x:f>+J71*L71</x:f>
      </x:c>
      <x:c r="O71" s="432"/>
    </x:row>
    <x:row r="72" spans="1:30" ht="15" customHeight="1" x14ac:dyDescent="0.25">
      <x:c r="A72" s="461" t="s">
        <x:v>114</x:v>
      </x:c>
      <x:c r="B72" s="506" t="s">
        <x:v>26</x:v>
      </x:c>
      <x:c r="C72" s="463" t="s">
        <x:v>622</x:v>
      </x:c>
      <x:c r="D72" s="464">
        <x:v>45509</x:v>
      </x:c>
      <x:c r="E72" s="465">
        <x:v>33.12</x:v>
      </x:c>
      <x:c r="F72" s="465">
        <x:v>4.97</x:v>
      </x:c>
      <x:c r="G72" s="466">
        <x:v>30.82</x:v>
      </x:c>
      <x:c r="H72" s="465">
        <x:v>4.22</x:v>
      </x:c>
      <x:c r="I72" s="467">
        <x:v>45554</x:v>
      </x:c>
      <x:c r="J72" s="433">
        <x:f>+E72-F72</x:f>
      </x:c>
      <x:c r="K72" s="468">
        <x:f>+I72-D72</x:f>
      </x:c>
      <x:c r="L72" s="503">
        <x:v>0.03</x:v>
      </x:c>
      <x:c r="M72" s="504">
        <x:f>+J72*L72</x:f>
      </x:c>
      <x:c r="O72" s="432"/>
    </x:row>
    <x:row r="73" spans="1:30" ht="15" customHeight="1" x14ac:dyDescent="0.25">
      <x:c r="A73" s="461" t="s">
        <x:v>623</x:v>
      </x:c>
      <x:c r="B73" s="572" t="s">
        <x:v>105</x:v>
      </x:c>
      <x:c r="C73" s="463" t="s">
        <x:v>624</x:v>
      </x:c>
      <x:c r="D73" s="464">
        <x:v>45531</x:v>
      </x:c>
      <x:c r="E73" s="465">
        <x:v>330.48</x:v>
      </x:c>
      <x:c r="F73" s="465">
        <x:v>49.58</x:v>
      </x:c>
      <x:c r="G73" s="466">
        <x:v>323.04</x:v>
      </x:c>
      <x:c r="H73" s="465">
        <x:v>42.14</x:v>
      </x:c>
      <x:c r="I73" s="467">
        <x:v>45565</x:v>
      </x:c>
      <x:c r="J73" s="433">
        <x:f>+E73-F73</x:f>
      </x:c>
      <x:c r="K73" s="468">
        <x:f>+I73-D73</x:f>
      </x:c>
      <x:c r="L73" s="503">
        <x:v>0.03</x:v>
      </x:c>
      <x:c r="M73" s="504">
        <x:f>+J73*L73</x:f>
      </x:c>
      <x:c r="O73" s="432"/>
    </x:row>
    <x:row r="74" spans="1:30" ht="15" customHeight="1" x14ac:dyDescent="0.25">
      <x:c r="A74" s="461" t="s">
        <x:v>625</x:v>
      </x:c>
      <x:c r="B74" s="572" t="s">
        <x:v>105</x:v>
      </x:c>
      <x:c r="C74" s="463" t="s">
        <x:v>626</x:v>
      </x:c>
      <x:c r="D74" s="464">
        <x:v>45531</x:v>
      </x:c>
      <x:c r="E74" s="465">
        <x:v>226.56</x:v>
      </x:c>
      <x:c r="F74" s="465">
        <x:v>22.66</x:v>
      </x:c>
      <x:c r="G74" s="466">
        <x:v>223.27</x:v>
      </x:c>
      <x:c r="H74" s="465">
        <x:v>30.59</x:v>
      </x:c>
      <x:c r="I74" s="467">
        <x:v>45544</x:v>
      </x:c>
      <x:c r="J74" s="433">
        <x:f>+E74-F74</x:f>
      </x:c>
      <x:c r="K74" s="468">
        <x:f>+I74-D74</x:f>
      </x:c>
      <x:c r="L74" s="503">
        <x:v>0.035</x:v>
      </x:c>
      <x:c r="M74" s="504">
        <x:f>+J74*L74</x:f>
      </x:c>
      <x:c r="O74" s="432"/>
    </x:row>
    <x:row r="75" spans="1:30" ht="15" customHeight="1" x14ac:dyDescent="0.25">
      <x:c r="A75" s="461" t="s">
        <x:v>627</x:v>
      </x:c>
      <x:c r="B75" s="506" t="s">
        <x:v>26</x:v>
      </x:c>
      <x:c r="C75" s="463" t="s">
        <x:v>628</x:v>
      </x:c>
      <x:c r="D75" s="464">
        <x:v>45531</x:v>
      </x:c>
      <x:c r="E75" s="465">
        <x:v>61.2</x:v>
      </x:c>
      <x:c r="F75" s="465">
        <x:v>9.18</x:v>
      </x:c>
      <x:c r="G75" s="466">
        <x:v>59.82</x:v>
      </x:c>
      <x:c r="H75" s="465">
        <x:v>7.8</x:v>
      </x:c>
      <x:c r="I75" s="467">
        <x:v>45539</x:v>
      </x:c>
      <x:c r="J75" s="433">
        <x:f>+E75-F75</x:f>
      </x:c>
      <x:c r="K75" s="468">
        <x:f>+I75-D75</x:f>
      </x:c>
      <x:c r="L75" s="503">
        <x:v>0.035</x:v>
      </x:c>
      <x:c r="M75" s="504">
        <x:f>+J75*L75</x:f>
      </x:c>
      <x:c r="O75" s="432"/>
    </x:row>
    <x:row r="76" spans="1:30" ht="15" customHeight="1" x14ac:dyDescent="0.25">
      <x:c r="A76" s="461" t="s">
        <x:v>629</x:v>
      </x:c>
      <x:c r="B76" s="572" t="s">
        <x:v>105</x:v>
      </x:c>
      <x:c r="C76" s="463" t="s">
        <x:v>630</x:v>
      </x:c>
      <x:c r="D76" s="464">
        <x:v>45533</x:v>
      </x:c>
      <x:c r="E76" s="465">
        <x:v>139.92</x:v>
      </x:c>
      <x:c r="F76" s="465">
        <x:v>20.98</x:v>
      </x:c>
      <x:c r="G76" s="466">
        <x:v>136.78</x:v>
      </x:c>
      <x:c r="H76" s="465">
        <x:v>17.84</x:v>
      </x:c>
      <x:c r="I76" s="467">
        <x:v>45564</x:v>
      </x:c>
      <x:c r="J76" s="433">
        <x:f>+E76-F76</x:f>
      </x:c>
      <x:c r="K76" s="468">
        <x:f>+I76-D76</x:f>
      </x:c>
      <x:c r="L76" s="503">
        <x:v>0.03</x:v>
      </x:c>
      <x:c r="M76" s="504">
        <x:f>+J76*L76</x:f>
      </x:c>
      <x:c r="O76" s="432"/>
    </x:row>
    <x:row r="77" spans="1:30" ht="15" customHeight="1" x14ac:dyDescent="0.25">
      <x:c r="A77" s="461" t="s">
        <x:v>52</x:v>
      </x:c>
      <x:c r="B77" s="505" t="s">
        <x:v>53</x:v>
      </x:c>
      <x:c r="C77" s="463" t="s">
        <x:v>631</x:v>
      </x:c>
      <x:c r="D77" s="464">
        <x:v>45539</x:v>
      </x:c>
      <x:c r="E77" s="465">
        <x:v>598.49</x:v>
      </x:c>
      <x:c r="F77" s="465">
        <x:v>149.62</x:v>
      </x:c>
      <x:c r="G77" s="466">
        <x:v>516.2</x:v>
      </x:c>
      <x:c r="H77" s="465">
        <x:v>67.33</x:v>
      </x:c>
      <x:c r="I77" s="467">
        <x:v>45551</x:v>
      </x:c>
      <x:c r="J77" s="433">
        <x:f>+E77-F77</x:f>
      </x:c>
      <x:c r="K77" s="468">
        <x:f>+I77-D77</x:f>
      </x:c>
      <x:c r="L77" s="503">
        <x:v>0.035</x:v>
      </x:c>
      <x:c r="M77" s="504">
        <x:f>+J77*L77</x:f>
      </x:c>
      <x:c r="O77" s="432"/>
    </x:row>
    <x:row r="78" spans="1:30" ht="15" customHeight="1" x14ac:dyDescent="0.25">
      <x:c r="A78" s="461" t="s">
        <x:v>450</x:v>
      </x:c>
      <x:c r="B78" s="573" t="s">
        <x:v>110</x:v>
      </x:c>
      <x:c r="C78" s="463" t="s">
        <x:v>632</x:v>
      </x:c>
      <x:c r="D78" s="464">
        <x:v>45546</x:v>
      </x:c>
      <x:c r="E78" s="465">
        <x:v>69.84</x:v>
      </x:c>
      <x:c r="F78" s="465">
        <x:v>0</x:v>
      </x:c>
      <x:c r="G78" s="466">
        <x:v>80.32</x:v>
      </x:c>
      <x:c r="H78" s="465">
        <x:v>10.48</x:v>
      </x:c>
      <x:c r="I78" s="467">
        <x:v>45547</x:v>
      </x:c>
      <x:c r="J78" s="433">
        <x:f>+E78-F78</x:f>
      </x:c>
      <x:c r="K78" s="468">
        <x:f>+I78-D78</x:f>
      </x:c>
      <x:c r="L78" s="503">
        <x:v>0.04</x:v>
      </x:c>
      <x:c r="M78" s="504">
        <x:f>+J78*L78</x:f>
      </x:c>
      <x:c r="O78" s="432"/>
    </x:row>
    <x:row r="79" spans="1:30" ht="15" customHeight="1" x14ac:dyDescent="0.25">
      <x:c r="A79" s="461" t="s">
        <x:v>225</x:v>
      </x:c>
      <x:c r="B79" s="505" t="s">
        <x:v>105</x:v>
      </x:c>
      <x:c r="C79" s="463" t="s">
        <x:v>633</x:v>
      </x:c>
      <x:c r="D79" s="464">
        <x:v>45548</x:v>
      </x:c>
      <x:c r="E79" s="465">
        <x:v>762</x:v>
      </x:c>
      <x:c r="F79" s="465">
        <x:v>190.5</x:v>
      </x:c>
      <x:c r="G79" s="466">
        <x:v>625.79</x:v>
      </x:c>
      <x:c r="H79" s="465">
        <x:v>85.73</x:v>
      </x:c>
      <x:c r="I79" s="467">
        <x:v>45554</x:v>
      </x:c>
      <x:c r="J79" s="433">
        <x:f>+E79-F79</x:f>
      </x:c>
      <x:c r="K79" s="468">
        <x:f>+I79-D79</x:f>
      </x:c>
      <x:c r="L79" s="503">
        <x:v>0.04</x:v>
      </x:c>
      <x:c r="M79" s="504">
        <x:f>+J79*L79</x:f>
      </x:c>
      <x:c r="O79" s="432"/>
    </x:row>
    <x:row r="80" spans="1:30" ht="15" customHeight="1" x14ac:dyDescent="0.25">
      <x:c r="A80" s="549"/>
      <x:c r="B80" s="543"/>
      <x:c r="C80" s="525"/>
      <x:c r="D80" s="526"/>
      <x:c r="E80" s="527"/>
      <x:c r="F80" s="527"/>
      <x:c r="G80" s="528"/>
      <x:c r="H80" s="527"/>
      <x:c r="I80" s="529"/>
      <x:c r="J80" s="433"/>
      <x:c r="K80" s="468"/>
      <x:c r="L80" s="503"/>
      <x:c r="M80" s="504"/>
      <x:c r="O80" s="432"/>
    </x:row>
    <x:row r="81" spans="1:30" ht="15" customHeight="1" x14ac:dyDescent="0.3">
      <x:c r="G81" s="516">
        <x:f>SUM(G43:G80)</x:f>
      </x:c>
      <x:c r="J81" s="516">
        <x:f>SUM(J43:J80)</x:f>
      </x:c>
      <x:c r="M81" s="516">
        <x:f>SUM(M43:M80)</x:f>
      </x:c>
    </x:row>
    <x:row r="82" spans="1:30" ht="15" customHeight="1" x14ac:dyDescent="0.25">
      <x:c r="G82" s="435"/>
      <x:c r="H82" s="435"/>
    </x:row>
    <x:row r="83" spans="1:30" ht="15" customHeight="1" x14ac:dyDescent="0.25">
      <x:c r="A83" s="517" t="s">
        <x:v>30</x:v>
      </x:c>
      <x:c r="B83" s="517" t="s">
        <x:v>31</x:v>
      </x:c>
      <x:c r="C83" s="518" t="s">
        <x:v>32</x:v>
      </x:c>
      <x:c r="I83" s="435"/>
      <x:c r="J83" s="435"/>
    </x:row>
    <x:row r="84" spans="1:30" ht="15" customHeight="1" s="434" customFormat="1" x14ac:dyDescent="0.25">
      <x:c r="A84" s="486" t="s">
        <x:v>179</x:v>
      </x:c>
      <x:c r="B84" s="487" t="s">
        <x:v>634</x:v>
      </x:c>
      <x:c r="C84" s="488" t="s">
        <x:v>635</x:v>
      </x:c>
      <x:c r="D84" s="489">
        <x:v>45454</x:v>
      </x:c>
      <x:c r="E84" s="490">
        <x:v>234</x:v>
      </x:c>
      <x:c r="F84" s="490">
        <x:v>35.1</x:v>
      </x:c>
      <x:c r="G84" s="491">
        <x:f>228.74-1.99-8.95</x:f>
      </x:c>
      <x:c r="H84" s="490">
        <x:v>29.84</x:v>
      </x:c>
      <x:c r="I84" s="492">
        <x:v>45576</x:v>
      </x:c>
      <x:c r="J84" s="433">
        <x:f>+E84-F84</x:f>
      </x:c>
      <x:c r="K84" s="468">
        <x:f>+I84-D84</x:f>
      </x:c>
      <x:c r="L84" s="469">
        <x:v>0.03</x:v>
      </x:c>
      <x:c r="M84" s="433">
        <x:f>+J84*L84</x:f>
      </x:c>
      <x:c r="N84" s="470"/>
      <x:c r="O84" s="432"/>
    </x:row>
    <x:row r="85" spans="1:30" ht="15" customHeight="1" s="434" customFormat="1" x14ac:dyDescent="0.25">
      <x:c r="A85" s="486" t="s">
        <x:v>101</x:v>
      </x:c>
      <x:c r="B85" s="487" t="s">
        <x:v>636</x:v>
      </x:c>
      <x:c r="C85" s="488" t="s">
        <x:v>637</x:v>
      </x:c>
      <x:c r="D85" s="489">
        <x:v>45524</x:v>
      </x:c>
      <x:c r="E85" s="490">
        <x:v>81.6</x:v>
      </x:c>
      <x:c r="F85" s="490">
        <x:v>12.24</x:v>
      </x:c>
      <x:c r="G85" s="502">
        <x:v>75.95</x:v>
      </x:c>
      <x:c r="H85" s="490">
        <x:v>10.4</x:v>
      </x:c>
      <x:c r="I85" s="467">
        <x:v>45575</x:v>
      </x:c>
      <x:c r="J85" s="433">
        <x:f>+E85-F85</x:f>
      </x:c>
      <x:c r="K85" s="468">
        <x:f>+I85-D85</x:f>
      </x:c>
      <x:c r="L85" s="469">
        <x:v>0.03</x:v>
      </x:c>
      <x:c r="M85" s="433">
        <x:f>+J85*L85</x:f>
      </x:c>
      <x:c r="N85" s="470"/>
      <x:c r="O85" s="432"/>
    </x:row>
    <x:row r="86" spans="1:30" ht="15" customHeight="1" s="434" customFormat="1" x14ac:dyDescent="0.25">
      <x:c r="A86" s="486" t="s">
        <x:v>101</x:v>
      </x:c>
      <x:c r="B86" s="487" t="s">
        <x:v>636</x:v>
      </x:c>
      <x:c r="C86" s="488" t="s">
        <x:v>638</x:v>
      </x:c>
      <x:c r="D86" s="489">
        <x:v>45525</x:v>
      </x:c>
      <x:c r="E86" s="490">
        <x:v>139.2</x:v>
      </x:c>
      <x:c r="F86" s="490">
        <x:v>20.88</x:v>
      </x:c>
      <x:c r="G86" s="502">
        <x:v>129.56</x:v>
      </x:c>
      <x:c r="H86" s="490">
        <x:v>17.75</x:v>
      </x:c>
      <x:c r="I86" s="467">
        <x:v>45575</x:v>
      </x:c>
      <x:c r="J86" s="433">
        <x:f>+E86-F86</x:f>
      </x:c>
      <x:c r="K86" s="468">
        <x:f>+I86-D86</x:f>
      </x:c>
      <x:c r="L86" s="469">
        <x:v>0.03</x:v>
      </x:c>
      <x:c r="M86" s="433">
        <x:f>+J86*L86</x:f>
      </x:c>
      <x:c r="N86" s="470"/>
      <x:c r="O86" s="432"/>
    </x:row>
    <x:row r="87" spans="1:30" ht="15" customHeight="1" s="434" customFormat="1" x14ac:dyDescent="0.25">
      <x:c r="A87" s="486" t="s">
        <x:v>101</x:v>
      </x:c>
      <x:c r="B87" s="487" t="s">
        <x:v>639</x:v>
      </x:c>
      <x:c r="C87" s="488" t="s">
        <x:v>640</x:v>
      </x:c>
      <x:c r="D87" s="489">
        <x:v>45527</x:v>
      </x:c>
      <x:c r="E87" s="490">
        <x:v>174</x:v>
      </x:c>
      <x:c r="F87" s="490">
        <x:v>26.1</x:v>
      </x:c>
      <x:c r="G87" s="502">
        <x:v>161.95</x:v>
      </x:c>
      <x:c r="H87" s="490">
        <x:v>22.19</x:v>
      </x:c>
      <x:c r="I87" s="467">
        <x:v>45583</x:v>
      </x:c>
      <x:c r="J87" s="433">
        <x:f>+E87-F87</x:f>
      </x:c>
      <x:c r="K87" s="468">
        <x:f>+I87-D87</x:f>
      </x:c>
      <x:c r="L87" s="469">
        <x:v>0.03</x:v>
      </x:c>
      <x:c r="M87" s="433">
        <x:f>+J87*L87</x:f>
      </x:c>
      <x:c r="N87" s="470"/>
      <x:c r="O87" s="432"/>
    </x:row>
    <x:row r="88" spans="1:30" ht="15" customHeight="1" s="434" customFormat="1" x14ac:dyDescent="0.25">
      <x:c r="A88" s="486" t="s">
        <x:v>629</x:v>
      </x:c>
      <x:c r="B88" s="487" t="s">
        <x:v>641</x:v>
      </x:c>
      <x:c r="C88" s="488" t="s">
        <x:v>642</x:v>
      </x:c>
      <x:c r="D88" s="489">
        <x:v>45534</x:v>
      </x:c>
      <x:c r="E88" s="490">
        <x:v>132</x:v>
      </x:c>
      <x:c r="F88" s="490">
        <x:v>19.78</x:v>
      </x:c>
      <x:c r="G88" s="502">
        <x:v>129.05</x:v>
      </x:c>
      <x:c r="H88" s="490">
        <x:v>16.83</x:v>
      </x:c>
      <x:c r="I88" s="467">
        <x:v>45572</x:v>
      </x:c>
      <x:c r="J88" s="433">
        <x:f>+E88-F88</x:f>
      </x:c>
      <x:c r="K88" s="468">
        <x:f>+I88-D88</x:f>
      </x:c>
      <x:c r="L88" s="469">
        <x:v>0.03</x:v>
      </x:c>
      <x:c r="M88" s="433">
        <x:f>+J88*L88</x:f>
      </x:c>
      <x:c r="N88" s="470"/>
      <x:c r="O88" s="432"/>
    </x:row>
    <x:row r="89" spans="1:30" ht="15" customHeight="1" s="434" customFormat="1" x14ac:dyDescent="0.25">
      <x:c r="A89" s="486" t="s">
        <x:v>70</x:v>
      </x:c>
      <x:c r="B89" s="487" t="s">
        <x:v>643</x:v>
      </x:c>
      <x:c r="C89" s="488" t="s">
        <x:v>644</x:v>
      </x:c>
      <x:c r="D89" s="489">
        <x:v>45537</x:v>
      </x:c>
      <x:c r="E89" s="490">
        <x:v>163.2</x:v>
      </x:c>
      <x:c r="F89" s="490">
        <x:v>24.48</x:v>
      </x:c>
      <x:c r="G89" s="502">
        <x:v>151.9</x:v>
      </x:c>
      <x:c r="H89" s="490">
        <x:v>20.81</x:v>
      </x:c>
      <x:c r="I89" s="467">
        <x:v>45567</x:v>
      </x:c>
      <x:c r="J89" s="433">
        <x:f>+E89-F89</x:f>
      </x:c>
      <x:c r="K89" s="468">
        <x:f>+I89-D89</x:f>
      </x:c>
      <x:c r="L89" s="469">
        <x:v>0.03</x:v>
      </x:c>
      <x:c r="M89" s="433">
        <x:f>+J89*L89</x:f>
      </x:c>
      <x:c r="N89" s="470"/>
      <x:c r="O89" s="432"/>
    </x:row>
    <x:row r="90" spans="1:30" ht="15" customHeight="1" s="434" customFormat="1" x14ac:dyDescent="0.25">
      <x:c r="A90" s="486" t="s">
        <x:v>136</x:v>
      </x:c>
      <x:c r="B90" s="487" t="s">
        <x:v>645</x:v>
      </x:c>
      <x:c r="C90" s="488" t="s">
        <x:v>646</x:v>
      </x:c>
      <x:c r="D90" s="489">
        <x:v>45537</x:v>
      </x:c>
      <x:c r="E90" s="490">
        <x:v>1003.2</x:v>
      </x:c>
      <x:c r="F90" s="490">
        <x:v>250.8</x:v>
      </x:c>
      <x:c r="G90" s="502">
        <x:v>823.88</x:v>
      </x:c>
      <x:c r="H90" s="490">
        <x:v>112.86</x:v>
      </x:c>
      <x:c r="I90" s="467">
        <x:v>45567</x:v>
      </x:c>
      <x:c r="J90" s="433">
        <x:f>+E90-F90</x:f>
      </x:c>
      <x:c r="K90" s="468">
        <x:f>+I90-D90</x:f>
      </x:c>
      <x:c r="L90" s="469">
        <x:v>0.03</x:v>
      </x:c>
      <x:c r="M90" s="433">
        <x:f>+J90*L90</x:f>
      </x:c>
      <x:c r="N90" s="470"/>
      <x:c r="O90" s="432"/>
    </x:row>
    <x:row r="91" spans="1:30" ht="15" customHeight="1" s="434" customFormat="1" x14ac:dyDescent="0.25">
      <x:c r="A91" s="486" t="s">
        <x:v>101</x:v>
      </x:c>
      <x:c r="B91" s="487" t="s">
        <x:v>636</x:v>
      </x:c>
      <x:c r="C91" s="488" t="s">
        <x:v>647</x:v>
      </x:c>
      <x:c r="D91" s="489">
        <x:v>45538</x:v>
      </x:c>
      <x:c r="E91" s="490">
        <x:v>174</x:v>
      </x:c>
      <x:c r="F91" s="490">
        <x:v>26.1</x:v>
      </x:c>
      <x:c r="G91" s="502">
        <x:v>161.95</x:v>
      </x:c>
      <x:c r="H91" s="490">
        <x:v>22.19</x:v>
      </x:c>
      <x:c r="I91" s="467">
        <x:v>45575</x:v>
      </x:c>
      <x:c r="J91" s="433">
        <x:f>+E91-F91</x:f>
      </x:c>
      <x:c r="K91" s="468">
        <x:f>+I91-D91</x:f>
      </x:c>
      <x:c r="L91" s="469">
        <x:v>0.03</x:v>
      </x:c>
      <x:c r="M91" s="433">
        <x:f>+J91*L91</x:f>
      </x:c>
      <x:c r="N91" s="470"/>
      <x:c r="O91" s="432"/>
    </x:row>
    <x:row r="92" spans="1:30" ht="15" customHeight="1" s="434" customFormat="1" x14ac:dyDescent="0.25">
      <x:c r="A92" s="486" t="s">
        <x:v>136</x:v>
      </x:c>
      <x:c r="B92" s="487" t="s">
        <x:v>648</x:v>
      </x:c>
      <x:c r="C92" s="488" t="s">
        <x:v>649</x:v>
      </x:c>
      <x:c r="D92" s="489">
        <x:v>45551</x:v>
      </x:c>
      <x:c r="E92" s="490">
        <x:v>1632</x:v>
      </x:c>
      <x:c r="F92" s="490">
        <x:v>408</x:v>
      </x:c>
      <x:c r="G92" s="502">
        <x:v>1340.28</x:v>
      </x:c>
      <x:c r="H92" s="490">
        <x:v>183.6</x:v>
      </x:c>
      <x:c r="I92" s="467">
        <x:v>45581</x:v>
      </x:c>
      <x:c r="J92" s="433">
        <x:f>+E92-F92</x:f>
      </x:c>
      <x:c r="K92" s="468">
        <x:f>+I92-D92</x:f>
      </x:c>
      <x:c r="L92" s="469">
        <x:v>0.03</x:v>
      </x:c>
      <x:c r="M92" s="433">
        <x:f>+J92*L92</x:f>
      </x:c>
      <x:c r="N92" s="470"/>
      <x:c r="O92" s="432"/>
    </x:row>
    <x:row r="93" spans="1:30" ht="15" customHeight="1" s="434" customFormat="1" x14ac:dyDescent="0.25">
      <x:c r="A93" s="486" t="s">
        <x:v>136</x:v>
      </x:c>
      <x:c r="B93" s="487" t="s">
        <x:v>650</x:v>
      </x:c>
      <x:c r="C93" s="488" t="s">
        <x:v>651</x:v>
      </x:c>
      <x:c r="D93" s="489">
        <x:v>45552</x:v>
      </x:c>
      <x:c r="E93" s="490">
        <x:v>1108.8</x:v>
      </x:c>
      <x:c r="F93" s="490">
        <x:v>277.2</x:v>
      </x:c>
      <x:c r="G93" s="502">
        <x:v>910.6</x:v>
      </x:c>
      <x:c r="H93" s="490">
        <x:v>124.74</x:v>
      </x:c>
      <x:c r="I93" s="467">
        <x:v>45582</x:v>
      </x:c>
      <x:c r="J93" s="433">
        <x:f>+E93-F93</x:f>
      </x:c>
      <x:c r="K93" s="468">
        <x:f>+I93-D93</x:f>
      </x:c>
      <x:c r="L93" s="469">
        <x:v>0.03</x:v>
      </x:c>
      <x:c r="M93" s="433">
        <x:f>+J93*L93</x:f>
      </x:c>
      <x:c r="N93" s="470"/>
      <x:c r="O93" s="432"/>
    </x:row>
    <x:row r="94" spans="1:30" ht="15" customHeight="1" s="434" customFormat="1" x14ac:dyDescent="0.25">
      <x:c r="A94" s="486" t="s">
        <x:v>127</x:v>
      </x:c>
      <x:c r="B94" s="487" t="s">
        <x:v>652</x:v>
      </x:c>
      <x:c r="C94" s="488" t="s">
        <x:v>653</x:v>
      </x:c>
      <x:c r="D94" s="489">
        <x:v>45553</x:v>
      </x:c>
      <x:c r="E94" s="490">
        <x:v>153.6</x:v>
      </x:c>
      <x:c r="F94" s="490">
        <x:v>23.04</x:v>
      </x:c>
      <x:c r="G94" s="502">
        <x:v>142.96</x:v>
      </x:c>
      <x:c r="H94" s="490">
        <x:v>19.58</x:v>
      </x:c>
      <x:c r="I94" s="467">
        <x:v>45569</x:v>
      </x:c>
      <x:c r="J94" s="433">
        <x:f>+E94-F94</x:f>
      </x:c>
      <x:c r="K94" s="468">
        <x:f>+I94-D94</x:f>
      </x:c>
      <x:c r="L94" s="469">
        <x:v>0.03</x:v>
      </x:c>
      <x:c r="M94" s="433">
        <x:f>+J94*L94</x:f>
      </x:c>
      <x:c r="N94" s="470"/>
      <x:c r="O94" s="432"/>
    </x:row>
    <x:row r="95" spans="1:30" ht="15" customHeight="1" s="432" customFormat="1" x14ac:dyDescent="0.3">
      <x:c r="A95" s="558"/>
      <x:c r="B95" s="559"/>
      <x:c r="C95" s="560"/>
      <x:c r="D95" s="561"/>
      <x:c r="E95" s="562"/>
      <x:c r="F95" s="562"/>
      <x:c r="G95" s="491"/>
      <x:c r="H95" s="490"/>
      <x:c r="I95" s="492"/>
      <x:c r="J95" s="433"/>
      <x:c r="K95" s="468"/>
      <x:c r="L95" s="469"/>
      <x:c r="M95" s="563"/>
      <x:c r="N95" s="470"/>
    </x:row>
    <x:row r="96" spans="1:30" ht="15" customHeight="1" x14ac:dyDescent="0.35">
      <x:c r="A96" s="493" t="s">
        <x:v>43</x:v>
      </x:c>
      <x:c r="B96" s="493"/>
      <x:c r="C96" s="493"/>
      <x:c r="D96" s="493"/>
      <x:c r="E96" s="493"/>
      <x:c r="F96" s="493"/>
      <x:c r="G96" s="516">
        <x:f>SUM(G81:G95)</x:f>
      </x:c>
      <x:c r="J96" s="516">
        <x:f>SUM(J81:J95)</x:f>
      </x:c>
      <x:c r="L96" s="495"/>
      <x:c r="M96" s="564">
        <x:f>SUM(M81:M95)</x:f>
      </x:c>
      <x:c r="N96" s="431" t="s">
        <x:v>654</x:v>
      </x:c>
    </x:row>
    <x:row r="97" spans="1:30" ht="15" customHeight="1" x14ac:dyDescent="0.3">
      <x:c r="A97" s="520"/>
      <x:c r="G97" s="435"/>
    </x:row>
    <x:row r="98" spans="1:30" ht="15" customHeight="1" x14ac:dyDescent="0.3">
      <x:c r="A98" s="499"/>
      <x:c r="G98" s="435"/>
      <x:c r="J98" s="435"/>
    </x:row>
    <x:row r="99" spans="1:30" ht="15" customHeight="1" x14ac:dyDescent="0.3">
      <x:c r="A99" s="499"/>
      <x:c r="G99" s="435"/>
      <x:c r="J99" s="435"/>
    </x:row>
    <x:row r="100" spans="1:30" ht="15" customHeight="1" x14ac:dyDescent="0.3">
      <x:c r="A100" s="499"/>
      <x:c r="G100" s="435"/>
      <x:c r="J100" s="435"/>
    </x:row>
    <x:row r="101" spans="1:30" ht="15" customHeight="1" x14ac:dyDescent="0.3">
      <x:c r="A101" s="499"/>
      <x:c r="G101" s="435"/>
      <x:c r="J101" s="435"/>
    </x:row>
    <x:row r="102" spans="1:30" ht="15" customHeight="1" x14ac:dyDescent="0.3">
      <x:c r="A102" s="499"/>
      <x:c r="G102" s="435"/>
      <x:c r="J102" s="435" t="s">
        <x:v>655</x:v>
      </x:c>
    </x:row>
    <x:row r="103" spans="1:30" ht="15" customHeight="1" x14ac:dyDescent="0.3">
      <x:c r="A103" s="499"/>
      <x:c r="G103" s="435"/>
      <x:c r="J103" s="435">
        <x:f>(J33+J96)*2%</x:f>
      </x:c>
      <x:c r="M103" s="435">
        <x:f>M33/12</x:f>
      </x:c>
      <x:c r="N103" s="431" t="s">
        <x:v>237</x:v>
      </x:c>
    </x:row>
    <x:row r="104" spans="1:30" ht="15" customHeight="1" x14ac:dyDescent="0.3">
      <x:c r="A104" s="499"/>
      <x:c r="G104" s="435"/>
      <x:c r="J104" s="565">
        <x:f>J103/12</x:f>
      </x:c>
      <x:c r="M104" s="435">
        <x:f>M33/24</x:f>
      </x:c>
      <x:c r="N104" s="431" t="s">
        <x:v>237</x:v>
      </x:c>
    </x:row>
    <x:row r="105" spans="1:30" ht="15" customHeight="1" x14ac:dyDescent="0.3">
      <x:c r="A105" s="499"/>
      <x:c r="G105" s="435"/>
      <x:c r="J105" s="565">
        <x:f>J103/24</x:f>
      </x:c>
      <x:c r="M105" s="435">
        <x:f>M96/12</x:f>
      </x:c>
      <x:c r="N105" s="431" t="s">
        <x:v>238</x:v>
      </x:c>
      <x:c r="O105" s="435"/>
    </x:row>
    <x:row r="106" spans="1:30" ht="15" customHeight="1" x14ac:dyDescent="0.3">
      <x:c r="A106" s="499"/>
      <x:c r="G106" s="435"/>
      <x:c r="J106" s="435"/>
      <x:c r="M106" s="435">
        <x:f>M96/24</x:f>
      </x:c>
      <x:c r="N106" s="431" t="s">
        <x:v>238</x:v>
      </x:c>
      <x:c r="O106" s="435"/>
    </x:row>
    <x:row r="107" spans="1:30" ht="15" customHeight="1" x14ac:dyDescent="0.3">
      <x:c r="A107" s="499"/>
      <x:c r="G107" s="435"/>
      <x:c r="J107" s="435"/>
      <x:c r="M107" s="435"/>
    </x:row>
    <x:row r="108" spans="1:30" ht="15" customHeight="1" x14ac:dyDescent="0.3">
      <x:c r="A108" s="499"/>
      <x:c r="G108" s="435"/>
      <x:c r="J108" s="435"/>
      <x:c r="M108" s="565">
        <x:f>M103+M105</x:f>
      </x:c>
      <x:c r="N108" s="566" t="s">
        <x:v>435</x:v>
      </x:c>
    </x:row>
    <x:row r="109" spans="1:30" ht="15" customHeight="1" x14ac:dyDescent="0.3">
      <x:c r="A109" s="499"/>
      <x:c r="G109" s="435"/>
      <x:c r="J109" s="435"/>
      <x:c r="M109" s="565">
        <x:f>M104+M106</x:f>
      </x:c>
      <x:c r="N109" s="566" t="s">
        <x:v>436</x:v>
      </x:c>
    </x:row>
    <x:row r="110" spans="1:30" ht="15" customHeight="1" x14ac:dyDescent="0.3">
      <x:c r="A110" s="499"/>
      <x:c r="G110" s="435"/>
      <x:c r="J110" s="435"/>
    </x:row>
    <x:row r="111" spans="1:30" ht="15" customHeight="1" x14ac:dyDescent="0.3">
      <x:c r="A111" s="499"/>
      <x:c r="G111" s="435"/>
      <x:c r="J111" s="435"/>
    </x:row>
    <x:row r="112" spans="1:30" ht="15" customHeight="1" x14ac:dyDescent="0.3">
      <x:c r="A112" s="499"/>
      <x:c r="G112" s="435"/>
      <x:c r="J112" s="435"/>
    </x:row>
    <x:row r="113" spans="1:30" ht="15" customHeight="1" x14ac:dyDescent="0.3">
      <x:c r="A113" s="520"/>
      <x:c r="J113" s="515"/>
      <x:c r="K113" s="515"/>
    </x:row>
  </x:sheetData>
  <x:sortState xmlns:xlrd2="http://schemas.microsoft.com/office/spreadsheetml/2017/richdata2" ref="A43:AD79">
    <x:sortCondition ref="C43:C79"/>
  </x:sortState>
  <x:mergeCells count="7">
    <x:mergeCell ref="A2:F2"/>
    <x:mergeCell ref="A3:F3"/>
    <x:mergeCell ref="A21:F21"/>
    <x:mergeCell ref="A33:F33"/>
    <x:mergeCell ref="A37:F37"/>
    <x:mergeCell ref="A38:F38"/>
    <x:mergeCell ref="A96:F96"/>
  </x:mergeCells>
  <x:printOptions horizontalCentered="0" verticalCentered="0" headings="0" gridLines="0"/>
  <x:pageMargins left="0.1968503937007874" right="0" top="0.5905511811023623" bottom="0.3937007874015748" header="0" footer="0"/>
  <x:pageSetup paperSize="9" scale="72" pageOrder="downThenOver" orientation="landscape" blackAndWhite="0" draft="0" cellComments="none" errors="displayed" r:id="rId1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AD101"/>
  <x:sheetViews>
    <x:sheetView topLeftCell="A2" zoomScale="85" zoomScaleNormal="85" workbookViewId="0">
      <x:selection activeCell="C9" sqref="C9"/>
    </x:sheetView>
  </x:sheetViews>
  <x:sheetFormatPr baseColWidth="10" defaultColWidth="11.441406" defaultRowHeight="13.2" x14ac:dyDescent="0.25"/>
  <x:cols>
    <x:col min="1" max="1" width="64.332031" style="429" customWidth="1"/>
    <x:col min="2" max="2" width="15.441406" style="429" customWidth="1"/>
    <x:col min="3" max="3" width="17.441406" style="429" customWidth="1"/>
    <x:col min="4" max="4" width="10.554688" style="430" customWidth="1"/>
    <x:col min="5" max="5" width="10.554688" style="429" customWidth="1"/>
    <x:col min="6" max="6" width="10.332031" style="429" customWidth="1"/>
    <x:col min="7" max="7" width="12.109375" style="429" customWidth="1"/>
    <x:col min="8" max="8" width="8.886719" style="429" customWidth="1"/>
    <x:col min="9" max="9" width="11.886719" style="430" customWidth="1"/>
    <x:col min="10" max="10" width="12.554688" style="429" customWidth="1"/>
    <x:col min="11" max="11" width="6.109375" style="429" customWidth="1"/>
    <x:col min="12" max="12" width="6.441406" style="429" customWidth="1"/>
    <x:col min="13" max="13" width="10.332031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656</x:v>
      </x:c>
      <x:c r="C4" s="436"/>
      <x:c r="D4" s="445"/>
      <x:c r="E4" s="436"/>
      <x:c r="F4" s="436"/>
      <x:c r="G4" s="437">
        <x:f>G8+G9</x:f>
      </x:c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x14ac:dyDescent="0.3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455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30" ht="15" customHeight="1" s="574" customFormat="1" x14ac:dyDescent="0.25">
      <x:c r="A8" s="575" t="s">
        <x:v>22</x:v>
      </x:c>
      <x:c r="B8" s="576" t="s">
        <x:v>23</x:v>
      </x:c>
      <x:c r="C8" s="577" t="s">
        <x:v>526</x:v>
      </x:c>
      <x:c r="D8" s="578">
        <x:v>45446</x:v>
      </x:c>
      <x:c r="E8" s="579">
        <x:v>6974.4</x:v>
      </x:c>
      <x:c r="F8" s="579">
        <x:v>2092.32</x:v>
      </x:c>
      <x:c r="G8" s="580">
        <x:f>1701.05</x:f>
      </x:c>
      <x:c r="H8" s="579">
        <x:v>732.31</x:v>
      </x:c>
      <x:c r="I8" s="581">
        <x:v>45573</x:v>
      </x:c>
      <x:c r="J8" s="574">
        <x:f>1701.05/1.15</x:f>
      </x:c>
      <x:c r="K8" s="582">
        <x:f>+I8-D8</x:f>
      </x:c>
      <x:c r="L8" s="583">
        <x:v>0.03</x:v>
      </x:c>
      <x:c r="M8" s="574">
        <x:f>+J8*L8</x:f>
      </x:c>
      <x:c r="N8" s="584"/>
      <x:c r="O8" s="585"/>
      <x:c r="P8" s="585"/>
      <x:c r="Q8" s="585"/>
      <x:c r="R8" s="585"/>
      <x:c r="S8" s="585"/>
      <x:c r="T8" s="585"/>
      <x:c r="U8" s="585"/>
      <x:c r="V8" s="585"/>
      <x:c r="W8" s="585"/>
      <x:c r="X8" s="585"/>
      <x:c r="Y8" s="585"/>
      <x:c r="Z8" s="585"/>
      <x:c r="AA8" s="585"/>
      <x:c r="AB8" s="585"/>
      <x:c r="AC8" s="585"/>
      <x:c r="AD8" s="585"/>
    </x:row>
    <x:row r="9" spans="1:30" ht="15" customHeight="1" s="574" customFormat="1" x14ac:dyDescent="0.25">
      <x:c r="A9" s="575" t="s">
        <x:v>22</x:v>
      </x:c>
      <x:c r="B9" s="576" t="s">
        <x:v>23</x:v>
      </x:c>
      <x:c r="C9" s="577" t="s">
        <x:v>657</x:v>
      </x:c>
      <x:c r="D9" s="578">
        <x:v>45446</x:v>
      </x:c>
      <x:c r="E9" s="579">
        <x:v>619.8</x:v>
      </x:c>
      <x:c r="F9" s="579">
        <x:v>185.94</x:v>
      </x:c>
      <x:c r="G9" s="580">
        <x:v>37.37</x:v>
      </x:c>
      <x:c r="H9" s="579">
        <x:v>65.08</x:v>
      </x:c>
      <x:c r="I9" s="581">
        <x:v>45573</x:v>
      </x:c>
      <x:c r="J9" s="574">
        <x:f>37.37/1.15</x:f>
      </x:c>
      <x:c r="K9" s="582">
        <x:f>+I9-D9</x:f>
      </x:c>
      <x:c r="L9" s="583">
        <x:v>0.03</x:v>
      </x:c>
      <x:c r="M9" s="574">
        <x:f>+J9*L9</x:f>
      </x:c>
      <x:c r="N9" s="584"/>
      <x:c r="O9" s="585"/>
      <x:c r="P9" s="585"/>
      <x:c r="Q9" s="585"/>
      <x:c r="R9" s="585"/>
      <x:c r="S9" s="585"/>
      <x:c r="T9" s="585"/>
      <x:c r="U9" s="585"/>
      <x:c r="V9" s="585"/>
      <x:c r="W9" s="585"/>
      <x:c r="X9" s="585"/>
      <x:c r="Y9" s="585"/>
      <x:c r="Z9" s="585"/>
      <x:c r="AA9" s="585"/>
      <x:c r="AB9" s="585"/>
      <x:c r="AC9" s="585"/>
      <x:c r="AD9" s="585"/>
    </x:row>
    <x:row r="10" spans="1:30" ht="15" customHeight="1" s="433" customFormat="1" x14ac:dyDescent="0.25">
      <x:c r="A10" s="461" t="s">
        <x:v>82</x:v>
      </x:c>
      <x:c r="B10" s="505" t="s">
        <x:v>80</x:v>
      </x:c>
      <x:c r="C10" s="463" t="s">
        <x:v>658</x:v>
      </x:c>
      <x:c r="D10" s="464">
        <x:v>45509</x:v>
      </x:c>
      <x:c r="E10" s="465">
        <x:v>225.72</x:v>
      </x:c>
      <x:c r="F10" s="465">
        <x:v>45.14</x:v>
      </x:c>
      <x:c r="G10" s="466">
        <x:v>207.67</x:v>
      </x:c>
      <x:c r="H10" s="465">
        <x:v>27.09</x:v>
      </x:c>
      <x:c r="I10" s="467">
        <x:v>45574</x:v>
      </x:c>
      <x:c r="J10" s="433">
        <x:f>+E10-F10</x:f>
      </x:c>
      <x:c r="K10" s="468">
        <x:f>+I10-D10</x:f>
      </x:c>
      <x:c r="L10" s="469">
        <x:v>0.03</x:v>
      </x:c>
      <x:c r="M10" s="433">
        <x:f>+J10*L10</x:f>
      </x:c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3" customFormat="1" x14ac:dyDescent="0.25">
      <x:c r="A11" s="461" t="s">
        <x:v>523</x:v>
      </x:c>
      <x:c r="B11" s="506" t="s">
        <x:v>26</x:v>
      </x:c>
      <x:c r="C11" s="463" t="s">
        <x:v>659</x:v>
      </x:c>
      <x:c r="D11" s="464">
        <x:v>45548</x:v>
      </x:c>
      <x:c r="E11" s="465">
        <x:v>1274.4</x:v>
      </x:c>
      <x:c r="F11" s="465">
        <x:v>318.6</x:v>
      </x:c>
      <x:c r="G11" s="466">
        <x:v>946.24</x:v>
      </x:c>
      <x:c r="H11" s="465">
        <x:v>143.37</x:v>
      </x:c>
      <x:c r="I11" s="467">
        <x:v>45570</x:v>
      </x:c>
      <x:c r="J11" s="433">
        <x:f>+E11-F11</x:f>
      </x:c>
      <x:c r="K11" s="468">
        <x:f>+I11-D11</x:f>
      </x:c>
      <x:c r="L11" s="469">
        <x:v>0.035</x:v>
      </x:c>
      <x:c r="M11" s="433">
        <x:f>+J11*L11</x:f>
      </x:c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3" customFormat="1" x14ac:dyDescent="0.25">
      <x:c r="A12" s="461" t="s">
        <x:v>25</x:v>
      </x:c>
      <x:c r="B12" s="506" t="s">
        <x:v>26</x:v>
      </x:c>
      <x:c r="C12" s="463" t="s">
        <x:v>660</x:v>
      </x:c>
      <x:c r="D12" s="464">
        <x:v>45560</x:v>
      </x:c>
      <x:c r="E12" s="465">
        <x:v>140.4</x:v>
      </x:c>
      <x:c r="F12" s="465">
        <x:v>28.08</x:v>
      </x:c>
      <x:c r="G12" s="466">
        <x:v>122.99</x:v>
      </x:c>
      <x:c r="H12" s="465">
        <x:v>16.85</x:v>
      </x:c>
      <x:c r="I12" s="467">
        <x:v>45594</x:v>
      </x:c>
      <x:c r="J12" s="433">
        <x:f>+E12-F12</x:f>
      </x:c>
      <x:c r="K12" s="468">
        <x:f>+I12-D12</x:f>
      </x:c>
      <x:c r="L12" s="469">
        <x:v>0.03</x:v>
      </x:c>
      <x:c r="M12" s="433">
        <x:f>+J12*L12</x:f>
      </x:c>
      <x:c r="N12" s="470"/>
      <x:c r="O12" s="432"/>
      <x:c r="P12" s="432"/>
      <x:c r="Q12" s="432"/>
      <x:c r="R12" s="432"/>
      <x:c r="S12" s="432"/>
      <x:c r="T12" s="432"/>
      <x:c r="U12" s="432"/>
      <x:c r="V12" s="432"/>
      <x:c r="W12" s="432"/>
      <x:c r="X12" s="432"/>
      <x:c r="Y12" s="432"/>
      <x:c r="Z12" s="432"/>
      <x:c r="AA12" s="432"/>
      <x:c r="AB12" s="432"/>
      <x:c r="AC12" s="432"/>
      <x:c r="AD12" s="432"/>
    </x:row>
    <x:row r="13" spans="1:30" ht="15" customHeight="1" s="433" customFormat="1" x14ac:dyDescent="0.25">
      <x:c r="A13" s="461" t="s">
        <x:v>25</x:v>
      </x:c>
      <x:c r="B13" s="506" t="s">
        <x:v>26</x:v>
      </x:c>
      <x:c r="C13" s="463" t="s">
        <x:v>661</x:v>
      </x:c>
      <x:c r="D13" s="464">
        <x:v>45567</x:v>
      </x:c>
      <x:c r="E13" s="465">
        <x:v>1134</x:v>
      </x:c>
      <x:c r="F13" s="465">
        <x:v>226.8</x:v>
      </x:c>
      <x:c r="G13" s="466">
        <x:v>993.39</x:v>
      </x:c>
      <x:c r="H13" s="465">
        <x:v>136.08</x:v>
      </x:c>
      <x:c r="I13" s="489">
        <x:v>45594</x:v>
      </x:c>
      <x:c r="J13" s="433">
        <x:f>+E13-F13</x:f>
      </x:c>
      <x:c r="K13" s="468">
        <x:f>+I13-D13</x:f>
      </x:c>
      <x:c r="L13" s="469">
        <x:v>0.035</x:v>
      </x:c>
      <x:c r="M13" s="433">
        <x:f>+J13*L13</x:f>
      </x:c>
      <x:c r="N13" s="470"/>
      <x:c r="O13" s="432"/>
      <x:c r="P13" s="432"/>
      <x:c r="Q13" s="432"/>
      <x:c r="R13" s="432"/>
      <x:c r="S13" s="432"/>
      <x:c r="T13" s="432"/>
      <x:c r="U13" s="432"/>
      <x:c r="V13" s="432"/>
      <x:c r="W13" s="432"/>
      <x:c r="X13" s="432"/>
      <x:c r="Y13" s="432"/>
      <x:c r="Z13" s="432"/>
      <x:c r="AA13" s="432"/>
      <x:c r="AB13" s="432"/>
      <x:c r="AC13" s="432"/>
      <x:c r="AD13" s="432"/>
    </x:row>
    <x:row r="14" spans="1:30" ht="15" customHeight="1" s="433" customFormat="1" x14ac:dyDescent="0.25">
      <x:c r="A14" s="461" t="s">
        <x:v>205</x:v>
      </x:c>
      <x:c r="B14" s="506" t="s">
        <x:v>26</x:v>
      </x:c>
      <x:c r="C14" s="463" t="s">
        <x:v>662</x:v>
      </x:c>
      <x:c r="D14" s="464">
        <x:v>45587</x:v>
      </x:c>
      <x:c r="E14" s="465">
        <x:v>64.8</x:v>
      </x:c>
      <x:c r="F14" s="465">
        <x:v>0</x:v>
      </x:c>
      <x:c r="G14" s="466">
        <x:v>74.52</x:v>
      </x:c>
      <x:c r="H14" s="465">
        <x:v>9.72</x:v>
      </x:c>
      <x:c r="I14" s="467">
        <x:v>45587</x:v>
      </x:c>
      <x:c r="J14" s="433">
        <x:f>+E14-F14</x:f>
      </x:c>
      <x:c r="K14" s="468">
        <x:f>+I14-D14</x:f>
      </x:c>
      <x:c r="L14" s="469">
        <x:v>0.04</x:v>
      </x:c>
      <x:c r="M14" s="433">
        <x:f>+J14*L14</x:f>
      </x:c>
      <x:c r="N14" s="470"/>
      <x:c r="O14" s="432"/>
      <x:c r="P14" s="432"/>
      <x:c r="Q14" s="432"/>
      <x:c r="R14" s="432"/>
      <x:c r="S14" s="432"/>
      <x:c r="T14" s="432"/>
      <x:c r="U14" s="432"/>
      <x:c r="V14" s="432"/>
      <x:c r="W14" s="432"/>
      <x:c r="X14" s="432"/>
      <x:c r="Y14" s="432"/>
      <x:c r="Z14" s="432"/>
      <x:c r="AA14" s="432"/>
      <x:c r="AB14" s="432"/>
      <x:c r="AC14" s="432"/>
      <x:c r="AD14" s="432"/>
    </x:row>
    <x:row r="15" spans="1:30" ht="15" customHeight="1" s="433" customFormat="1" x14ac:dyDescent="0.25">
      <x:c r="A15" s="461" t="s">
        <x:v>663</x:v>
      </x:c>
      <x:c r="B15" s="573" t="s">
        <x:v>309</x:v>
      </x:c>
      <x:c r="C15" s="463" t="s">
        <x:v>664</x:v>
      </x:c>
      <x:c r="D15" s="464">
        <x:v>45589</x:v>
      </x:c>
      <x:c r="E15" s="465">
        <x:v>417.6</x:v>
      </x:c>
      <x:c r="F15" s="465">
        <x:v>104.4</x:v>
      </x:c>
      <x:c r="G15" s="466">
        <x:v>360.18</x:v>
      </x:c>
      <x:c r="H15" s="465">
        <x:v>46.98</x:v>
      </x:c>
      <x:c r="I15" s="467">
        <x:v>45589</x:v>
      </x:c>
      <x:c r="J15" s="433">
        <x:f>+E15-F15</x:f>
      </x:c>
      <x:c r="K15" s="468">
        <x:f>+I15-D15</x:f>
      </x:c>
      <x:c r="L15" s="469">
        <x:v>0.04</x:v>
      </x:c>
      <x:c r="M15" s="433">
        <x:f>+J15*L15</x:f>
      </x:c>
      <x:c r="N15" s="470"/>
      <x:c r="O15" s="432"/>
      <x:c r="P15" s="432"/>
      <x:c r="Q15" s="432"/>
      <x:c r="R15" s="432"/>
      <x:c r="S15" s="432"/>
      <x:c r="T15" s="432"/>
      <x:c r="U15" s="432"/>
      <x:c r="V15" s="432"/>
      <x:c r="W15" s="432"/>
      <x:c r="X15" s="432"/>
      <x:c r="Y15" s="432"/>
      <x:c r="Z15" s="432"/>
      <x:c r="AA15" s="432"/>
      <x:c r="AB15" s="432"/>
      <x:c r="AC15" s="432"/>
      <x:c r="AD15" s="432"/>
    </x:row>
    <x:row r="16" spans="1:30" ht="15" customHeight="1" s="433" customFormat="1" x14ac:dyDescent="0.25">
      <x:c r="A16" s="461" t="s">
        <x:v>663</x:v>
      </x:c>
      <x:c r="B16" s="573" t="s">
        <x:v>309</x:v>
      </x:c>
      <x:c r="C16" s="463" t="s">
        <x:v>665</x:v>
      </x:c>
      <x:c r="D16" s="464">
        <x:v>45589</x:v>
      </x:c>
      <x:c r="E16" s="465">
        <x:v>265.32</x:v>
      </x:c>
      <x:c r="F16" s="465">
        <x:v>66.33</x:v>
      </x:c>
      <x:c r="G16" s="466">
        <x:v>228.84</x:v>
      </x:c>
      <x:c r="H16" s="465">
        <x:v>29.85</x:v>
      </x:c>
      <x:c r="I16" s="467">
        <x:v>45589</x:v>
      </x:c>
      <x:c r="J16" s="433">
        <x:f>+E16-F16</x:f>
      </x:c>
      <x:c r="K16" s="468">
        <x:f>+I16-D16</x:f>
      </x:c>
      <x:c r="L16" s="469">
        <x:v>0.04</x:v>
      </x:c>
      <x:c r="M16" s="433">
        <x:f>+J16*L16</x:f>
      </x:c>
      <x:c r="N16" s="470"/>
      <x:c r="O16" s="432"/>
      <x:c r="P16" s="432"/>
      <x:c r="Q16" s="432"/>
      <x:c r="R16" s="432"/>
      <x:c r="S16" s="432"/>
      <x:c r="T16" s="432"/>
      <x:c r="U16" s="432"/>
      <x:c r="V16" s="432"/>
      <x:c r="W16" s="432"/>
      <x:c r="X16" s="432"/>
      <x:c r="Y16" s="432"/>
      <x:c r="Z16" s="432"/>
      <x:c r="AA16" s="432"/>
      <x:c r="AB16" s="432"/>
      <x:c r="AC16" s="432"/>
      <x:c r="AD16" s="432"/>
    </x:row>
    <x:row r="17" spans="1:30" ht="15" customHeight="1" s="433" customFormat="1" x14ac:dyDescent="0.25">
      <x:c r="A17" s="461" t="s">
        <x:v>663</x:v>
      </x:c>
      <x:c r="B17" s="573" t="s">
        <x:v>309</x:v>
      </x:c>
      <x:c r="C17" s="463" t="s">
        <x:v>666</x:v>
      </x:c>
      <x:c r="D17" s="464">
        <x:v>45590</x:v>
      </x:c>
      <x:c r="E17" s="465">
        <x:v>161.88</x:v>
      </x:c>
      <x:c r="F17" s="465">
        <x:v>40.47</x:v>
      </x:c>
      <x:c r="G17" s="466">
        <x:v>139.62</x:v>
      </x:c>
      <x:c r="H17" s="465">
        <x:v>18.21</x:v>
      </x:c>
      <x:c r="I17" s="467">
        <x:v>45590</x:v>
      </x:c>
      <x:c r="J17" s="433">
        <x:f>+E17-F17</x:f>
      </x:c>
      <x:c r="K17" s="468">
        <x:f>+I17-D17</x:f>
      </x:c>
      <x:c r="L17" s="469">
        <x:v>0.04</x:v>
      </x:c>
      <x:c r="M17" s="433">
        <x:f>+J17*L17</x:f>
      </x:c>
      <x:c r="N17" s="470"/>
      <x:c r="O17" s="432"/>
      <x:c r="P17" s="432"/>
      <x:c r="Q17" s="432"/>
      <x:c r="R17" s="432"/>
      <x:c r="S17" s="432"/>
      <x:c r="T17" s="432"/>
      <x:c r="U17" s="432"/>
      <x:c r="V17" s="432"/>
      <x:c r="W17" s="432"/>
      <x:c r="X17" s="432"/>
      <x:c r="Y17" s="432"/>
      <x:c r="Z17" s="432"/>
      <x:c r="AA17" s="432"/>
      <x:c r="AB17" s="432"/>
      <x:c r="AC17" s="432"/>
      <x:c r="AD17" s="432"/>
    </x:row>
    <x:row r="18" spans="1:30" ht="15" customHeight="1" s="433" customFormat="1" x14ac:dyDescent="0.25">
      <x:c r="A18" s="530"/>
      <x:c r="B18" s="524"/>
      <x:c r="C18" s="524"/>
      <x:c r="D18" s="529"/>
      <x:c r="E18" s="531"/>
      <x:c r="F18" s="531"/>
      <x:c r="G18" s="532"/>
      <x:c r="H18" s="533"/>
      <x:c r="I18" s="534"/>
      <x:c r="K18" s="468"/>
      <x:c r="L18" s="469"/>
      <x:c r="N18" s="470"/>
      <x:c r="O18" s="432"/>
      <x:c r="P18" s="432"/>
      <x:c r="Q18" s="432"/>
      <x:c r="R18" s="432"/>
      <x:c r="S18" s="432"/>
      <x:c r="T18" s="432"/>
      <x:c r="U18" s="432"/>
      <x:c r="V18" s="432"/>
      <x:c r="W18" s="432"/>
      <x:c r="X18" s="432"/>
      <x:c r="Y18" s="432"/>
      <x:c r="Z18" s="432"/>
      <x:c r="AA18" s="432"/>
      <x:c r="AB18" s="432"/>
      <x:c r="AC18" s="432"/>
      <x:c r="AD18" s="432"/>
    </x:row>
    <x:row r="19" spans="1:30" ht="15" customHeight="1" s="434" customFormat="1" x14ac:dyDescent="0.25">
      <x:c r="A19" s="478"/>
      <x:c r="B19" s="478"/>
      <x:c r="C19" s="478"/>
      <x:c r="D19" s="478"/>
      <x:c r="E19" s="478"/>
      <x:c r="F19" s="478"/>
      <x:c r="G19" s="479">
        <x:f>SUM(G8:G18)</x:f>
      </x:c>
      <x:c r="H19" s="480"/>
      <x:c r="I19" s="481"/>
      <x:c r="J19" s="479">
        <x:f>SUM(J8:J18)</x:f>
      </x:c>
      <x:c r="K19" s="482"/>
      <x:c r="L19" s="482"/>
      <x:c r="M19" s="479">
        <x:f>SUM(M8:M18)</x:f>
      </x:c>
      <x:c r="N19" s="470"/>
    </x:row>
    <x:row r="20" spans="1:30" ht="15" customHeight="1" s="434" customFormat="1" x14ac:dyDescent="0.25">
      <x:c r="A20" s="483"/>
      <x:c r="B20" s="483"/>
      <x:c r="C20" s="483"/>
      <x:c r="D20" s="484"/>
      <x:c r="E20" s="483"/>
      <x:c r="F20" s="483"/>
      <x:c r="G20" s="432"/>
      <x:c r="I20" s="485"/>
      <x:c r="N20" s="470"/>
    </x:row>
    <x:row r="21" spans="1:30" ht="15" customHeight="1" s="434" customFormat="1" x14ac:dyDescent="0.25">
      <x:c r="A21" s="483"/>
      <x:c r="B21" s="483"/>
      <x:c r="C21" s="483"/>
      <x:c r="D21" s="484"/>
      <x:c r="E21" s="483"/>
      <x:c r="F21" s="483"/>
      <x:c r="G21" s="432"/>
      <x:c r="I21" s="485"/>
      <x:c r="J21" s="432"/>
      <x:c r="M21" s="432"/>
      <x:c r="N21" s="470"/>
    </x:row>
    <x:row r="22" spans="1:30" ht="15" customHeight="1" s="434" customFormat="1" x14ac:dyDescent="0.25">
      <x:c r="A22" s="434" t="s">
        <x:v>30</x:v>
      </x:c>
      <x:c r="B22" s="434" t="s">
        <x:v>31</x:v>
      </x:c>
      <x:c r="C22" s="483" t="s">
        <x:v>32</x:v>
      </x:c>
      <x:c r="D22" s="485"/>
      <x:c r="G22" s="432"/>
      <x:c r="I22" s="485"/>
      <x:c r="N22" s="470"/>
    </x:row>
    <x:row r="23" spans="1:30" ht="15" customHeight="1" s="432" customFormat="1" x14ac:dyDescent="0.25">
      <x:c r="A23" s="486" t="s">
        <x:v>36</x:v>
      </x:c>
      <x:c r="B23" s="487" t="s">
        <x:v>667</x:v>
      </x:c>
      <x:c r="C23" s="488" t="s">
        <x:v>668</x:v>
      </x:c>
      <x:c r="D23" s="489">
        <x:v>45558</x:v>
      </x:c>
      <x:c r="E23" s="490">
        <x:v>121.2</x:v>
      </x:c>
      <x:c r="F23" s="490">
        <x:v>30.3</x:v>
      </x:c>
      <x:c r="G23" s="491">
        <x:v>99.54</x:v>
      </x:c>
      <x:c r="H23" s="490">
        <x:v>13.64</x:v>
      </x:c>
      <x:c r="I23" s="492">
        <x:v>45605</x:v>
      </x:c>
      <x:c r="J23" s="433">
        <x:f>+E23-F23</x:f>
      </x:c>
      <x:c r="K23" s="468">
        <x:f>+I23-D23</x:f>
      </x:c>
      <x:c r="L23" s="469">
        <x:v>0.03</x:v>
      </x:c>
      <x:c r="M23" s="433">
        <x:f>+J23*L23</x:f>
      </x:c>
      <x:c r="N23" s="470"/>
    </x:row>
    <x:row r="24" spans="1:30" ht="15" customHeight="1" s="432" customFormat="1" x14ac:dyDescent="0.25">
      <x:c r="A24" s="486" t="s">
        <x:v>36</x:v>
      </x:c>
      <x:c r="B24" s="487" t="s">
        <x:v>667</x:v>
      </x:c>
      <x:c r="C24" s="488" t="s">
        <x:v>669</x:v>
      </x:c>
      <x:c r="D24" s="489">
        <x:v>45560</x:v>
      </x:c>
      <x:c r="E24" s="490">
        <x:v>54</x:v>
      </x:c>
      <x:c r="F24" s="490">
        <x:v>13.5</x:v>
      </x:c>
      <x:c r="G24" s="502">
        <x:v>44.35</x:v>
      </x:c>
      <x:c r="H24" s="490">
        <x:v>6.08</x:v>
      </x:c>
      <x:c r="I24" s="467">
        <x:v>45605</x:v>
      </x:c>
      <x:c r="J24" s="433">
        <x:f>+E24-F24</x:f>
      </x:c>
      <x:c r="K24" s="468">
        <x:f>+I24-D24</x:f>
      </x:c>
      <x:c r="L24" s="469">
        <x:v>0.03</x:v>
      </x:c>
      <x:c r="M24" s="433">
        <x:f>+J24*L24</x:f>
      </x:c>
      <x:c r="N24" s="470"/>
    </x:row>
    <x:row r="25" spans="1:30" ht="15" customHeight="1" s="432" customFormat="1" x14ac:dyDescent="0.25">
      <x:c r="A25" s="486" t="s">
        <x:v>36</x:v>
      </x:c>
      <x:c r="B25" s="487" t="s">
        <x:v>670</x:v>
      </x:c>
      <x:c r="C25" s="488" t="s">
        <x:v>671</x:v>
      </x:c>
      <x:c r="D25" s="489">
        <x:v>45586</x:v>
      </x:c>
      <x:c r="E25" s="490">
        <x:v>619.56</x:v>
      </x:c>
      <x:c r="F25" s="490">
        <x:v>154.89</x:v>
      </x:c>
      <x:c r="G25" s="502">
        <x:v>508.81</x:v>
      </x:c>
      <x:c r="H25" s="490">
        <x:v>69.7</x:v>
      </x:c>
      <x:c r="I25" s="467">
        <x:v>45647</x:v>
      </x:c>
      <x:c r="J25" s="433">
        <x:f>+E25-F25</x:f>
      </x:c>
      <x:c r="K25" s="468">
        <x:f>+I25-D25</x:f>
      </x:c>
      <x:c r="L25" s="469">
        <x:v>0.03</x:v>
      </x:c>
      <x:c r="M25" s="433">
        <x:f>+J25*L25</x:f>
      </x:c>
      <x:c r="N25" s="470"/>
    </x:row>
    <x:row r="26" spans="1:30" ht="15" customHeight="1" s="432" customFormat="1" x14ac:dyDescent="0.25">
      <x:c r="A26" s="486" t="s">
        <x:v>36</x:v>
      </x:c>
      <x:c r="B26" s="487" t="s">
        <x:v>670</x:v>
      </x:c>
      <x:c r="C26" s="488" t="s">
        <x:v>672</x:v>
      </x:c>
      <x:c r="D26" s="489">
        <x:v>45593</x:v>
      </x:c>
      <x:c r="E26" s="490">
        <x:v>122.4</x:v>
      </x:c>
      <x:c r="F26" s="490">
        <x:v>30.6</x:v>
      </x:c>
      <x:c r="G26" s="502">
        <x:v>100.52</x:v>
      </x:c>
      <x:c r="H26" s="490">
        <x:v>13.77</x:v>
      </x:c>
      <x:c r="I26" s="467">
        <x:v>45647</x:v>
      </x:c>
      <x:c r="J26" s="433">
        <x:f>+E26-F26</x:f>
      </x:c>
      <x:c r="K26" s="468">
        <x:f>+I26-D26</x:f>
      </x:c>
      <x:c r="L26" s="469">
        <x:v>0.03</x:v>
      </x:c>
      <x:c r="M26" s="433">
        <x:f>+J26*L26</x:f>
      </x:c>
      <x:c r="N26" s="470"/>
    </x:row>
    <x:row r="27" spans="1:30" ht="15" customHeight="1" s="432" customFormat="1" x14ac:dyDescent="0.25">
      <x:c r="A27" s="486" t="s">
        <x:v>36</x:v>
      </x:c>
      <x:c r="B27" s="487" t="s">
        <x:v>673</x:v>
      </x:c>
      <x:c r="C27" s="488" t="s">
        <x:v>674</x:v>
      </x:c>
      <x:c r="D27" s="489">
        <x:v>45594</x:v>
      </x:c>
      <x:c r="E27" s="490">
        <x:v>1101.24</x:v>
      </x:c>
      <x:c r="F27" s="490">
        <x:v>275.31</x:v>
      </x:c>
      <x:c r="G27" s="502">
        <x:f>949.82-8.26-37.17</x:f>
      </x:c>
      <x:c r="H27" s="490">
        <x:v>123.89</x:v>
      </x:c>
      <x:c r="I27" s="467">
        <x:v>45657</x:v>
      </x:c>
      <x:c r="J27" s="433">
        <x:f>+E27-F27</x:f>
      </x:c>
      <x:c r="K27" s="468">
        <x:f>+I27-D27</x:f>
      </x:c>
      <x:c r="L27" s="469">
        <x:v>0.03</x:v>
      </x:c>
      <x:c r="M27" s="433">
        <x:f>+J27*L27</x:f>
      </x:c>
      <x:c r="N27" s="470"/>
    </x:row>
    <x:row r="28" spans="1:30" ht="15" customHeight="1" s="432" customFormat="1" x14ac:dyDescent="0.3">
      <x:c r="A28" s="558"/>
      <x:c r="B28" s="559"/>
      <x:c r="C28" s="560"/>
      <x:c r="D28" s="561"/>
      <x:c r="E28" s="562"/>
      <x:c r="F28" s="562"/>
      <x:c r="G28" s="491"/>
      <x:c r="H28" s="490"/>
      <x:c r="I28" s="492"/>
      <x:c r="J28" s="433"/>
      <x:c r="K28" s="468"/>
      <x:c r="L28" s="469"/>
      <x:c r="M28" s="563"/>
      <x:c r="N28" s="470"/>
    </x:row>
    <x:row r="29" spans="1:30" ht="15" customHeight="1" x14ac:dyDescent="0.35">
      <x:c r="A29" s="493" t="s">
        <x:v>43</x:v>
      </x:c>
      <x:c r="B29" s="493"/>
      <x:c r="C29" s="493"/>
      <x:c r="D29" s="493"/>
      <x:c r="E29" s="493"/>
      <x:c r="F29" s="493"/>
      <x:c r="G29" s="494">
        <x:f>SUM(G19:G28)</x:f>
      </x:c>
      <x:c r="J29" s="494">
        <x:f>SUM(J19:J28)</x:f>
      </x:c>
      <x:c r="L29" s="495"/>
      <x:c r="M29" s="496">
        <x:f>SUM(M19:M28)</x:f>
      </x:c>
    </x:row>
    <x:row r="30" spans="1:30" ht="15" customHeight="1" x14ac:dyDescent="0.25">
      <x:c r="A30" s="497"/>
      <x:c r="B30" s="497"/>
      <x:c r="C30" s="497"/>
      <x:c r="D30" s="498"/>
      <x:c r="E30" s="497"/>
      <x:c r="F30" s="497"/>
      <x:c r="G30" s="435"/>
      <x:c r="J30" s="435"/>
      <x:c r="M30" s="435"/>
    </x:row>
    <x:row r="31" spans="1:30" ht="15" customHeight="1" x14ac:dyDescent="0.3">
      <x:c r="A31" s="499"/>
      <x:c r="B31" s="497"/>
      <x:c r="C31" s="497"/>
      <x:c r="D31" s="498"/>
      <x:c r="E31" s="497"/>
      <x:c r="F31" s="497"/>
      <x:c r="G31" s="435"/>
      <x:c r="J31" s="435"/>
      <x:c r="M31" s="435"/>
    </x:row>
    <x:row r="32" spans="1:30" ht="15" customHeight="1" x14ac:dyDescent="0.25">
      <x:c r="A32" s="497"/>
      <x:c r="B32" s="497"/>
      <x:c r="C32" s="497"/>
      <x:c r="D32" s="498"/>
      <x:c r="E32" s="497"/>
      <x:c r="F32" s="497"/>
      <x:c r="G32" s="435"/>
      <x:c r="I32" s="500"/>
    </x:row>
    <x:row r="33" spans="1:30" ht="15" customHeight="1" x14ac:dyDescent="0.25">
      <x:c r="A33" s="436" t="s">
        <x:v>44</x:v>
      </x:c>
      <x:c r="B33" s="436"/>
      <x:c r="C33" s="436"/>
      <x:c r="D33" s="436"/>
      <x:c r="E33" s="436"/>
      <x:c r="F33" s="436"/>
      <x:c r="G33" s="437"/>
      <x:c r="H33" s="437"/>
      <x:c r="I33" s="439"/>
      <x:c r="J33" s="440"/>
      <x:c r="K33" s="441"/>
      <x:c r="L33" s="442"/>
      <x:c r="M33" s="443"/>
    </x:row>
    <x:row r="34" spans="1:30" ht="15" customHeight="1" x14ac:dyDescent="0.25">
      <x:c r="A34" s="436" t="s">
        <x:v>1</x:v>
      </x:c>
      <x:c r="B34" s="436"/>
      <x:c r="C34" s="436"/>
      <x:c r="D34" s="436"/>
      <x:c r="E34" s="436"/>
      <x:c r="F34" s="436"/>
      <x:c r="G34" s="437"/>
      <x:c r="H34" s="438"/>
      <x:c r="I34" s="439"/>
      <x:c r="J34" s="441"/>
      <x:c r="K34" s="441"/>
      <x:c r="L34" s="442"/>
      <x:c r="M34" s="443"/>
    </x:row>
    <x:row r="35" spans="1:30" ht="15" customHeight="1" x14ac:dyDescent="0.25">
      <x:c r="A35" s="436"/>
      <x:c r="B35" s="444" t="s">
        <x:v>656</x:v>
      </x:c>
      <x:c r="C35" s="436"/>
      <x:c r="D35" s="445"/>
      <x:c r="E35" s="436"/>
      <x:c r="F35" s="436"/>
      <x:c r="G35" s="437"/>
      <x:c r="H35" s="438"/>
      <x:c r="I35" s="439"/>
      <x:c r="J35" s="441"/>
      <x:c r="K35" s="441"/>
      <x:c r="L35" s="442"/>
      <x:c r="M35" s="443"/>
    </x:row>
    <x:row r="36" spans="1:30" ht="15" customHeight="1" x14ac:dyDescent="0.3">
      <x:c r="A36" s="436"/>
      <x:c r="B36" s="444" t="s">
        <x:v>45</x:v>
      </x:c>
      <x:c r="C36" s="436"/>
      <x:c r="D36" s="445"/>
      <x:c r="E36" s="436"/>
      <x:c r="F36" s="436"/>
      <x:c r="G36" s="443"/>
      <x:c r="H36" s="437"/>
      <x:c r="I36" s="446"/>
      <x:c r="J36" s="441"/>
      <x:c r="K36" s="441"/>
      <x:c r="L36" s="442"/>
      <x:c r="M36" s="443"/>
    </x:row>
    <x:row r="37" spans="1:30" ht="15" customHeight="1" x14ac:dyDescent="0.25">
      <x:c r="A37" s="447"/>
      <x:c r="B37" s="441"/>
      <x:c r="C37" s="441"/>
      <x:c r="D37" s="439"/>
      <x:c r="E37" s="441"/>
      <x:c r="F37" s="441"/>
      <x:c r="G37" s="448" t="s">
        <x:v>5</x:v>
      </x:c>
      <x:c r="H37" s="441"/>
      <x:c r="I37" s="439"/>
      <x:c r="J37" s="449" t="s">
        <x:v>6</x:v>
      </x:c>
      <x:c r="K37" s="450" t="s">
        <x:v>7</x:v>
      </x:c>
      <x:c r="L37" s="451" t="s">
        <x:v>8</x:v>
      </x:c>
      <x:c r="M37" s="449" t="s">
        <x:v>9</x:v>
      </x:c>
    </x:row>
    <x:row r="38" spans="1:30" ht="15" customHeight="1" x14ac:dyDescent="0.25">
      <x:c r="A38" s="452" t="s">
        <x:v>10</x:v>
      </x:c>
      <x:c r="B38" s="452" t="s">
        <x:v>11</x:v>
      </x:c>
      <x:c r="C38" s="452" t="s">
        <x:v>12</x:v>
      </x:c>
      <x:c r="D38" s="453" t="s">
        <x:v>13</x:v>
      </x:c>
      <x:c r="E38" s="452" t="s">
        <x:v>14</x:v>
      </x:c>
      <x:c r="F38" s="454" t="s">
        <x:v>15</x:v>
      </x:c>
      <x:c r="G38" s="501" t="s">
        <x:v>16</x:v>
      </x:c>
      <x:c r="H38" s="456" t="s">
        <x:v>17</x:v>
      </x:c>
      <x:c r="I38" s="457" t="s">
        <x:v>18</x:v>
      </x:c>
      <x:c r="J38" s="458" t="s">
        <x:v>19</x:v>
      </x:c>
      <x:c r="K38" s="459"/>
      <x:c r="L38" s="460" t="s">
        <x:v>20</x:v>
      </x:c>
      <x:c r="M38" s="458" t="s">
        <x:v>21</x:v>
      </x:c>
    </x:row>
    <x:row r="39" spans="1:30" ht="15" customHeight="1" x14ac:dyDescent="0.25">
      <x:c r="A39" s="461" t="s">
        <x:v>675</x:v>
      </x:c>
      <x:c r="B39" s="462" t="s">
        <x:v>53</x:v>
      </x:c>
      <x:c r="C39" s="463" t="s">
        <x:v>676</x:v>
      </x:c>
      <x:c r="D39" s="464">
        <x:v>45434</x:v>
      </x:c>
      <x:c r="E39" s="465">
        <x:v>765</x:v>
      </x:c>
      <x:c r="F39" s="465">
        <x:v>191.25</x:v>
      </x:c>
      <x:c r="G39" s="466">
        <x:v>628.25</x:v>
      </x:c>
      <x:c r="H39" s="465">
        <x:v>86.06</x:v>
      </x:c>
      <x:c r="I39" s="492">
        <x:v>45586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30" ht="15" customHeight="1" x14ac:dyDescent="0.25">
      <x:c r="A40" s="567" t="s">
        <x:v>474</x:v>
      </x:c>
      <x:c r="B40" s="462" t="s">
        <x:v>60</x:v>
      </x:c>
      <x:c r="C40" s="463" t="s">
        <x:v>475</x:v>
      </x:c>
      <x:c r="D40" s="568">
        <x:v>45442</x:v>
      </x:c>
      <x:c r="E40" s="569">
        <x:v>1027.44</x:v>
      </x:c>
      <x:c r="F40" s="569">
        <x:v>205.49</x:v>
      </x:c>
      <x:c r="G40" s="466">
        <x:v>201.95</x:v>
      </x:c>
      <x:c r="H40" s="569">
        <x:v>0</x:v>
      </x:c>
      <x:c r="I40" s="467">
        <x:v>45491</x:v>
      </x:c>
      <x:c r="J40" s="433">
        <x:f>201.95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30" ht="15" customHeight="1" x14ac:dyDescent="0.25">
      <x:c r="A41" s="461" t="s">
        <x:v>491</x:v>
      </x:c>
      <x:c r="B41" s="505" t="s">
        <x:v>492</x:v>
      </x:c>
      <x:c r="C41" s="463" t="s">
        <x:v>677</x:v>
      </x:c>
      <x:c r="D41" s="464">
        <x:v>45482</x:v>
      </x:c>
      <x:c r="E41" s="465">
        <x:v>1327.32</x:v>
      </x:c>
      <x:c r="F41" s="465">
        <x:v>331.83</x:v>
      </x:c>
      <x:c r="G41" s="466">
        <x:v>380</x:v>
      </x:c>
      <x:c r="H41" s="465">
        <x:v>149.32</x:v>
      </x:c>
      <x:c r="I41" s="464">
        <x:v>45584</x:v>
      </x:c>
      <x:c r="J41" s="433">
        <x:f>380/1.15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30" ht="15" customHeight="1" x14ac:dyDescent="0.25">
      <x:c r="A42" s="461" t="s">
        <x:v>675</x:v>
      </x:c>
      <x:c r="B42" s="505" t="s">
        <x:v>53</x:v>
      </x:c>
      <x:c r="C42" s="463" t="s">
        <x:v>678</x:v>
      </x:c>
      <x:c r="D42" s="464">
        <x:v>45482</x:v>
      </x:c>
      <x:c r="E42" s="465">
        <x:v>966</x:v>
      </x:c>
      <x:c r="F42" s="465">
        <x:v>241.5</x:v>
      </x:c>
      <x:c r="G42" s="466">
        <x:v>793.33</x:v>
      </x:c>
      <x:c r="H42" s="465">
        <x:v>108.68</x:v>
      </x:c>
      <x:c r="I42" s="464">
        <x:v>45586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30" ht="15" customHeight="1" x14ac:dyDescent="0.25">
      <x:c r="A43" s="461" t="s">
        <x:v>675</x:v>
      </x:c>
      <x:c r="B43" s="505" t="s">
        <x:v>53</x:v>
      </x:c>
      <x:c r="C43" s="463" t="s">
        <x:v>679</x:v>
      </x:c>
      <x:c r="D43" s="464">
        <x:v>45482</x:v>
      </x:c>
      <x:c r="E43" s="465">
        <x:v>340.8</x:v>
      </x:c>
      <x:c r="F43" s="465">
        <x:v>85.2</x:v>
      </x:c>
      <x:c r="G43" s="466">
        <x:v>279.88</x:v>
      </x:c>
      <x:c r="H43" s="465">
        <x:v>38.34</x:v>
      </x:c>
      <x:c r="I43" s="464">
        <x:v>45586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461" t="s">
        <x:v>49</x:v>
      </x:c>
      <x:c r="B44" s="506" t="s">
        <x:v>26</x:v>
      </x:c>
      <x:c r="C44" s="463" t="s">
        <x:v>680</x:v>
      </x:c>
      <x:c r="D44" s="464">
        <x:v>45489</x:v>
      </x:c>
      <x:c r="E44" s="465">
        <x:v>70.2</x:v>
      </x:c>
      <x:c r="F44" s="465">
        <x:v>10.53</x:v>
      </x:c>
      <x:c r="G44" s="466">
        <x:v>65.33</x:v>
      </x:c>
      <x:c r="H44" s="465">
        <x:v>8.95</x:v>
      </x:c>
      <x:c r="I44" s="464">
        <x:v>45569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30" ht="15" customHeight="1" x14ac:dyDescent="0.25">
      <x:c r="A45" s="461" t="s">
        <x:v>49</x:v>
      </x:c>
      <x:c r="B45" s="506" t="s">
        <x:v>26</x:v>
      </x:c>
      <x:c r="C45" s="463" t="s">
        <x:v>681</x:v>
      </x:c>
      <x:c r="D45" s="464">
        <x:v>45496</x:v>
      </x:c>
      <x:c r="E45" s="465">
        <x:v>93.6</x:v>
      </x:c>
      <x:c r="F45" s="465">
        <x:v>14.04</x:v>
      </x:c>
      <x:c r="G45" s="466">
        <x:v>87.11</x:v>
      </x:c>
      <x:c r="H45" s="465">
        <x:v>11.93</x:v>
      </x:c>
      <x:c r="I45" s="464">
        <x:v>45569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461" t="s">
        <x:v>114</x:v>
      </x:c>
      <x:c r="B46" s="506" t="s">
        <x:v>26</x:v>
      </x:c>
      <x:c r="C46" s="463" t="s">
        <x:v>682</x:v>
      </x:c>
      <x:c r="D46" s="464">
        <x:v>45519</x:v>
      </x:c>
      <x:c r="E46" s="465">
        <x:v>592.68</x:v>
      </x:c>
      <x:c r="F46" s="465">
        <x:v>118.54</x:v>
      </x:c>
      <x:c r="G46" s="466">
        <x:v>519.18</x:v>
      </x:c>
      <x:c r="H46" s="465">
        <x:v>71.12</x:v>
      </x:c>
      <x:c r="I46" s="467">
        <x:v>45593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461" t="s">
        <x:v>683</x:v>
      </x:c>
      <x:c r="B47" s="462" t="s">
        <x:v>684</x:v>
      </x:c>
      <x:c r="C47" s="463" t="s">
        <x:v>685</x:v>
      </x:c>
      <x:c r="D47" s="464">
        <x:v>45524</x:v>
      </x:c>
      <x:c r="E47" s="465">
        <x:v>187.2</x:v>
      </x:c>
      <x:c r="F47" s="465">
        <x:v>28.08</x:v>
      </x:c>
      <x:c r="G47" s="466">
        <x:v>182.99</x:v>
      </x:c>
      <x:c r="H47" s="465">
        <x:v>23.87</x:v>
      </x:c>
      <x:c r="I47" s="467">
        <x:v>45572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x14ac:dyDescent="0.25">
      <x:c r="A48" s="461" t="s">
        <x:v>686</x:v>
      </x:c>
      <x:c r="B48" s="462" t="s">
        <x:v>105</x:v>
      </x:c>
      <x:c r="C48" s="463" t="s">
        <x:v>687</x:v>
      </x:c>
      <x:c r="D48" s="464">
        <x:v>45524</x:v>
      </x:c>
      <x:c r="E48" s="465">
        <x:v>192.12</x:v>
      </x:c>
      <x:c r="F48" s="465">
        <x:v>28.81</x:v>
      </x:c>
      <x:c r="G48" s="466">
        <x:v>187.81</x:v>
      </x:c>
      <x:c r="H48" s="465">
        <x:v>24.5</x:v>
      </x:c>
      <x:c r="I48" s="467">
        <x:v>45583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30" ht="15" customHeight="1" x14ac:dyDescent="0.25">
      <x:c r="A49" s="461" t="s">
        <x:v>686</x:v>
      </x:c>
      <x:c r="B49" s="462" t="s">
        <x:v>105</x:v>
      </x:c>
      <x:c r="C49" s="463" t="s">
        <x:v>688</x:v>
      </x:c>
      <x:c r="D49" s="464">
        <x:v>45524</x:v>
      </x:c>
      <x:c r="E49" s="465">
        <x:v>186.48</x:v>
      </x:c>
      <x:c r="F49" s="465">
        <x:v>27.96</x:v>
      </x:c>
      <x:c r="G49" s="466">
        <x:v>182.3</x:v>
      </x:c>
      <x:c r="H49" s="465">
        <x:v>23.78</x:v>
      </x:c>
      <x:c r="I49" s="467">
        <x:v>45583</x:v>
      </x:c>
      <x:c r="J49" s="433">
        <x:f>+E49-F49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30" ht="15" customHeight="1" x14ac:dyDescent="0.25">
      <x:c r="A50" s="461" t="s">
        <x:v>114</x:v>
      </x:c>
      <x:c r="B50" s="506" t="s">
        <x:v>26</x:v>
      </x:c>
      <x:c r="C50" s="463" t="s">
        <x:v>689</x:v>
      </x:c>
      <x:c r="D50" s="464">
        <x:v>45525</x:v>
      </x:c>
      <x:c r="E50" s="465">
        <x:v>255</x:v>
      </x:c>
      <x:c r="F50" s="465">
        <x:v>51</x:v>
      </x:c>
      <x:c r="G50" s="466">
        <x:v>223.38</x:v>
      </x:c>
      <x:c r="H50" s="465">
        <x:v>30.6</x:v>
      </x:c>
      <x:c r="I50" s="467">
        <x:v>45593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30" ht="15" customHeight="1" x14ac:dyDescent="0.25">
      <x:c r="A51" s="461" t="s">
        <x:v>690</x:v>
      </x:c>
      <x:c r="B51" s="572" t="s">
        <x:v>105</x:v>
      </x:c>
      <x:c r="C51" s="463" t="s">
        <x:v>691</x:v>
      </x:c>
      <x:c r="D51" s="464">
        <x:v>45533</x:v>
      </x:c>
      <x:c r="E51" s="465">
        <x:v>124.08</x:v>
      </x:c>
      <x:c r="F51" s="465">
        <x:v>18.6</x:v>
      </x:c>
      <x:c r="G51" s="466">
        <x:v>121.3</x:v>
      </x:c>
      <x:c r="H51" s="465">
        <x:v>15.82</x:v>
      </x:c>
      <x:c r="I51" s="467">
        <x:v>45569</x:v>
      </x:c>
      <x:c r="J51" s="433">
        <x:f>+E51-F51</x:f>
      </x:c>
      <x:c r="K51" s="468">
        <x:f>+I51-D51</x:f>
      </x:c>
      <x:c r="L51" s="503">
        <x:v>0.03</x:v>
      </x:c>
      <x:c r="M51" s="504">
        <x:f>+J51*L51</x:f>
      </x:c>
      <x:c r="O51" s="432"/>
    </x:row>
    <x:row r="52" spans="1:30" ht="15" customHeight="1" x14ac:dyDescent="0.25">
      <x:c r="A52" s="461" t="s">
        <x:v>690</x:v>
      </x:c>
      <x:c r="B52" s="506" t="s">
        <x:v>105</x:v>
      </x:c>
      <x:c r="C52" s="463" t="s">
        <x:v>692</x:v>
      </x:c>
      <x:c r="D52" s="464">
        <x:v>45540</x:v>
      </x:c>
      <x:c r="E52" s="465">
        <x:v>142.56</x:v>
      </x:c>
      <x:c r="F52" s="465">
        <x:v>21.36</x:v>
      </x:c>
      <x:c r="G52" s="466">
        <x:v>139.38</x:v>
      </x:c>
      <x:c r="H52" s="465">
        <x:v>18.18</x:v>
      </x:c>
      <x:c r="I52" s="467">
        <x:v>45569</x:v>
      </x:c>
      <x:c r="J52" s="433">
        <x:f>+E52-F52</x:f>
      </x:c>
      <x:c r="K52" s="468">
        <x:f>+I52-D52</x:f>
      </x:c>
      <x:c r="L52" s="503">
        <x:v>0.035</x:v>
      </x:c>
      <x:c r="M52" s="504">
        <x:f>+J52*L52</x:f>
      </x:c>
      <x:c r="O52" s="432"/>
    </x:row>
    <x:row r="53" spans="1:30" ht="15" customHeight="1" x14ac:dyDescent="0.25">
      <x:c r="A53" s="461" t="s">
        <x:v>101</x:v>
      </x:c>
      <x:c r="B53" s="573" t="s">
        <x:v>26</x:v>
      </x:c>
      <x:c r="C53" s="463" t="s">
        <x:v>693</x:v>
      </x:c>
      <x:c r="D53" s="464">
        <x:v>45540</x:v>
      </x:c>
      <x:c r="E53" s="465">
        <x:v>336.6</x:v>
      </x:c>
      <x:c r="F53" s="465">
        <x:v>50.49</x:v>
      </x:c>
      <x:c r="G53" s="466">
        <x:v>313.29</x:v>
      </x:c>
      <x:c r="H53" s="465">
        <x:v>42.92</x:v>
      </x:c>
      <x:c r="I53" s="467">
        <x:v>45582</x:v>
      </x:c>
      <x:c r="J53" s="433">
        <x:f>+E53-F53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30" ht="15" customHeight="1" x14ac:dyDescent="0.25">
      <x:c r="A54" s="461" t="s">
        <x:v>694</x:v>
      </x:c>
      <x:c r="B54" s="573" t="s">
        <x:v>105</x:v>
      </x:c>
      <x:c r="C54" s="463" t="s">
        <x:v>695</x:v>
      </x:c>
      <x:c r="D54" s="464">
        <x:v>45540</x:v>
      </x:c>
      <x:c r="E54" s="465">
        <x:v>210.12</x:v>
      </x:c>
      <x:c r="F54" s="465">
        <x:v>31.51</x:v>
      </x:c>
      <x:c r="G54" s="466">
        <x:v>195.57</x:v>
      </x:c>
      <x:c r="H54" s="465">
        <x:v>26.79</x:v>
      </x:c>
      <x:c r="I54" s="467">
        <x:v>45583</x:v>
      </x:c>
      <x:c r="J54" s="433">
        <x:f>+E54-F54</x:f>
      </x:c>
      <x:c r="K54" s="468">
        <x:f>+I54-D54</x:f>
      </x:c>
      <x:c r="L54" s="503">
        <x:v>0.03</x:v>
      </x:c>
      <x:c r="M54" s="504">
        <x:f>+J54*L54</x:f>
      </x:c>
      <x:c r="O54" s="432"/>
    </x:row>
    <x:row r="55" spans="1:30" ht="15" customHeight="1" x14ac:dyDescent="0.25">
      <x:c r="A55" s="461" t="s">
        <x:v>52</x:v>
      </x:c>
      <x:c r="B55" s="506" t="s">
        <x:v>53</x:v>
      </x:c>
      <x:c r="C55" s="463" t="s">
        <x:v>696</x:v>
      </x:c>
      <x:c r="D55" s="464">
        <x:v>45551</x:v>
      </x:c>
      <x:c r="E55" s="465">
        <x:v>604.8</x:v>
      </x:c>
      <x:c r="F55" s="465">
        <x:v>151.2</x:v>
      </x:c>
      <x:c r="G55" s="466">
        <x:v>496.69</x:v>
      </x:c>
      <x:c r="H55" s="465">
        <x:v>68.04</x:v>
      </x:c>
      <x:c r="I55" s="467">
        <x:v>45579</x:v>
      </x:c>
      <x:c r="J55" s="433">
        <x:f>+E55-F55</x:f>
      </x:c>
      <x:c r="K55" s="468">
        <x:f>+I55-D55</x:f>
      </x:c>
      <x:c r="L55" s="503">
        <x:v>0.035</x:v>
      </x:c>
      <x:c r="M55" s="504">
        <x:f>+J55*L55</x:f>
      </x:c>
      <x:c r="O55" s="432"/>
    </x:row>
    <x:row r="56" spans="1:30" ht="15" customHeight="1" x14ac:dyDescent="0.25">
      <x:c r="A56" s="461" t="s">
        <x:v>697</x:v>
      </x:c>
      <x:c r="B56" s="505" t="s">
        <x:v>53</x:v>
      </x:c>
      <x:c r="C56" s="463" t="s">
        <x:v>698</x:v>
      </x:c>
      <x:c r="D56" s="464">
        <x:v>45551</x:v>
      </x:c>
      <x:c r="E56" s="465">
        <x:v>1713.6</x:v>
      </x:c>
      <x:c r="F56" s="465">
        <x:v>428.4</x:v>
      </x:c>
      <x:c r="G56" s="466">
        <x:v>1407.3</x:v>
      </x:c>
      <x:c r="H56" s="465">
        <x:v>192.78</x:v>
      </x:c>
      <x:c r="I56" s="467">
        <x:v>45580</x:v>
      </x:c>
      <x:c r="J56" s="433">
        <x:f>+E56-F56</x:f>
      </x:c>
      <x:c r="K56" s="468">
        <x:f>+I56-D56</x:f>
      </x:c>
      <x:c r="L56" s="503">
        <x:v>0.035</x:v>
      </x:c>
      <x:c r="M56" s="504">
        <x:f>+J56*L56</x:f>
      </x:c>
      <x:c r="O56" s="432"/>
    </x:row>
    <x:row r="57" spans="1:30" ht="15" customHeight="1" x14ac:dyDescent="0.25">
      <x:c r="A57" s="461" t="s">
        <x:v>101</x:v>
      </x:c>
      <x:c r="B57" s="505" t="s">
        <x:v>26</x:v>
      </x:c>
      <x:c r="C57" s="463" t="s">
        <x:v>699</x:v>
      </x:c>
      <x:c r="D57" s="464">
        <x:v>45551</x:v>
      </x:c>
      <x:c r="E57" s="465">
        <x:v>184.8</x:v>
      </x:c>
      <x:c r="F57" s="465">
        <x:v>27.72</x:v>
      </x:c>
      <x:c r="G57" s="466">
        <x:v>172</x:v>
      </x:c>
      <x:c r="H57" s="465">
        <x:v>23.56</x:v>
      </x:c>
      <x:c r="I57" s="467">
        <x:v>45582</x:v>
      </x:c>
      <x:c r="J57" s="433">
        <x:f>+E57-F57</x:f>
      </x:c>
      <x:c r="K57" s="468">
        <x:f>+I57-D57</x:f>
      </x:c>
      <x:c r="L57" s="503">
        <x:v>0.03</x:v>
      </x:c>
      <x:c r="M57" s="504">
        <x:f>+J57*L57</x:f>
      </x:c>
      <x:c r="O57" s="432"/>
    </x:row>
    <x:row r="58" spans="1:30" ht="15" customHeight="1" x14ac:dyDescent="0.25">
      <x:c r="A58" s="461" t="s">
        <x:v>700</x:v>
      </x:c>
      <x:c r="B58" s="505" t="s">
        <x:v>105</x:v>
      </x:c>
      <x:c r="C58" s="463" t="s">
        <x:v>701</x:v>
      </x:c>
      <x:c r="D58" s="464">
        <x:v>45553</x:v>
      </x:c>
      <x:c r="E58" s="465">
        <x:v>72</x:v>
      </x:c>
      <x:c r="F58" s="465">
        <x:v>7.2</x:v>
      </x:c>
      <x:c r="G58" s="466">
        <x:v>74.52</x:v>
      </x:c>
      <x:c r="H58" s="465">
        <x:v>9.72</x:v>
      </x:c>
      <x:c r="I58" s="467">
        <x:v>45587</x:v>
      </x:c>
      <x:c r="J58" s="433">
        <x:f>+E58-F58</x:f>
      </x:c>
      <x:c r="K58" s="468">
        <x:f>+I58-D58</x:f>
      </x:c>
      <x:c r="L58" s="503">
        <x:v>0.03</x:v>
      </x:c>
      <x:c r="M58" s="504">
        <x:f>+J58*L58</x:f>
      </x:c>
      <x:c r="O58" s="432"/>
    </x:row>
    <x:row r="59" spans="1:30" ht="15" customHeight="1" x14ac:dyDescent="0.25">
      <x:c r="A59" s="461" t="s">
        <x:v>52</x:v>
      </x:c>
      <x:c r="B59" s="573" t="s">
        <x:v>53</x:v>
      </x:c>
      <x:c r="C59" s="463" t="s">
        <x:v>702</x:v>
      </x:c>
      <x:c r="D59" s="464">
        <x:v>45559</x:v>
      </x:c>
      <x:c r="E59" s="465">
        <x:v>1377</x:v>
      </x:c>
      <x:c r="F59" s="465">
        <x:v>344.25</x:v>
      </x:c>
      <x:c r="G59" s="466">
        <x:v>1130.86</x:v>
      </x:c>
      <x:c r="H59" s="465">
        <x:v>154.91</x:v>
      </x:c>
      <x:c r="I59" s="467">
        <x:v>45579</x:v>
      </x:c>
      <x:c r="J59" s="433">
        <x:f>+E59-F59</x:f>
      </x:c>
      <x:c r="K59" s="468">
        <x:f>+I59-D59</x:f>
      </x:c>
      <x:c r="L59" s="503">
        <x:v>0.035</x:v>
      </x:c>
      <x:c r="M59" s="504">
        <x:f>+J59*L59</x:f>
      </x:c>
      <x:c r="O59" s="432"/>
    </x:row>
    <x:row r="60" spans="1:30" ht="15" customHeight="1" x14ac:dyDescent="0.25">
      <x:c r="A60" s="461" t="s">
        <x:v>332</x:v>
      </x:c>
      <x:c r="B60" s="573" t="s">
        <x:v>333</x:v>
      </x:c>
      <x:c r="C60" s="463" t="s">
        <x:v>703</x:v>
      </x:c>
      <x:c r="D60" s="464">
        <x:v>45561</x:v>
      </x:c>
      <x:c r="E60" s="465">
        <x:v>232.68</x:v>
      </x:c>
      <x:c r="F60" s="465">
        <x:v>34.9</x:v>
      </x:c>
      <x:c r="G60" s="466">
        <x:v>127.45</x:v>
      </x:c>
      <x:c r="H60" s="465">
        <x:v>29.67</x:v>
      </x:c>
      <x:c r="I60" s="467">
        <x:v>45593</x:v>
      </x:c>
      <x:c r="J60" s="433">
        <x:f>127.45/1.15</x:f>
      </x:c>
      <x:c r="K60" s="468">
        <x:f>+I60-D60</x:f>
      </x:c>
      <x:c r="L60" s="503">
        <x:v>0.03</x:v>
      </x:c>
      <x:c r="M60" s="504">
        <x:f>+J60*L60</x:f>
      </x:c>
      <x:c r="O60" s="432"/>
    </x:row>
    <x:row r="61" spans="1:30" ht="15" customHeight="1" x14ac:dyDescent="0.25">
      <x:c r="A61" s="461" t="s">
        <x:v>228</x:v>
      </x:c>
      <x:c r="B61" s="573" t="s">
        <x:v>155</x:v>
      </x:c>
      <x:c r="C61" s="463" t="s">
        <x:v>704</x:v>
      </x:c>
      <x:c r="D61" s="464">
        <x:v>45561</x:v>
      </x:c>
      <x:c r="E61" s="465">
        <x:v>140.4</x:v>
      </x:c>
      <x:c r="F61" s="465">
        <x:v>21.06</x:v>
      </x:c>
      <x:c r="G61" s="466">
        <x:v>130.68</x:v>
      </x:c>
      <x:c r="H61" s="465">
        <x:v>17.9</x:v>
      </x:c>
      <x:c r="I61" s="467">
        <x:v>45593</x:v>
      </x:c>
      <x:c r="J61" s="433">
        <x:f>+E61-F61</x:f>
      </x:c>
      <x:c r="K61" s="468">
        <x:f>+I61-D61</x:f>
      </x:c>
      <x:c r="L61" s="503">
        <x:v>0.03</x:v>
      </x:c>
      <x:c r="M61" s="504">
        <x:f>+J61*L61</x:f>
      </x:c>
      <x:c r="O61" s="432"/>
    </x:row>
    <x:row r="62" spans="1:30" ht="15" customHeight="1" x14ac:dyDescent="0.25">
      <x:c r="A62" s="461" t="s">
        <x:v>705</x:v>
      </x:c>
      <x:c r="B62" s="586" t="s">
        <x:v>333</x:v>
      </x:c>
      <x:c r="C62" s="463" t="s">
        <x:v>706</x:v>
      </x:c>
      <x:c r="D62" s="464">
        <x:v>45569</x:v>
      </x:c>
      <x:c r="E62" s="465">
        <x:v>294.72</x:v>
      </x:c>
      <x:c r="F62" s="465">
        <x:v>44.22</x:v>
      </x:c>
      <x:c r="G62" s="466">
        <x:v>288.08</x:v>
      </x:c>
      <x:c r="H62" s="465">
        <x:v>245.92</x:v>
      </x:c>
      <x:c r="I62" s="467">
        <x:v>45593</x:v>
      </x:c>
      <x:c r="J62" s="433">
        <x:f>+E62-F62</x:f>
      </x:c>
      <x:c r="K62" s="468">
        <x:f>+I62-D62</x:f>
      </x:c>
      <x:c r="L62" s="503">
        <x:v>0.035</x:v>
      </x:c>
      <x:c r="M62" s="504">
        <x:f>+J62*L62</x:f>
      </x:c>
      <x:c r="O62" s="432"/>
    </x:row>
    <x:row r="63" spans="1:30" ht="15" customHeight="1" x14ac:dyDescent="0.25">
      <x:c r="A63" s="461" t="s">
        <x:v>705</x:v>
      </x:c>
      <x:c r="B63" s="586" t="s">
        <x:v>333</x:v>
      </x:c>
      <x:c r="C63" s="463" t="s">
        <x:v>707</x:v>
      </x:c>
      <x:c r="D63" s="464">
        <x:v>45569</x:v>
      </x:c>
      <x:c r="E63" s="465">
        <x:v>57</x:v>
      </x:c>
      <x:c r="F63" s="465">
        <x:v>8.55</x:v>
      </x:c>
      <x:c r="G63" s="466">
        <x:v>44.11</x:v>
      </x:c>
      <x:c r="H63" s="465">
        <x:v>7.27</x:v>
      </x:c>
      <x:c r="I63" s="467">
        <x:v>45593</x:v>
      </x:c>
      <x:c r="J63" s="433">
        <x:f>44.11/1.15</x:f>
      </x:c>
      <x:c r="K63" s="468">
        <x:f>+I63-D63</x:f>
      </x:c>
      <x:c r="L63" s="503">
        <x:v>0.035</x:v>
      </x:c>
      <x:c r="M63" s="504">
        <x:f>+J63*L63</x:f>
      </x:c>
      <x:c r="O63" s="432"/>
    </x:row>
    <x:row r="64" spans="1:30" ht="15" customHeight="1" x14ac:dyDescent="0.25">
      <x:c r="A64" s="461" t="s">
        <x:v>114</x:v>
      </x:c>
      <x:c r="B64" s="506" t="s">
        <x:v>26</x:v>
      </x:c>
      <x:c r="C64" s="463" t="s">
        <x:v>708</x:v>
      </x:c>
      <x:c r="D64" s="464">
        <x:v>45579</x:v>
      </x:c>
      <x:c r="E64" s="465">
        <x:v>23.4</x:v>
      </x:c>
      <x:c r="F64" s="465">
        <x:v>3.51</x:v>
      </x:c>
      <x:c r="G64" s="466">
        <x:v>21.78</x:v>
      </x:c>
      <x:c r="H64" s="465">
        <x:v>2.98</x:v>
      </x:c>
      <x:c r="I64" s="467">
        <x:v>45580</x:v>
      </x:c>
      <x:c r="J64" s="433">
        <x:f>+E64-F64</x:f>
      </x:c>
      <x:c r="K64" s="468">
        <x:f>+I64-D64</x:f>
      </x:c>
      <x:c r="L64" s="503">
        <x:v>0.04</x:v>
      </x:c>
      <x:c r="M64" s="504">
        <x:f>+J64*L64</x:f>
      </x:c>
      <x:c r="O64" s="432"/>
    </x:row>
    <x:row r="65" spans="1:30" ht="15" customHeight="1" x14ac:dyDescent="0.25">
      <x:c r="A65" s="461" t="s">
        <x:v>114</x:v>
      </x:c>
      <x:c r="B65" s="506" t="s">
        <x:v>26</x:v>
      </x:c>
      <x:c r="C65" s="463" t="s">
        <x:v>709</x:v>
      </x:c>
      <x:c r="D65" s="464">
        <x:v>45586</x:v>
      </x:c>
      <x:c r="E65" s="465">
        <x:v>51</x:v>
      </x:c>
      <x:c r="F65" s="465">
        <x:v>7.65</x:v>
      </x:c>
      <x:c r="G65" s="466">
        <x:v>47.47</x:v>
      </x:c>
      <x:c r="H65" s="465">
        <x:v>6.5</x:v>
      </x:c>
      <x:c r="I65" s="467">
        <x:v>45587</x:v>
      </x:c>
      <x:c r="J65" s="433">
        <x:f>+E65-F65</x:f>
      </x:c>
      <x:c r="K65" s="468">
        <x:f>+I65-D65</x:f>
      </x:c>
      <x:c r="L65" s="503">
        <x:v>0.04</x:v>
      </x:c>
      <x:c r="M65" s="504">
        <x:f>+J65*L65</x:f>
      </x:c>
      <x:c r="O65" s="432"/>
    </x:row>
    <x:row r="66" spans="1:30" ht="15" customHeight="1" x14ac:dyDescent="0.25">
      <x:c r="A66" s="461" t="s">
        <x:v>114</x:v>
      </x:c>
      <x:c r="B66" s="506" t="s">
        <x:v>26</x:v>
      </x:c>
      <x:c r="C66" s="463" t="s">
        <x:v>710</x:v>
      </x:c>
      <x:c r="D66" s="464">
        <x:v>45587</x:v>
      </x:c>
      <x:c r="E66" s="465">
        <x:v>40.8</x:v>
      </x:c>
      <x:c r="F66" s="465">
        <x:v>6.12</x:v>
      </x:c>
      <x:c r="G66" s="466">
        <x:v>37.97</x:v>
      </x:c>
      <x:c r="H66" s="465">
        <x:v>5.2</x:v>
      </x:c>
      <x:c r="I66" s="467">
        <x:v>45588</x:v>
      </x:c>
      <x:c r="J66" s="433">
        <x:f>+E66-F66</x:f>
      </x:c>
      <x:c r="K66" s="468">
        <x:f>+I66-D66</x:f>
      </x:c>
      <x:c r="L66" s="503">
        <x:v>0.04</x:v>
      </x:c>
      <x:c r="M66" s="504">
        <x:f>+J66*L66</x:f>
      </x:c>
      <x:c r="O66" s="432"/>
    </x:row>
    <x:row r="67" spans="1:30" ht="15" customHeight="1" x14ac:dyDescent="0.25">
      <x:c r="A67" s="461"/>
      <x:c r="B67" s="572"/>
      <x:c r="C67" s="463"/>
      <x:c r="D67" s="464"/>
      <x:c r="E67" s="465"/>
      <x:c r="F67" s="465"/>
      <x:c r="G67" s="466"/>
      <x:c r="H67" s="465"/>
      <x:c r="I67" s="467"/>
      <x:c r="J67" s="433"/>
      <x:c r="K67" s="468"/>
      <x:c r="L67" s="503"/>
      <x:c r="M67" s="504"/>
      <x:c r="O67" s="432"/>
    </x:row>
    <x:row r="68" spans="1:30" ht="15" customHeight="1" x14ac:dyDescent="0.25">
      <x:c r="A68" s="461"/>
      <x:c r="B68" s="506"/>
      <x:c r="C68" s="463"/>
      <x:c r="D68" s="464"/>
      <x:c r="E68" s="465"/>
      <x:c r="F68" s="465"/>
      <x:c r="G68" s="466"/>
      <x:c r="H68" s="465"/>
      <x:c r="I68" s="467"/>
      <x:c r="J68" s="433"/>
      <x:c r="K68" s="468"/>
      <x:c r="L68" s="503"/>
      <x:c r="M68" s="504"/>
      <x:c r="O68" s="432"/>
    </x:row>
    <x:row r="69" spans="1:30" ht="15" customHeight="1" x14ac:dyDescent="0.25">
      <x:c r="A69" s="461"/>
      <x:c r="B69" s="505"/>
      <x:c r="C69" s="463"/>
      <x:c r="D69" s="464"/>
      <x:c r="E69" s="465"/>
      <x:c r="F69" s="465"/>
      <x:c r="G69" s="466"/>
      <x:c r="H69" s="465"/>
      <x:c r="I69" s="467"/>
      <x:c r="J69" s="433"/>
      <x:c r="K69" s="468"/>
      <x:c r="L69" s="503"/>
      <x:c r="M69" s="504"/>
      <x:c r="O69" s="432"/>
    </x:row>
    <x:row r="70" spans="1:30" ht="15" customHeight="1" x14ac:dyDescent="0.25">
      <x:c r="A70" s="549"/>
      <x:c r="B70" s="543"/>
      <x:c r="C70" s="525"/>
      <x:c r="D70" s="526"/>
      <x:c r="E70" s="527"/>
      <x:c r="F70" s="527"/>
      <x:c r="G70" s="528"/>
      <x:c r="H70" s="527"/>
      <x:c r="I70" s="529"/>
      <x:c r="J70" s="433"/>
      <x:c r="K70" s="468"/>
      <x:c r="L70" s="503"/>
      <x:c r="M70" s="504"/>
      <x:c r="O70" s="432"/>
    </x:row>
    <x:row r="71" spans="1:30" ht="15" customHeight="1" x14ac:dyDescent="0.3">
      <x:c r="G71" s="516">
        <x:f>SUM(G39:G70)</x:f>
      </x:c>
      <x:c r="J71" s="516">
        <x:f>SUM(J39:J70)</x:f>
      </x:c>
      <x:c r="M71" s="516">
        <x:f>SUM(M39:M70)</x:f>
      </x:c>
    </x:row>
    <x:row r="72" spans="1:30" ht="15" customHeight="1" x14ac:dyDescent="0.25">
      <x:c r="G72" s="435"/>
      <x:c r="H72" s="435"/>
    </x:row>
    <x:row r="73" spans="1:30" ht="15" customHeight="1" x14ac:dyDescent="0.25">
      <x:c r="A73" s="517" t="s">
        <x:v>30</x:v>
      </x:c>
      <x:c r="B73" s="517" t="s">
        <x:v>31</x:v>
      </x:c>
      <x:c r="C73" s="518" t="s">
        <x:v>32</x:v>
      </x:c>
      <x:c r="I73" s="435"/>
      <x:c r="J73" s="435"/>
    </x:row>
    <x:row r="74" spans="1:30" ht="15" customHeight="1" s="434" customFormat="1" x14ac:dyDescent="0.25">
      <x:c r="A74" s="486" t="s">
        <x:v>711</x:v>
      </x:c>
      <x:c r="B74" s="487" t="s">
        <x:v>712</x:v>
      </x:c>
      <x:c r="C74" s="488" t="s">
        <x:v>713</x:v>
      </x:c>
      <x:c r="D74" s="489">
        <x:v>45510</x:v>
      </x:c>
      <x:c r="E74" s="490">
        <x:v>255.36</x:v>
      </x:c>
      <x:c r="F74" s="490">
        <x:v>38.3</x:v>
      </x:c>
      <x:c r="G74" s="491">
        <x:v>249.62</x:v>
      </x:c>
      <x:c r="H74" s="490">
        <x:v>32.56</x:v>
      </x:c>
      <x:c r="I74" s="492">
        <x:v>45615</x:v>
      </x:c>
      <x:c r="J74" s="433">
        <x:f>+E74-F74</x:f>
      </x:c>
      <x:c r="K74" s="468">
        <x:f>+I74-D74</x:f>
      </x:c>
      <x:c r="L74" s="469">
        <x:v>0.03</x:v>
      </x:c>
      <x:c r="M74" s="433">
        <x:f>+J74*L74</x:f>
      </x:c>
      <x:c r="N74" s="470"/>
      <x:c r="O74" s="432"/>
    </x:row>
    <x:row r="75" spans="1:30" ht="15" customHeight="1" s="434" customFormat="1" x14ac:dyDescent="0.25">
      <x:c r="A75" s="486" t="s">
        <x:v>675</x:v>
      </x:c>
      <x:c r="B75" s="487" t="s">
        <x:v>714</x:v>
      </x:c>
      <x:c r="C75" s="488" t="s">
        <x:v>715</x:v>
      </x:c>
      <x:c r="D75" s="489">
        <x:v>45545</x:v>
      </x:c>
      <x:c r="E75" s="490">
        <x:v>1545</x:v>
      </x:c>
      <x:c r="F75" s="490">
        <x:v>386.25</x:v>
      </x:c>
      <x:c r="G75" s="502">
        <x:v>1268.83</x:v>
      </x:c>
      <x:c r="H75" s="490">
        <x:v>173.81</x:v>
      </x:c>
      <x:c r="I75" s="467">
        <x:v>45636</x:v>
      </x:c>
      <x:c r="J75" s="433">
        <x:f>+E75-F75</x:f>
      </x:c>
      <x:c r="K75" s="468">
        <x:f>+I75-D75</x:f>
      </x:c>
      <x:c r="L75" s="469">
        <x:v>0.03</x:v>
      </x:c>
      <x:c r="M75" s="433">
        <x:f>+J75*L75</x:f>
      </x:c>
      <x:c r="N75" s="470"/>
      <x:c r="O75" s="432"/>
    </x:row>
    <x:row r="76" spans="1:30" ht="15" customHeight="1" s="434" customFormat="1" x14ac:dyDescent="0.25">
      <x:c r="A76" s="486" t="s">
        <x:v>118</x:v>
      </x:c>
      <x:c r="B76" s="487" t="s">
        <x:v>716</x:v>
      </x:c>
      <x:c r="C76" s="488" t="s">
        <x:v>717</x:v>
      </x:c>
      <x:c r="D76" s="489">
        <x:v>45562</x:v>
      </x:c>
      <x:c r="E76" s="490">
        <x:v>979.2</x:v>
      </x:c>
      <x:c r="F76" s="490">
        <x:v>244.8</x:v>
      </x:c>
      <x:c r="G76" s="502">
        <x:v>804.17</x:v>
      </x:c>
      <x:c r="H76" s="490">
        <x:v>110.16</x:v>
      </x:c>
      <x:c r="I76" s="467">
        <x:v>45596</x:v>
      </x:c>
      <x:c r="J76" s="433">
        <x:f>+E76-F76</x:f>
      </x:c>
      <x:c r="K76" s="468">
        <x:f>+I76-D76</x:f>
      </x:c>
      <x:c r="L76" s="469">
        <x:v>0.03</x:v>
      </x:c>
      <x:c r="M76" s="433">
        <x:f>+J76*L76</x:f>
      </x:c>
      <x:c r="N76" s="470"/>
      <x:c r="O76" s="432"/>
    </x:row>
    <x:row r="77" spans="1:30" ht="15" customHeight="1" s="434" customFormat="1" x14ac:dyDescent="0.25">
      <x:c r="A77" s="486" t="s">
        <x:v>75</x:v>
      </x:c>
      <x:c r="B77" s="487" t="s">
        <x:v>718</x:v>
      </x:c>
      <x:c r="C77" s="488" t="s">
        <x:v>719</x:v>
      </x:c>
      <x:c r="D77" s="489">
        <x:v>45568</x:v>
      </x:c>
      <x:c r="E77" s="490">
        <x:v>97.8</x:v>
      </x:c>
      <x:c r="F77" s="490">
        <x:v>14.67</x:v>
      </x:c>
      <x:c r="G77" s="502">
        <x:v>95.6</x:v>
      </x:c>
      <x:c r="H77" s="490">
        <x:v>12.47</x:v>
      </x:c>
      <x:c r="I77" s="489">
        <x:v>45602</x:v>
      </x:c>
      <x:c r="J77" s="433">
        <x:f>+E77-F77</x:f>
      </x:c>
      <x:c r="K77" s="468">
        <x:f>+I77-D77</x:f>
      </x:c>
      <x:c r="L77" s="469">
        <x:v>0.03</x:v>
      </x:c>
      <x:c r="M77" s="433">
        <x:f>+J77*L77</x:f>
      </x:c>
      <x:c r="N77" s="470"/>
      <x:c r="O77" s="432"/>
    </x:row>
    <x:row r="78" spans="1:30" ht="15" customHeight="1" s="434" customFormat="1" x14ac:dyDescent="0.25">
      <x:c r="A78" s="486" t="s">
        <x:v>75</x:v>
      </x:c>
      <x:c r="B78" s="487" t="s">
        <x:v>720</x:v>
      </x:c>
      <x:c r="C78" s="488" t="s">
        <x:v>721</x:v>
      </x:c>
      <x:c r="D78" s="489">
        <x:v>45569</x:v>
      </x:c>
      <x:c r="E78" s="490">
        <x:v>46.8</x:v>
      </x:c>
      <x:c r="F78" s="490">
        <x:v>7.02</x:v>
      </x:c>
      <x:c r="G78" s="502">
        <x:v>45.75</x:v>
      </x:c>
      <x:c r="H78" s="490">
        <x:v>5.97</x:v>
      </x:c>
      <x:c r="I78" s="467">
        <x:v>45603</x:v>
      </x:c>
      <x:c r="J78" s="433">
        <x:f>+E78-F78</x:f>
      </x:c>
      <x:c r="K78" s="468">
        <x:f>+I78-D78</x:f>
      </x:c>
      <x:c r="L78" s="469">
        <x:v>0.03</x:v>
      </x:c>
      <x:c r="M78" s="433">
        <x:f>+J78*L78</x:f>
      </x:c>
      <x:c r="N78" s="470"/>
      <x:c r="O78" s="432"/>
    </x:row>
    <x:row r="79" spans="1:30" ht="15" customHeight="1" s="434" customFormat="1" x14ac:dyDescent="0.25">
      <x:c r="A79" s="486" t="s">
        <x:v>477</x:v>
      </x:c>
      <x:c r="B79" s="487" t="s">
        <x:v>722</x:v>
      </x:c>
      <x:c r="C79" s="488" t="s">
        <x:v>723</x:v>
      </x:c>
      <x:c r="D79" s="489">
        <x:v>45572</x:v>
      </x:c>
      <x:c r="E79" s="490">
        <x:v>211.2</x:v>
      </x:c>
      <x:c r="F79" s="490">
        <x:v>31.68</x:v>
      </x:c>
      <x:c r="G79" s="502">
        <x:v>195.23</x:v>
      </x:c>
      <x:c r="H79" s="490">
        <x:v>26.93</x:v>
      </x:c>
      <x:c r="I79" s="467">
        <x:v>45611</x:v>
      </x:c>
      <x:c r="J79" s="433">
        <x:f>+E79-F79</x:f>
      </x:c>
      <x:c r="K79" s="468">
        <x:f>+I79-D79</x:f>
      </x:c>
      <x:c r="L79" s="469">
        <x:v>0.03</x:v>
      </x:c>
      <x:c r="M79" s="433">
        <x:f>+J79*L79</x:f>
      </x:c>
      <x:c r="N79" s="470"/>
      <x:c r="O79" s="432"/>
    </x:row>
    <x:row r="80" spans="1:30" ht="15" customHeight="1" s="434" customFormat="1" x14ac:dyDescent="0.25">
      <x:c r="A80" s="486" t="s">
        <x:v>75</x:v>
      </x:c>
      <x:c r="B80" s="487" t="s">
        <x:v>724</x:v>
      </x:c>
      <x:c r="C80" s="488" t="s">
        <x:v>725</x:v>
      </x:c>
      <x:c r="D80" s="489">
        <x:v>45573</x:v>
      </x:c>
      <x:c r="E80" s="490">
        <x:v>34.8</x:v>
      </x:c>
      <x:c r="F80" s="490">
        <x:v>5.22</x:v>
      </x:c>
      <x:c r="G80" s="502">
        <x:v>34.02</x:v>
      </x:c>
      <x:c r="H80" s="490">
        <x:v>4.44</x:v>
      </x:c>
      <x:c r="I80" s="467">
        <x:v>45604</x:v>
      </x:c>
      <x:c r="J80" s="433">
        <x:f>+E80-F80</x:f>
      </x:c>
      <x:c r="K80" s="468">
        <x:f>+I80-D80</x:f>
      </x:c>
      <x:c r="L80" s="469">
        <x:v>0.03</x:v>
      </x:c>
      <x:c r="M80" s="433">
        <x:f>+J80*L80</x:f>
      </x:c>
      <x:c r="N80" s="470"/>
      <x:c r="O80" s="432"/>
    </x:row>
    <x:row r="81" spans="1:30" ht="15" customHeight="1" s="434" customFormat="1" x14ac:dyDescent="0.25">
      <x:c r="A81" s="486" t="s">
        <x:v>70</x:v>
      </x:c>
      <x:c r="B81" s="487" t="s">
        <x:v>726</x:v>
      </x:c>
      <x:c r="C81" s="488" t="s">
        <x:v>727</x:v>
      </x:c>
      <x:c r="D81" s="489">
        <x:v>45583</x:v>
      </x:c>
      <x:c r="E81" s="490">
        <x:v>565.32</x:v>
      </x:c>
      <x:c r="F81" s="490">
        <x:v>113.06</x:v>
      </x:c>
      <x:c r="G81" s="502">
        <x:v>495.23</x:v>
      </x:c>
      <x:c r="H81" s="490">
        <x:v>67.84</x:v>
      </x:c>
      <x:c r="I81" s="467">
        <x:v>45614</x:v>
      </x:c>
      <x:c r="J81" s="433">
        <x:f>+E81-F81</x:f>
      </x:c>
      <x:c r="K81" s="468">
        <x:f>+I81-D81</x:f>
      </x:c>
      <x:c r="L81" s="469">
        <x:v>0.03</x:v>
      </x:c>
      <x:c r="M81" s="433">
        <x:f>+J81*L81</x:f>
      </x:c>
      <x:c r="N81" s="470"/>
      <x:c r="O81" s="432"/>
    </x:row>
    <x:row r="82" spans="1:30" ht="15" customHeight="1" s="434" customFormat="1" x14ac:dyDescent="0.25">
      <x:c r="A82" s="486" t="s">
        <x:v>75</x:v>
      </x:c>
      <x:c r="B82" s="487" t="s">
        <x:v>728</x:v>
      </x:c>
      <x:c r="C82" s="488" t="s">
        <x:v>729</x:v>
      </x:c>
      <x:c r="D82" s="489">
        <x:v>45586</x:v>
      </x:c>
      <x:c r="E82" s="490">
        <x:v>69.6</x:v>
      </x:c>
      <x:c r="F82" s="490">
        <x:v>10.44</x:v>
      </x:c>
      <x:c r="G82" s="502">
        <x:v>68.03</x:v>
      </x:c>
      <x:c r="H82" s="490">
        <x:v>8.87</x:v>
      </x:c>
      <x:c r="I82" s="467">
        <x:v>45602</x:v>
      </x:c>
      <x:c r="J82" s="433">
        <x:f>+E82-F82</x:f>
      </x:c>
      <x:c r="K82" s="468">
        <x:f>+I82-D82</x:f>
      </x:c>
      <x:c r="L82" s="469">
        <x:v>0.03</x:v>
      </x:c>
      <x:c r="M82" s="433">
        <x:f>+J82*L82</x:f>
      </x:c>
      <x:c r="N82" s="470"/>
      <x:c r="O82" s="432"/>
    </x:row>
    <x:row r="83" spans="1:30" ht="15" customHeight="1" s="432" customFormat="1" x14ac:dyDescent="0.3">
      <x:c r="A83" s="558"/>
      <x:c r="B83" s="559"/>
      <x:c r="C83" s="560"/>
      <x:c r="D83" s="561"/>
      <x:c r="E83" s="562"/>
      <x:c r="F83" s="562"/>
      <x:c r="G83" s="491"/>
      <x:c r="H83" s="490"/>
      <x:c r="I83" s="492"/>
      <x:c r="J83" s="433"/>
      <x:c r="K83" s="468"/>
      <x:c r="L83" s="469"/>
      <x:c r="M83" s="563"/>
      <x:c r="N83" s="470"/>
    </x:row>
    <x:row r="84" spans="1:30" ht="15" customHeight="1" x14ac:dyDescent="0.35">
      <x:c r="A84" s="493" t="s">
        <x:v>43</x:v>
      </x:c>
      <x:c r="B84" s="493"/>
      <x:c r="C84" s="493"/>
      <x:c r="D84" s="493"/>
      <x:c r="E84" s="493"/>
      <x:c r="F84" s="493"/>
      <x:c r="G84" s="516">
        <x:f>SUM(G71:G83)</x:f>
      </x:c>
      <x:c r="J84" s="516">
        <x:f>SUM(J71:J83)</x:f>
      </x:c>
      <x:c r="L84" s="495"/>
      <x:c r="M84" s="564">
        <x:f>SUM(M71:M83)</x:f>
      </x:c>
    </x:row>
    <x:row r="85" spans="1:30" ht="15" customHeight="1" x14ac:dyDescent="0.3">
      <x:c r="A85" s="520"/>
      <x:c r="G85" s="435"/>
    </x:row>
    <x:row r="86" spans="1:30" ht="15" customHeight="1" x14ac:dyDescent="0.3">
      <x:c r="A86" s="499"/>
      <x:c r="G86" s="435"/>
      <x:c r="J86" s="435"/>
    </x:row>
    <x:row r="87" spans="1:30" ht="15" customHeight="1" x14ac:dyDescent="0.3">
      <x:c r="A87" s="499"/>
      <x:c r="G87" s="435"/>
      <x:c r="J87" s="435"/>
    </x:row>
    <x:row r="88" spans="1:30" ht="15" customHeight="1" x14ac:dyDescent="0.3">
      <x:c r="A88" s="499"/>
      <x:c r="G88" s="435"/>
      <x:c r="J88" s="435"/>
    </x:row>
    <x:row r="89" spans="1:30" ht="15" customHeight="1" x14ac:dyDescent="0.3">
      <x:c r="A89" s="499"/>
      <x:c r="G89" s="435"/>
      <x:c r="J89" s="435"/>
    </x:row>
    <x:row r="90" spans="1:30" ht="15" customHeight="1" x14ac:dyDescent="0.3">
      <x:c r="A90" s="499"/>
      <x:c r="G90" s="435"/>
      <x:c r="J90" s="435"/>
    </x:row>
    <x:row r="91" spans="1:30" ht="15" customHeight="1" x14ac:dyDescent="0.3">
      <x:c r="A91" s="499"/>
      <x:c r="G91" s="435"/>
      <x:c r="J91" s="435">
        <x:f>(J29+J84)*2%</x:f>
      </x:c>
      <x:c r="M91" s="435">
        <x:f>M29/12</x:f>
      </x:c>
      <x:c r="N91" s="431" t="s">
        <x:v>237</x:v>
      </x:c>
    </x:row>
    <x:row r="92" spans="1:30" ht="15" customHeight="1" x14ac:dyDescent="0.3">
      <x:c r="A92" s="499"/>
      <x:c r="G92" s="435"/>
      <x:c r="J92" s="565">
        <x:f>J91/12</x:f>
      </x:c>
      <x:c r="M92" s="435">
        <x:f>M29/24</x:f>
      </x:c>
      <x:c r="N92" s="431" t="s">
        <x:v>237</x:v>
      </x:c>
    </x:row>
    <x:row r="93" spans="1:30" ht="15" customHeight="1" x14ac:dyDescent="0.3">
      <x:c r="A93" s="499"/>
      <x:c r="G93" s="435"/>
      <x:c r="J93" s="565">
        <x:f>J91/24</x:f>
      </x:c>
      <x:c r="M93" s="435">
        <x:f>M84/12</x:f>
      </x:c>
      <x:c r="N93" s="431" t="s">
        <x:v>238</x:v>
      </x:c>
      <x:c r="O93" s="435"/>
    </x:row>
    <x:row r="94" spans="1:30" ht="15" customHeight="1" x14ac:dyDescent="0.3">
      <x:c r="A94" s="499"/>
      <x:c r="G94" s="435"/>
      <x:c r="J94" s="435"/>
      <x:c r="M94" s="435">
        <x:f>M84/24</x:f>
      </x:c>
      <x:c r="N94" s="431" t="s">
        <x:v>238</x:v>
      </x:c>
      <x:c r="O94" s="435"/>
    </x:row>
    <x:row r="95" spans="1:30" ht="15" customHeight="1" x14ac:dyDescent="0.3">
      <x:c r="A95" s="499"/>
      <x:c r="G95" s="435"/>
      <x:c r="J95" s="435"/>
      <x:c r="M95" s="435"/>
    </x:row>
    <x:row r="96" spans="1:30" ht="15" customHeight="1" x14ac:dyDescent="0.3">
      <x:c r="A96" s="499"/>
      <x:c r="G96" s="435"/>
      <x:c r="J96" s="435"/>
      <x:c r="M96" s="565">
        <x:f>M91+M93</x:f>
      </x:c>
      <x:c r="N96" s="566" t="s">
        <x:v>435</x:v>
      </x:c>
    </x:row>
    <x:row r="97" spans="1:30" ht="15" customHeight="1" x14ac:dyDescent="0.3">
      <x:c r="A97" s="499"/>
      <x:c r="G97" s="435"/>
      <x:c r="J97" s="435"/>
      <x:c r="M97" s="565">
        <x:f>M92+M94</x:f>
      </x:c>
      <x:c r="N97" s="566" t="s">
        <x:v>436</x:v>
      </x:c>
    </x:row>
    <x:row r="98" spans="1:30" ht="15" customHeight="1" x14ac:dyDescent="0.3">
      <x:c r="A98" s="499"/>
      <x:c r="G98" s="435"/>
      <x:c r="J98" s="435"/>
    </x:row>
    <x:row r="99" spans="1:30" ht="15" customHeight="1" x14ac:dyDescent="0.3">
      <x:c r="A99" s="499"/>
      <x:c r="G99" s="435"/>
      <x:c r="J99" s="435"/>
    </x:row>
    <x:row r="100" spans="1:30" ht="15" customHeight="1" x14ac:dyDescent="0.3">
      <x:c r="A100" s="499"/>
      <x:c r="G100" s="435"/>
      <x:c r="J100" s="435">
        <x:f>J29+J84</x:f>
      </x:c>
      <x:c r="N100" s="431" t="s">
        <x:v>730</x:v>
      </x:c>
    </x:row>
    <x:row r="101" spans="1:30" ht="15" customHeight="1" x14ac:dyDescent="0.3">
      <x:c r="A101" s="520"/>
      <x:c r="J101" s="515">
        <x:f>J100*2%</x:f>
      </x:c>
      <x:c r="K101" s="515"/>
    </x:row>
  </x:sheetData>
  <x:mergeCells count="7">
    <x:mergeCell ref="A2:F2"/>
    <x:mergeCell ref="A3:F3"/>
    <x:mergeCell ref="A19:F19"/>
    <x:mergeCell ref="A29:F29"/>
    <x:mergeCell ref="A33:F33"/>
    <x:mergeCell ref="A34:F34"/>
    <x:mergeCell ref="A84:F8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AD85"/>
  <x:sheetViews>
    <x:sheetView workbookViewId="0">
      <x:selection activeCell="C13" sqref="C13"/>
    </x:sheetView>
  </x:sheetViews>
  <x:sheetFormatPr baseColWidth="10" defaultColWidth="11.441406" defaultRowHeight="13.2" x14ac:dyDescent="0.25"/>
  <x:cols>
    <x:col min="1" max="1" width="24.886719" style="429" customWidth="1"/>
    <x:col min="2" max="2" width="15.441406" style="429" customWidth="1"/>
    <x:col min="3" max="3" width="25" style="429" customWidth="1"/>
    <x:col min="4" max="4" width="12.109375" style="430" customWidth="1"/>
    <x:col min="5" max="5" width="12.664062" style="429" customWidth="1"/>
    <x:col min="6" max="6" width="9.441406" style="429" customWidth="1"/>
    <x:col min="7" max="7" width="11.886719" style="429" customWidth="1"/>
    <x:col min="8" max="8" width="8.886719" style="429" customWidth="1"/>
    <x:col min="9" max="9" width="11.886719" style="430" customWidth="1"/>
    <x:col min="10" max="10" width="12.554688" style="429" customWidth="1"/>
    <x:col min="11" max="11" width="6.109375" style="429" customWidth="1"/>
    <x:col min="12" max="12" width="6.441406" style="429" customWidth="1"/>
    <x:col min="13" max="13" width="10.332031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30" ht="15" customHeight="1" x14ac:dyDescent="0.25">
      <x:c r="B1" s="435"/>
      <x:c r="C1" s="435"/>
      <x:c r="G1" s="435"/>
    </x:row>
    <x:row r="2" spans="1:30" ht="15" customHeight="1" x14ac:dyDescent="0.25">
      <x:c r="A2" s="436" t="s">
        <x:v>0</x:v>
      </x:c>
      <x:c r="B2" s="436"/>
      <x:c r="C2" s="436"/>
      <x:c r="D2" s="436"/>
      <x:c r="E2" s="436"/>
      <x:c r="F2" s="436"/>
      <x:c r="G2" s="437"/>
      <x:c r="H2" s="438"/>
      <x:c r="I2" s="439"/>
      <x:c r="J2" s="440"/>
      <x:c r="K2" s="441"/>
      <x:c r="L2" s="442"/>
      <x:c r="M2" s="443"/>
    </x:row>
    <x:row r="3" spans="1:3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30" ht="15" customHeight="1" x14ac:dyDescent="0.25">
      <x:c r="A4" s="436"/>
      <x:c r="B4" s="444" t="s">
        <x:v>731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30" ht="15" customHeight="1" x14ac:dyDescent="0.3">
      <x:c r="A5" s="436"/>
      <x:c r="B5" s="444" t="s">
        <x:v>3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30" ht="15" customHeight="1" x14ac:dyDescent="0.25">
      <x:c r="A6" s="447" t="s">
        <x:v>4</x:v>
      </x:c>
      <x:c r="B6" s="441"/>
      <x:c r="C6" s="441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30" ht="15" customHeight="1" s="434" customFormat="1" x14ac:dyDescent="0.3">
      <x:c r="A7" s="587" t="s">
        <x:v>10</x:v>
      </x:c>
      <x:c r="B7" s="587" t="s">
        <x:v>11</x:v>
      </x:c>
      <x:c r="C7" s="587" t="s">
        <x:v>12</x:v>
      </x:c>
      <x:c r="D7" s="588" t="s">
        <x:v>13</x:v>
      </x:c>
      <x:c r="E7" s="587" t="s">
        <x:v>14</x:v>
      </x:c>
      <x:c r="F7" s="589" t="s">
        <x:v>15</x:v>
      </x:c>
      <x:c r="G7" s="590" t="s">
        <x:v>16</x:v>
      </x:c>
      <x:c r="H7" s="591" t="s">
        <x:v>17</x:v>
      </x:c>
      <x:c r="I7" s="592" t="s">
        <x:v>18</x:v>
      </x:c>
      <x:c r="J7" s="593" t="s">
        <x:v>19</x:v>
      </x:c>
      <x:c r="K7" s="594"/>
      <x:c r="L7" s="595" t="s">
        <x:v>20</x:v>
      </x:c>
      <x:c r="M7" s="593" t="s">
        <x:v>21</x:v>
      </x:c>
      <x:c r="N7" s="470"/>
    </x:row>
    <x:row r="8" spans="1:30" ht="15" customHeight="1" s="433" customFormat="1" x14ac:dyDescent="0.25">
      <x:c r="A8" s="486" t="s">
        <x:v>22</x:v>
      </x:c>
      <x:c r="B8" s="462" t="s">
        <x:v>23</x:v>
      </x:c>
      <x:c r="C8" s="488" t="s">
        <x:v>657</x:v>
      </x:c>
      <x:c r="D8" s="489">
        <x:v>45446</x:v>
      </x:c>
      <x:c r="E8" s="490">
        <x:v>619.8</x:v>
      </x:c>
      <x:c r="F8" s="490">
        <x:v>185.94</x:v>
      </x:c>
      <x:c r="G8" s="502">
        <x:v>437.71</x:v>
      </x:c>
      <x:c r="H8" s="490">
        <x:v>65.08</x:v>
      </x:c>
      <x:c r="I8" s="467">
        <x:v>45536</x:v>
      </x:c>
      <x:c r="J8" s="433">
        <x:f>437.71/1.15</x:f>
      </x:c>
      <x:c r="K8" s="468">
        <x:f>+I8-D8</x:f>
      </x:c>
      <x:c r="L8" s="469">
        <x:v>0.03</x:v>
      </x:c>
      <x:c r="M8" s="433">
        <x:f>+J8*L8</x:f>
      </x:c>
      <x:c r="N8" s="470"/>
      <x:c r="O8" s="432"/>
      <x:c r="P8" s="432"/>
      <x:c r="Q8" s="432"/>
      <x:c r="R8" s="432"/>
      <x:c r="S8" s="432"/>
      <x:c r="T8" s="432"/>
      <x:c r="U8" s="432"/>
      <x:c r="V8" s="432"/>
      <x:c r="W8" s="432"/>
      <x:c r="X8" s="432"/>
      <x:c r="Y8" s="432"/>
      <x:c r="Z8" s="432"/>
      <x:c r="AA8" s="432"/>
      <x:c r="AB8" s="432"/>
      <x:c r="AC8" s="432"/>
      <x:c r="AD8" s="432"/>
    </x:row>
    <x:row r="9" spans="1:30" ht="15" customHeight="1" s="433" customFormat="1" x14ac:dyDescent="0.25">
      <x:c r="A9" s="486" t="s">
        <x:v>22</x:v>
      </x:c>
      <x:c r="B9" s="462" t="s">
        <x:v>23</x:v>
      </x:c>
      <x:c r="C9" s="488" t="s">
        <x:v>732</x:v>
      </x:c>
      <x:c r="D9" s="489">
        <x:v>45512</x:v>
      </x:c>
      <x:c r="E9" s="490">
        <x:v>482.4</x:v>
      </x:c>
      <x:c r="F9" s="490">
        <x:v>144.72</x:v>
      </x:c>
      <x:c r="G9" s="502">
        <x:v>369.75</x:v>
      </x:c>
      <x:c r="H9" s="490">
        <x:v>50.65</x:v>
      </x:c>
      <x:c r="I9" s="467">
        <x:v>45542</x:v>
      </x:c>
      <x:c r="J9" s="433">
        <x:f>+E9-F9</x:f>
      </x:c>
      <x:c r="K9" s="468">
        <x:f>+I9-D9</x:f>
      </x:c>
      <x:c r="L9" s="469">
        <x:v>0.035</x:v>
      </x:c>
      <x:c r="M9" s="433">
        <x:f>+J9*L9</x:f>
      </x:c>
      <x:c r="N9" s="470"/>
      <x:c r="O9" s="432"/>
      <x:c r="P9" s="432"/>
      <x:c r="Q9" s="432"/>
      <x:c r="R9" s="432"/>
      <x:c r="S9" s="432"/>
      <x:c r="T9" s="432"/>
      <x:c r="U9" s="432"/>
      <x:c r="V9" s="432"/>
      <x:c r="W9" s="432"/>
      <x:c r="X9" s="432"/>
      <x:c r="Y9" s="432"/>
      <x:c r="Z9" s="432"/>
      <x:c r="AA9" s="432"/>
      <x:c r="AB9" s="432"/>
      <x:c r="AC9" s="432"/>
      <x:c r="AD9" s="432"/>
    </x:row>
    <x:row r="10" spans="1:30" ht="15" customHeight="1" s="433" customFormat="1" x14ac:dyDescent="0.25">
      <x:c r="A10" s="596" t="s">
        <x:v>82</x:v>
      </x:c>
      <x:c r="B10" s="505" t="s">
        <x:v>80</x:v>
      </x:c>
      <x:c r="C10" s="597" t="s">
        <x:v>733</x:v>
      </x:c>
      <x:c r="D10" s="598">
        <x:v>45527</x:v>
      </x:c>
      <x:c r="E10" s="599">
        <x:v>118.8</x:v>
      </x:c>
      <x:c r="F10" s="599">
        <x:v>23.76</x:v>
      </x:c>
      <x:c r="G10" s="466">
        <x:f>109.3</x:f>
      </x:c>
      <x:c r="H10" s="599">
        <x:v>14.26</x:v>
      </x:c>
      <x:c r="I10" s="600">
        <x:v>45614</x:v>
      </x:c>
      <x:c r="J10" s="433">
        <x:f>+E10-F10</x:f>
      </x:c>
      <x:c r="K10" s="468">
        <x:f>+I10-D10</x:f>
      </x:c>
      <x:c r="L10" s="469">
        <x:v>0.03</x:v>
      </x:c>
      <x:c r="M10" s="433">
        <x:f>+J10*L10</x:f>
      </x:c>
      <x:c r="N10" s="470"/>
      <x:c r="O10" s="432"/>
      <x:c r="P10" s="432"/>
      <x:c r="Q10" s="432"/>
      <x:c r="R10" s="432"/>
      <x:c r="S10" s="432"/>
      <x:c r="T10" s="432"/>
      <x:c r="U10" s="432"/>
      <x:c r="V10" s="432"/>
      <x:c r="W10" s="432"/>
      <x:c r="X10" s="432"/>
      <x:c r="Y10" s="432"/>
      <x:c r="Z10" s="432"/>
      <x:c r="AA10" s="432"/>
      <x:c r="AB10" s="432"/>
      <x:c r="AC10" s="432"/>
      <x:c r="AD10" s="432"/>
    </x:row>
    <x:row r="11" spans="1:30" ht="15" customHeight="1" s="433" customFormat="1" x14ac:dyDescent="0.25">
      <x:c r="A11" s="486" t="s">
        <x:v>584</x:v>
      </x:c>
      <x:c r="B11" s="573" t="s">
        <x:v>734</x:v>
      </x:c>
      <x:c r="C11" s="488" t="s">
        <x:v>735</x:v>
      </x:c>
      <x:c r="D11" s="489">
        <x:v>45544</x:v>
      </x:c>
      <x:c r="E11" s="490">
        <x:v>216</x:v>
      </x:c>
      <x:c r="F11" s="490">
        <x:v>43.2</x:v>
      </x:c>
      <x:c r="G11" s="502">
        <x:v>189.21</x:v>
      </x:c>
      <x:c r="H11" s="490">
        <x:v>25.92</x:v>
      </x:c>
      <x:c r="I11" s="467">
        <x:v>45622</x:v>
      </x:c>
      <x:c r="J11" s="433">
        <x:f>+E11-F11</x:f>
      </x:c>
      <x:c r="K11" s="468">
        <x:f>+I11-D11</x:f>
      </x:c>
      <x:c r="L11" s="469">
        <x:v>0.03</x:v>
      </x:c>
      <x:c r="M11" s="433">
        <x:f>+J11*L11</x:f>
      </x:c>
      <x:c r="N11" s="470"/>
      <x:c r="O11" s="432"/>
      <x:c r="P11" s="432"/>
      <x:c r="Q11" s="432"/>
      <x:c r="R11" s="432"/>
      <x:c r="S11" s="432"/>
      <x:c r="T11" s="432"/>
      <x:c r="U11" s="432"/>
      <x:c r="V11" s="432"/>
      <x:c r="W11" s="432"/>
      <x:c r="X11" s="432"/>
      <x:c r="Y11" s="432"/>
      <x:c r="Z11" s="432"/>
      <x:c r="AA11" s="432"/>
      <x:c r="AB11" s="432"/>
      <x:c r="AC11" s="432"/>
      <x:c r="AD11" s="432"/>
    </x:row>
    <x:row r="12" spans="1:30" ht="15" customHeight="1" s="433" customFormat="1" x14ac:dyDescent="0.25">
      <x:c r="A12" s="486" t="s">
        <x:v>33</x:v>
      </x:c>
      <x:c r="B12" s="506" t="s">
        <x:v>26</x:v>
      </x:c>
      <x:c r="C12" s="488" t="s">
        <x:v>736</x:v>
      </x:c>
      <x:c r="D12" s="489">
        <x:v>45546</x:v>
      </x:c>
      <x:c r="E12" s="490">
        <x:v>36.36</x:v>
      </x:c>
      <x:c r="F12" s="490">
        <x:v>5.46</x:v>
      </x:c>
      <x:c r="G12" s="502">
        <x:v>33.84</x:v>
      </x:c>
      <x:c r="H12" s="490">
        <x:v>4.64</x:v>
      </x:c>
      <x:c r="I12" s="467">
        <x:v>45607</x:v>
      </x:c>
      <x:c r="J12" s="433">
        <x:f>+E12-F12</x:f>
      </x:c>
      <x:c r="K12" s="468">
        <x:f>+I12-D12</x:f>
      </x:c>
      <x:c r="L12" s="469">
        <x:v>0.03</x:v>
      </x:c>
      <x:c r="M12" s="433">
        <x:f>+J12*L12</x:f>
      </x:c>
      <x:c r="N12" s="470"/>
      <x:c r="O12" s="432"/>
      <x:c r="P12" s="432"/>
      <x:c r="Q12" s="432"/>
      <x:c r="R12" s="432"/>
      <x:c r="S12" s="432"/>
      <x:c r="T12" s="432"/>
      <x:c r="U12" s="432"/>
      <x:c r="V12" s="432"/>
      <x:c r="W12" s="432"/>
      <x:c r="X12" s="432"/>
      <x:c r="Y12" s="432"/>
      <x:c r="Z12" s="432"/>
      <x:c r="AA12" s="432"/>
      <x:c r="AB12" s="432"/>
      <x:c r="AC12" s="432"/>
      <x:c r="AD12" s="432"/>
    </x:row>
    <x:row r="13" spans="1:30" ht="15" customHeight="1" s="574" customFormat="1" x14ac:dyDescent="0.25">
      <x:c r="A13" s="601" t="s">
        <x:v>22</x:v>
      </x:c>
      <x:c r="B13" s="576" t="s">
        <x:v>23</x:v>
      </x:c>
      <x:c r="C13" s="602" t="s">
        <x:v>737</x:v>
      </x:c>
      <x:c r="D13" s="603">
        <x:v>45551</x:v>
      </x:c>
      <x:c r="E13" s="604">
        <x:v>2268</x:v>
      </x:c>
      <x:c r="F13" s="604">
        <x:v>680.4</x:v>
      </x:c>
      <x:c r="G13" s="605">
        <x:v>1738.42</x:v>
      </x:c>
      <x:c r="H13" s="604">
        <x:v>238.14</x:v>
      </x:c>
      <x:c r="I13" s="581">
        <x:v>45601</x:v>
      </x:c>
      <x:c r="J13" s="574">
        <x:f>+E13-F13</x:f>
      </x:c>
      <x:c r="K13" s="582">
        <x:f>+I13-D13</x:f>
      </x:c>
      <x:c r="L13" s="583">
        <x:v>0.03</x:v>
      </x:c>
      <x:c r="M13" s="574">
        <x:f>+J13*L13</x:f>
      </x:c>
      <x:c r="N13" s="584"/>
      <x:c r="O13" s="585"/>
      <x:c r="P13" s="585"/>
      <x:c r="Q13" s="585"/>
      <x:c r="R13" s="585"/>
      <x:c r="S13" s="585"/>
      <x:c r="T13" s="585"/>
      <x:c r="U13" s="585"/>
      <x:c r="V13" s="585"/>
      <x:c r="W13" s="585"/>
      <x:c r="X13" s="585"/>
      <x:c r="Y13" s="585"/>
      <x:c r="Z13" s="585"/>
      <x:c r="AA13" s="585"/>
      <x:c r="AB13" s="585"/>
      <x:c r="AC13" s="585"/>
      <x:c r="AD13" s="585"/>
    </x:row>
    <x:row r="14" spans="1:30" ht="15" customHeight="1" s="433" customFormat="1" x14ac:dyDescent="0.25">
      <x:c r="A14" s="486" t="s">
        <x:v>738</x:v>
      </x:c>
      <x:c r="B14" s="586" t="s">
        <x:v>288</x:v>
      </x:c>
      <x:c r="C14" s="488" t="s">
        <x:v>739</x:v>
      </x:c>
      <x:c r="D14" s="489">
        <x:v>45566</x:v>
      </x:c>
      <x:c r="E14" s="490">
        <x:v>197.52</x:v>
      </x:c>
      <x:c r="F14" s="490">
        <x:v>29.62</x:v>
      </x:c>
      <x:c r="G14" s="502">
        <x:v>193.09</x:v>
      </x:c>
      <x:c r="H14" s="490">
        <x:v>25.19</x:v>
      </x:c>
      <x:c r="I14" s="489">
        <x:v>45602</x:v>
      </x:c>
      <x:c r="J14" s="433">
        <x:f>+E14-F14</x:f>
      </x:c>
      <x:c r="K14" s="468">
        <x:f>+I14-D14</x:f>
      </x:c>
      <x:c r="L14" s="469">
        <x:v>0.03</x:v>
      </x:c>
      <x:c r="M14" s="433">
        <x:f>+J14*L14</x:f>
      </x:c>
      <x:c r="N14" s="470"/>
      <x:c r="O14" s="432"/>
      <x:c r="P14" s="432"/>
      <x:c r="Q14" s="432"/>
      <x:c r="R14" s="432"/>
      <x:c r="S14" s="432"/>
      <x:c r="T14" s="432"/>
      <x:c r="U14" s="432"/>
      <x:c r="V14" s="432"/>
      <x:c r="W14" s="432"/>
      <x:c r="X14" s="432"/>
      <x:c r="Y14" s="432"/>
      <x:c r="Z14" s="432"/>
      <x:c r="AA14" s="432"/>
      <x:c r="AB14" s="432"/>
      <x:c r="AC14" s="432"/>
      <x:c r="AD14" s="432"/>
    </x:row>
    <x:row r="15" spans="1:30" ht="15" customHeight="1" s="433" customFormat="1" x14ac:dyDescent="0.25">
      <x:c r="A15" s="530"/>
      <x:c r="B15" s="524"/>
      <x:c r="C15" s="524"/>
      <x:c r="D15" s="529"/>
      <x:c r="E15" s="531"/>
      <x:c r="F15" s="531"/>
      <x:c r="G15" s="532"/>
      <x:c r="H15" s="533"/>
      <x:c r="I15" s="534"/>
      <x:c r="K15" s="468"/>
      <x:c r="L15" s="469"/>
      <x:c r="N15" s="470"/>
      <x:c r="O15" s="432"/>
      <x:c r="P15" s="432"/>
      <x:c r="Q15" s="432"/>
      <x:c r="R15" s="432"/>
      <x:c r="S15" s="432"/>
      <x:c r="T15" s="432"/>
      <x:c r="U15" s="432"/>
      <x:c r="V15" s="432"/>
      <x:c r="W15" s="432"/>
      <x:c r="X15" s="432"/>
      <x:c r="Y15" s="432"/>
      <x:c r="Z15" s="432"/>
      <x:c r="AA15" s="432"/>
      <x:c r="AB15" s="432"/>
      <x:c r="AC15" s="432"/>
      <x:c r="AD15" s="432"/>
    </x:row>
    <x:row r="16" spans="1:30" ht="15" customHeight="1" s="434" customFormat="1" x14ac:dyDescent="0.25">
      <x:c r="A16" s="478"/>
      <x:c r="B16" s="478"/>
      <x:c r="C16" s="478"/>
      <x:c r="D16" s="478"/>
      <x:c r="E16" s="478"/>
      <x:c r="F16" s="478"/>
      <x:c r="G16" s="479">
        <x:f>SUM(G8:G15)</x:f>
      </x:c>
      <x:c r="H16" s="480"/>
      <x:c r="I16" s="481"/>
      <x:c r="J16" s="479">
        <x:f>SUM(J8:J15)</x:f>
      </x:c>
      <x:c r="K16" s="482"/>
      <x:c r="L16" s="482"/>
      <x:c r="M16" s="479">
        <x:f>SUM(M8:M15)</x:f>
      </x:c>
      <x:c r="N16" s="470"/>
    </x:row>
    <x:row r="17" spans="1:30" ht="15" customHeight="1" s="434" customFormat="1" x14ac:dyDescent="0.25">
      <x:c r="A17" s="483"/>
      <x:c r="B17" s="483"/>
      <x:c r="C17" s="483"/>
      <x:c r="D17" s="484"/>
      <x:c r="E17" s="483"/>
      <x:c r="F17" s="483"/>
      <x:c r="G17" s="432"/>
      <x:c r="I17" s="485"/>
      <x:c r="N17" s="470"/>
    </x:row>
    <x:row r="18" spans="1:30" ht="15" customHeight="1" s="434" customFormat="1" x14ac:dyDescent="0.25">
      <x:c r="A18" s="483"/>
      <x:c r="B18" s="483"/>
      <x:c r="C18" s="483"/>
      <x:c r="D18" s="484"/>
      <x:c r="E18" s="483"/>
      <x:c r="F18" s="483"/>
      <x:c r="G18" s="432"/>
      <x:c r="I18" s="485"/>
      <x:c r="J18" s="432"/>
      <x:c r="M18" s="432"/>
      <x:c r="N18" s="470"/>
    </x:row>
    <x:row r="19" spans="1:30" ht="15" customHeight="1" s="434" customFormat="1" x14ac:dyDescent="0.25">
      <x:c r="A19" s="434" t="s">
        <x:v>30</x:v>
      </x:c>
      <x:c r="B19" s="434" t="s">
        <x:v>31</x:v>
      </x:c>
      <x:c r="C19" s="483" t="s">
        <x:v>32</x:v>
      </x:c>
      <x:c r="D19" s="485"/>
      <x:c r="G19" s="432"/>
      <x:c r="I19" s="485"/>
      <x:c r="N19" s="470"/>
    </x:row>
    <x:row r="20" spans="1:30" ht="15" customHeight="1" s="432" customFormat="1" x14ac:dyDescent="0.25">
      <x:c r="A20" s="486" t="s">
        <x:v>36</x:v>
      </x:c>
      <x:c r="B20" s="487" t="s">
        <x:v>740</x:v>
      </x:c>
      <x:c r="C20" s="488" t="s">
        <x:v>741</x:v>
      </x:c>
      <x:c r="D20" s="489">
        <x:v>45603</x:v>
      </x:c>
      <x:c r="E20" s="490">
        <x:v>583.2</x:v>
      </x:c>
      <x:c r="F20" s="490">
        <x:v>145.8</x:v>
      </x:c>
      <x:c r="G20" s="491">
        <x:f>503.01-4.37-19.68</x:f>
      </x:c>
      <x:c r="H20" s="490">
        <x:v>65.61</x:v>
      </x:c>
      <x:c r="I20" s="492">
        <x:v>45682</x:v>
      </x:c>
      <x:c r="J20" s="433">
        <x:f>+E20-F20</x:f>
      </x:c>
      <x:c r="K20" s="468">
        <x:f>+I20-D20</x:f>
      </x:c>
      <x:c r="L20" s="469">
        <x:v>0.03</x:v>
      </x:c>
      <x:c r="M20" s="433">
        <x:f>+J20*L20</x:f>
      </x:c>
      <x:c r="N20" s="470"/>
    </x:row>
    <x:row r="21" spans="1:30" ht="15" customHeight="1" s="432" customFormat="1" x14ac:dyDescent="0.3">
      <x:c r="A21" s="486"/>
      <x:c r="B21" s="487"/>
      <x:c r="C21" s="488"/>
      <x:c r="D21" s="489"/>
      <x:c r="E21" s="490"/>
      <x:c r="F21" s="490"/>
      <x:c r="G21" s="502"/>
      <x:c r="H21" s="490"/>
      <x:c r="I21" s="467"/>
      <x:c r="J21" s="433"/>
      <x:c r="K21" s="468"/>
      <x:c r="L21" s="469"/>
      <x:c r="M21" s="433"/>
      <x:c r="N21" s="470"/>
    </x:row>
    <x:row r="22" spans="1:30" ht="15" customHeight="1" x14ac:dyDescent="0.35">
      <x:c r="A22" s="493" t="s">
        <x:v>43</x:v>
      </x:c>
      <x:c r="B22" s="493"/>
      <x:c r="C22" s="493"/>
      <x:c r="D22" s="493"/>
      <x:c r="E22" s="493"/>
      <x:c r="F22" s="493"/>
      <x:c r="G22" s="494">
        <x:f>SUM(G16:G21)</x:f>
      </x:c>
      <x:c r="J22" s="494">
        <x:f>SUM(J16:J21)</x:f>
      </x:c>
      <x:c r="L22" s="495"/>
      <x:c r="M22" s="496">
        <x:f>SUM(M16:M21)</x:f>
      </x:c>
    </x:row>
    <x:row r="23" spans="1:30" ht="15" customHeight="1" x14ac:dyDescent="0.25">
      <x:c r="A23" s="497"/>
      <x:c r="B23" s="497"/>
      <x:c r="C23" s="497"/>
      <x:c r="D23" s="498"/>
      <x:c r="E23" s="497"/>
      <x:c r="F23" s="497"/>
      <x:c r="G23" s="435"/>
      <x:c r="J23" s="435"/>
      <x:c r="M23" s="435"/>
    </x:row>
    <x:row r="24" spans="1:30" ht="15" customHeight="1" x14ac:dyDescent="0.3">
      <x:c r="A24" s="499"/>
      <x:c r="B24" s="497"/>
      <x:c r="C24" s="497"/>
      <x:c r="D24" s="498"/>
      <x:c r="E24" s="497"/>
      <x:c r="F24" s="497"/>
      <x:c r="G24" s="435"/>
      <x:c r="J24" s="435"/>
      <x:c r="M24" s="435"/>
    </x:row>
    <x:row r="25" spans="1:30" ht="15" customHeight="1" x14ac:dyDescent="0.25">
      <x:c r="A25" s="497"/>
      <x:c r="B25" s="497"/>
      <x:c r="C25" s="497"/>
      <x:c r="D25" s="498"/>
      <x:c r="E25" s="497"/>
      <x:c r="F25" s="497"/>
      <x:c r="G25" s="435"/>
      <x:c r="I25" s="500"/>
    </x:row>
    <x:row r="26" spans="1:30" ht="15" customHeight="1" x14ac:dyDescent="0.25">
      <x:c r="A26" s="436" t="s">
        <x:v>44</x:v>
      </x:c>
      <x:c r="B26" s="436"/>
      <x:c r="C26" s="436"/>
      <x:c r="D26" s="436"/>
      <x:c r="E26" s="436"/>
      <x:c r="F26" s="436"/>
      <x:c r="G26" s="437"/>
      <x:c r="H26" s="437"/>
      <x:c r="I26" s="439"/>
      <x:c r="J26" s="440"/>
      <x:c r="K26" s="441"/>
      <x:c r="L26" s="442"/>
      <x:c r="M26" s="443"/>
    </x:row>
    <x:row r="27" spans="1:30" ht="15" customHeight="1" x14ac:dyDescent="0.25">
      <x:c r="A27" s="436"/>
      <x:c r="B27" s="436"/>
      <x:c r="C27" s="436"/>
      <x:c r="D27" s="436"/>
      <x:c r="E27" s="436"/>
      <x:c r="F27" s="436"/>
      <x:c r="G27" s="437"/>
      <x:c r="H27" s="437"/>
      <x:c r="I27" s="439"/>
      <x:c r="J27" s="440"/>
      <x:c r="K27" s="441"/>
      <x:c r="L27" s="442"/>
      <x:c r="M27" s="443"/>
    </x:row>
    <x:row r="28" spans="1:30" ht="15" customHeight="1" x14ac:dyDescent="0.25">
      <x:c r="A28" s="436"/>
      <x:c r="B28" s="436"/>
      <x:c r="C28" s="436"/>
      <x:c r="D28" s="436"/>
      <x:c r="E28" s="436"/>
      <x:c r="F28" s="436"/>
      <x:c r="G28" s="437"/>
      <x:c r="H28" s="437"/>
      <x:c r="I28" s="439"/>
      <x:c r="J28" s="440"/>
      <x:c r="K28" s="441"/>
      <x:c r="L28" s="442"/>
      <x:c r="M28" s="443"/>
    </x:row>
    <x:row r="29" spans="1:30" ht="15" customHeight="1" x14ac:dyDescent="0.25">
      <x:c r="A29" s="436" t="s">
        <x:v>1</x:v>
      </x:c>
      <x:c r="B29" s="436"/>
      <x:c r="C29" s="436"/>
      <x:c r="D29" s="436"/>
      <x:c r="E29" s="436"/>
      <x:c r="F29" s="436"/>
      <x:c r="G29" s="437"/>
      <x:c r="H29" s="438"/>
      <x:c r="I29" s="439"/>
      <x:c r="J29" s="441"/>
      <x:c r="K29" s="441"/>
      <x:c r="L29" s="442"/>
      <x:c r="M29" s="443"/>
    </x:row>
    <x:row r="30" spans="1:30" ht="15" customHeight="1" x14ac:dyDescent="0.25">
      <x:c r="A30" s="436"/>
      <x:c r="B30" s="444" t="s">
        <x:v>731</x:v>
      </x:c>
      <x:c r="C30" s="436"/>
      <x:c r="D30" s="445"/>
      <x:c r="E30" s="436"/>
      <x:c r="F30" s="436"/>
      <x:c r="G30" s="437"/>
      <x:c r="H30" s="438"/>
      <x:c r="I30" s="439"/>
      <x:c r="J30" s="441"/>
      <x:c r="K30" s="441"/>
      <x:c r="L30" s="442"/>
      <x:c r="M30" s="443"/>
    </x:row>
    <x:row r="31" spans="1:30" ht="15" customHeight="1" x14ac:dyDescent="0.3">
      <x:c r="A31" s="436"/>
      <x:c r="B31" s="444" t="s">
        <x:v>45</x:v>
      </x:c>
      <x:c r="C31" s="436"/>
      <x:c r="D31" s="445"/>
      <x:c r="E31" s="436"/>
      <x:c r="F31" s="436"/>
      <x:c r="G31" s="443"/>
      <x:c r="H31" s="437"/>
      <x:c r="I31" s="446"/>
      <x:c r="J31" s="441"/>
      <x:c r="K31" s="441"/>
      <x:c r="L31" s="442"/>
      <x:c r="M31" s="443"/>
    </x:row>
    <x:row r="32" spans="1:30" ht="15" customHeight="1" x14ac:dyDescent="0.25">
      <x:c r="A32" s="447"/>
      <x:c r="B32" s="441"/>
      <x:c r="C32" s="441"/>
      <x:c r="D32" s="439"/>
      <x:c r="E32" s="441"/>
      <x:c r="F32" s="441"/>
      <x:c r="G32" s="448" t="s">
        <x:v>5</x:v>
      </x:c>
      <x:c r="H32" s="441"/>
      <x:c r="I32" s="439"/>
      <x:c r="J32" s="449" t="s">
        <x:v>6</x:v>
      </x:c>
      <x:c r="K32" s="450" t="s">
        <x:v>7</x:v>
      </x:c>
      <x:c r="L32" s="451" t="s">
        <x:v>8</x:v>
      </x:c>
      <x:c r="M32" s="449" t="s">
        <x:v>9</x:v>
      </x:c>
    </x:row>
    <x:row r="33" spans="1:30" ht="15" customHeight="1" x14ac:dyDescent="0.25">
      <x:c r="A33" s="452" t="s">
        <x:v>10</x:v>
      </x:c>
      <x:c r="B33" s="452" t="s">
        <x:v>11</x:v>
      </x:c>
      <x:c r="C33" s="452" t="s">
        <x:v>12</x:v>
      </x:c>
      <x:c r="D33" s="453" t="s">
        <x:v>13</x:v>
      </x:c>
      <x:c r="E33" s="452" t="s">
        <x:v>14</x:v>
      </x:c>
      <x:c r="F33" s="454" t="s">
        <x:v>15</x:v>
      </x:c>
      <x:c r="G33" s="501" t="s">
        <x:v>16</x:v>
      </x:c>
      <x:c r="H33" s="456" t="s">
        <x:v>17</x:v>
      </x:c>
      <x:c r="I33" s="457" t="s">
        <x:v>18</x:v>
      </x:c>
      <x:c r="J33" s="458" t="s">
        <x:v>19</x:v>
      </x:c>
      <x:c r="K33" s="459"/>
      <x:c r="L33" s="460" t="s">
        <x:v>20</x:v>
      </x:c>
      <x:c r="M33" s="458" t="s">
        <x:v>21</x:v>
      </x:c>
    </x:row>
    <x:row r="34" spans="1:30" ht="15" customHeight="1" x14ac:dyDescent="0.25">
      <x:c r="A34" s="461" t="s">
        <x:v>49</x:v>
      </x:c>
      <x:c r="B34" s="506" t="s">
        <x:v>26</x:v>
      </x:c>
      <x:c r="C34" s="463" t="s">
        <x:v>742</x:v>
      </x:c>
      <x:c r="D34" s="464">
        <x:v>45461</x:v>
      </x:c>
      <x:c r="E34" s="465">
        <x:v>70.2</x:v>
      </x:c>
      <x:c r="F34" s="465">
        <x:v>10.53</x:v>
      </x:c>
      <x:c r="G34" s="466">
        <x:v>65.33</x:v>
      </x:c>
      <x:c r="H34" s="465">
        <x:v>8.95</x:v>
      </x:c>
      <x:c r="I34" s="467">
        <x:v>45622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  <x:c r="O34" s="432"/>
    </x:row>
    <x:row r="35" spans="1:30" ht="15" customHeight="1" x14ac:dyDescent="0.25">
      <x:c r="A35" s="461" t="s">
        <x:v>49</x:v>
      </x:c>
      <x:c r="B35" s="506" t="s">
        <x:v>26</x:v>
      </x:c>
      <x:c r="C35" s="463" t="s">
        <x:v>743</x:v>
      </x:c>
      <x:c r="D35" s="464">
        <x:v>45476</x:v>
      </x:c>
      <x:c r="E35" s="465">
        <x:v>117</x:v>
      </x:c>
      <x:c r="F35" s="465">
        <x:v>0</x:v>
      </x:c>
      <x:c r="G35" s="466">
        <x:v>128.11</x:v>
      </x:c>
      <x:c r="H35" s="465">
        <x:v>17.55</x:v>
      </x:c>
      <x:c r="I35" s="464">
        <x:v>45622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  <x:c r="O35" s="432"/>
    </x:row>
    <x:row r="36" spans="1:30" ht="15" customHeight="1" x14ac:dyDescent="0.25">
      <x:c r="A36" s="461" t="s">
        <x:v>49</x:v>
      </x:c>
      <x:c r="B36" s="506" t="s">
        <x:v>26</x:v>
      </x:c>
      <x:c r="C36" s="463" t="s">
        <x:v>744</x:v>
      </x:c>
      <x:c r="D36" s="464">
        <x:v>45482</x:v>
      </x:c>
      <x:c r="E36" s="465">
        <x:v>70.2</x:v>
      </x:c>
      <x:c r="F36" s="465">
        <x:v>10.53</x:v>
      </x:c>
      <x:c r="G36" s="466">
        <x:v>65.33</x:v>
      </x:c>
      <x:c r="H36" s="465">
        <x:v>8.95</x:v>
      </x:c>
      <x:c r="I36" s="464">
        <x:v>45622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  <x:c r="O36" s="432"/>
    </x:row>
    <x:row r="37" spans="1:30" ht="15" customHeight="1" x14ac:dyDescent="0.25">
      <x:c r="A37" s="461" t="s">
        <x:v>57</x:v>
      </x:c>
      <x:c r="B37" s="506" t="s">
        <x:v>26</x:v>
      </x:c>
      <x:c r="C37" s="463" t="s">
        <x:v>745</x:v>
      </x:c>
      <x:c r="D37" s="464">
        <x:v>45490</x:v>
      </x:c>
      <x:c r="E37" s="465">
        <x:v>335.28</x:v>
      </x:c>
      <x:c r="F37" s="465">
        <x:v>67.05</x:v>
      </x:c>
      <x:c r="G37" s="466">
        <x:v>293.71</x:v>
      </x:c>
      <x:c r="H37" s="465">
        <x:v>40.23</x:v>
      </x:c>
      <x:c r="I37" s="464">
        <x:v>45618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  <x:c r="O37" s="432"/>
    </x:row>
    <x:row r="38" spans="1:30" ht="15" customHeight="1" x14ac:dyDescent="0.25">
      <x:c r="A38" s="461" t="s">
        <x:v>109</x:v>
      </x:c>
      <x:c r="B38" s="505" t="s">
        <x:v>110</x:v>
      </x:c>
      <x:c r="C38" s="463" t="s">
        <x:v>746</x:v>
      </x:c>
      <x:c r="D38" s="464">
        <x:v>45495</x:v>
      </x:c>
      <x:c r="E38" s="465">
        <x:v>63.36</x:v>
      </x:c>
      <x:c r="F38" s="465">
        <x:v>9.5</x:v>
      </x:c>
      <x:c r="G38" s="466">
        <x:v>58.98</x:v>
      </x:c>
      <x:c r="H38" s="465">
        <x:v>8.08</x:v>
      </x:c>
      <x:c r="I38" s="464">
        <x:v>45622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30" ht="15" customHeight="1" x14ac:dyDescent="0.25">
      <x:c r="A39" s="461" t="s">
        <x:v>49</x:v>
      </x:c>
      <x:c r="B39" s="506" t="s">
        <x:v>26</x:v>
      </x:c>
      <x:c r="C39" s="463" t="s">
        <x:v>747</x:v>
      </x:c>
      <x:c r="D39" s="464">
        <x:v>45496</x:v>
      </x:c>
      <x:c r="E39" s="465">
        <x:v>10.8</x:v>
      </x:c>
      <x:c r="F39" s="465">
        <x:v>1.62</x:v>
      </x:c>
      <x:c r="G39" s="466">
        <x:v>10.06</x:v>
      </x:c>
      <x:c r="H39" s="465">
        <x:v>1.38</x:v>
      </x:c>
      <x:c r="I39" s="464">
        <x:v>45622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30" ht="15" customHeight="1" x14ac:dyDescent="0.25">
      <x:c r="A40" s="461" t="s">
        <x:v>49</x:v>
      </x:c>
      <x:c r="B40" s="506" t="s">
        <x:v>26</x:v>
      </x:c>
      <x:c r="C40" s="463" t="s">
        <x:v>748</x:v>
      </x:c>
      <x:c r="D40" s="464">
        <x:v>45502</x:v>
      </x:c>
      <x:c r="E40" s="465">
        <x:v>187.92</x:v>
      </x:c>
      <x:c r="F40" s="465">
        <x:v>28.19</x:v>
      </x:c>
      <x:c r="G40" s="466">
        <x:v>174.9</x:v>
      </x:c>
      <x:c r="H40" s="465">
        <x:v>23.96</x:v>
      </x:c>
      <x:c r="I40" s="464">
        <x:v>45622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30" ht="15" customHeight="1" x14ac:dyDescent="0.25">
      <x:c r="A41" s="461" t="s">
        <x:v>104</x:v>
      </x:c>
      <x:c r="B41" s="462" t="s">
        <x:v>105</x:v>
      </x:c>
      <x:c r="C41" s="463" t="s">
        <x:v>749</x:v>
      </x:c>
      <x:c r="D41" s="464">
        <x:v>45524</x:v>
      </x:c>
      <x:c r="E41" s="465">
        <x:v>220.2</x:v>
      </x:c>
      <x:c r="F41" s="465">
        <x:v>33.03</x:v>
      </x:c>
      <x:c r="G41" s="466">
        <x:v>204.96</x:v>
      </x:c>
      <x:c r="H41" s="465">
        <x:v>28.08</x:v>
      </x:c>
      <x:c r="I41" s="467">
        <x:v>45614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30" ht="15" customHeight="1" x14ac:dyDescent="0.25">
      <x:c r="A42" s="461" t="s">
        <x:v>57</x:v>
      </x:c>
      <x:c r="B42" s="462" t="s">
        <x:v>26</x:v>
      </x:c>
      <x:c r="C42" s="463" t="s">
        <x:v>750</x:v>
      </x:c>
      <x:c r="D42" s="464">
        <x:v>45524</x:v>
      </x:c>
      <x:c r="E42" s="465">
        <x:v>63.36</x:v>
      </x:c>
      <x:c r="F42" s="465">
        <x:v>12.66</x:v>
      </x:c>
      <x:c r="G42" s="466">
        <x:v>55.52</x:v>
      </x:c>
      <x:c r="H42" s="465">
        <x:v>7.61</x:v>
      </x:c>
      <x:c r="I42" s="467">
        <x:v>45618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30" ht="15" customHeight="1" x14ac:dyDescent="0.25">
      <x:c r="A43" s="461" t="s">
        <x:v>49</x:v>
      </x:c>
      <x:c r="B43" s="506" t="s">
        <x:v>26</x:v>
      </x:c>
      <x:c r="C43" s="463" t="s">
        <x:v>751</x:v>
      </x:c>
      <x:c r="D43" s="464">
        <x:v>45525</x:v>
      </x:c>
      <x:c r="E43" s="465">
        <x:v>117</x:v>
      </x:c>
      <x:c r="F43" s="465">
        <x:v>17.55</x:v>
      </x:c>
      <x:c r="G43" s="466">
        <x:v>108.9</x:v>
      </x:c>
      <x:c r="H43" s="465">
        <x:v>14.92</x:v>
      </x:c>
      <x:c r="I43" s="467">
        <x:v>45622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30" ht="15" customHeight="1" x14ac:dyDescent="0.25">
      <x:c r="A44" s="461" t="s">
        <x:v>49</x:v>
      </x:c>
      <x:c r="B44" s="506" t="s">
        <x:v>26</x:v>
      </x:c>
      <x:c r="C44" s="463" t="s">
        <x:v>752</x:v>
      </x:c>
      <x:c r="D44" s="464">
        <x:v>45527</x:v>
      </x:c>
      <x:c r="E44" s="465">
        <x:v>59.4</x:v>
      </x:c>
      <x:c r="F44" s="465">
        <x:v>8.91</x:v>
      </x:c>
      <x:c r="G44" s="466">
        <x:v>55.29</x:v>
      </x:c>
      <x:c r="H44" s="465">
        <x:v>7.57</x:v>
      </x:c>
      <x:c r="I44" s="467">
        <x:v>45622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30" ht="15" customHeight="1" x14ac:dyDescent="0.25">
      <x:c r="A45" s="461" t="s">
        <x:v>49</x:v>
      </x:c>
      <x:c r="B45" s="506" t="s">
        <x:v>26</x:v>
      </x:c>
      <x:c r="C45" s="463" t="s">
        <x:v>753</x:v>
      </x:c>
      <x:c r="D45" s="464">
        <x:v>45531</x:v>
      </x:c>
      <x:c r="E45" s="465">
        <x:v>304.2</x:v>
      </x:c>
      <x:c r="F45" s="465">
        <x:v>45.63</x:v>
      </x:c>
      <x:c r="G45" s="466">
        <x:v>283.13</x:v>
      </x:c>
      <x:c r="H45" s="465">
        <x:v>38.79</x:v>
      </x:c>
      <x:c r="I45" s="467">
        <x:v>45622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30" ht="15" customHeight="1" x14ac:dyDescent="0.25">
      <x:c r="A46" s="461" t="s">
        <x:v>49</x:v>
      </x:c>
      <x:c r="B46" s="506" t="s">
        <x:v>26</x:v>
      </x:c>
      <x:c r="C46" s="463" t="s">
        <x:v>754</x:v>
      </x:c>
      <x:c r="D46" s="464">
        <x:v>45538</x:v>
      </x:c>
      <x:c r="E46" s="465">
        <x:v>77.76</x:v>
      </x:c>
      <x:c r="F46" s="465">
        <x:v>11.66</x:v>
      </x:c>
      <x:c r="G46" s="466">
        <x:v>72.38</x:v>
      </x:c>
      <x:c r="H46" s="465">
        <x:v>9.92</x:v>
      </x:c>
      <x:c r="I46" s="467">
        <x:v>45622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30" ht="15" customHeight="1" x14ac:dyDescent="0.25">
      <x:c r="A47" s="461" t="s">
        <x:v>49</x:v>
      </x:c>
      <x:c r="B47" s="506" t="s">
        <x:v>26</x:v>
      </x:c>
      <x:c r="C47" s="463" t="s">
        <x:v>755</x:v>
      </x:c>
      <x:c r="D47" s="464">
        <x:v>45538</x:v>
      </x:c>
      <x:c r="E47" s="465">
        <x:v>21.6</x:v>
      </x:c>
      <x:c r="F47" s="465">
        <x:v>3.24</x:v>
      </x:c>
      <x:c r="G47" s="466">
        <x:v>20.1</x:v>
      </x:c>
      <x:c r="H47" s="465">
        <x:v>2.75</x:v>
      </x:c>
      <x:c r="I47" s="467">
        <x:v>45622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30" ht="15" customHeight="1" x14ac:dyDescent="0.25">
      <x:c r="A48" s="461" t="s">
        <x:v>49</x:v>
      </x:c>
      <x:c r="B48" s="506" t="s">
        <x:v>26</x:v>
      </x:c>
      <x:c r="C48" s="463" t="s">
        <x:v>756</x:v>
      </x:c>
      <x:c r="D48" s="464">
        <x:v>45546</x:v>
      </x:c>
      <x:c r="E48" s="465">
        <x:v>238.8</x:v>
      </x:c>
      <x:c r="F48" s="465">
        <x:v>35.82</x:v>
      </x:c>
      <x:c r="G48" s="466">
        <x:v>222.26</x:v>
      </x:c>
      <x:c r="H48" s="465">
        <x:v>30.45</x:v>
      </x:c>
      <x:c r="I48" s="467">
        <x:v>45622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30" ht="15" customHeight="1" x14ac:dyDescent="0.25">
      <x:c r="A49" s="461" t="s">
        <x:v>332</x:v>
      </x:c>
      <x:c r="B49" s="573" t="s">
        <x:v>333</x:v>
      </x:c>
      <x:c r="C49" s="463" t="s">
        <x:v>703</x:v>
      </x:c>
      <x:c r="D49" s="464">
        <x:v>45561</x:v>
      </x:c>
      <x:c r="E49" s="465">
        <x:v>232.68</x:v>
      </x:c>
      <x:c r="F49" s="465">
        <x:v>34.9</x:v>
      </x:c>
      <x:c r="G49" s="466">
        <x:v>100</x:v>
      </x:c>
      <x:c r="H49" s="465">
        <x:v>29.67</x:v>
      </x:c>
      <x:c r="I49" s="467">
        <x:v>45593</x:v>
      </x:c>
      <x:c r="J49" s="433">
        <x:f>100/1.15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30" ht="15" customHeight="1" x14ac:dyDescent="0.25">
      <x:c r="A50" s="461" t="s">
        <x:v>757</x:v>
      </x:c>
      <x:c r="B50" s="573" t="s">
        <x:v>401</x:v>
      </x:c>
      <x:c r="C50" s="463" t="s">
        <x:v>758</x:v>
      </x:c>
      <x:c r="D50" s="464">
        <x:v>45561</x:v>
      </x:c>
      <x:c r="E50" s="465">
        <x:v>141.72</x:v>
      </x:c>
      <x:c r="F50" s="465">
        <x:v>21.25</x:v>
      </x:c>
      <x:c r="G50" s="466">
        <x:v>138.54</x:v>
      </x:c>
      <x:c r="H50" s="465">
        <x:v>18.07</x:v>
      </x:c>
      <x:c r="I50" s="467">
        <x:v>45597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30" ht="15" customHeight="1" x14ac:dyDescent="0.25">
      <x:c r="A51" s="461" t="s">
        <x:v>759</x:v>
      </x:c>
      <x:c r="B51" s="573" t="s">
        <x:v>105</x:v>
      </x:c>
      <x:c r="C51" s="463" t="s">
        <x:v>760</x:v>
      </x:c>
      <x:c r="D51" s="464">
        <x:v>45562</x:v>
      </x:c>
      <x:c r="E51" s="465">
        <x:v>225.48</x:v>
      </x:c>
      <x:c r="F51" s="465">
        <x:v>29.29</x:v>
      </x:c>
      <x:c r="G51" s="466">
        <x:v>225.62</x:v>
      </x:c>
      <x:c r="H51" s="465">
        <x:v>29.43</x:v>
      </x:c>
      <x:c r="I51" s="467">
        <x:v>45617</x:v>
      </x:c>
      <x:c r="J51" s="433">
        <x:f>+E51-F51</x:f>
      </x:c>
      <x:c r="K51" s="468">
        <x:f>+I51-D51</x:f>
      </x:c>
      <x:c r="L51" s="503">
        <x:v>0.03</x:v>
      </x:c>
      <x:c r="M51" s="504">
        <x:f>+J51*L51</x:f>
      </x:c>
      <x:c r="O51" s="432"/>
    </x:row>
    <x:row r="52" spans="1:30" ht="15" customHeight="1" x14ac:dyDescent="0.25">
      <x:c r="A52" s="461" t="s">
        <x:v>335</x:v>
      </x:c>
      <x:c r="B52" s="506" t="s">
        <x:v>336</x:v>
      </x:c>
      <x:c r="C52" s="463" t="s">
        <x:v>761</x:v>
      </x:c>
      <x:c r="D52" s="464">
        <x:v>45565</x:v>
      </x:c>
      <x:c r="E52" s="465">
        <x:v>365.52</x:v>
      </x:c>
      <x:c r="F52" s="465">
        <x:v>62.15</x:v>
      </x:c>
      <x:c r="G52" s="466">
        <x:v>332.2</x:v>
      </x:c>
      <x:c r="H52" s="465">
        <x:v>45.51</x:v>
      </x:c>
      <x:c r="I52" s="467">
        <x:v>45597</x:v>
      </x:c>
      <x:c r="J52" s="433">
        <x:f>+E52-F52</x:f>
      </x:c>
      <x:c r="K52" s="468">
        <x:f>+I52-D52</x:f>
      </x:c>
      <x:c r="L52" s="503">
        <x:v>0.03</x:v>
      </x:c>
      <x:c r="M52" s="504">
        <x:f>+J52*L52</x:f>
      </x:c>
      <x:c r="O52" s="432"/>
    </x:row>
    <x:row r="53" spans="1:30" ht="15" customHeight="1" x14ac:dyDescent="0.25">
      <x:c r="A53" s="461" t="s">
        <x:v>335</x:v>
      </x:c>
      <x:c r="B53" s="506" t="s">
        <x:v>336</x:v>
      </x:c>
      <x:c r="C53" s="463" t="s">
        <x:v>762</x:v>
      </x:c>
      <x:c r="D53" s="464">
        <x:v>45565</x:v>
      </x:c>
      <x:c r="E53" s="465">
        <x:v>70.2</x:v>
      </x:c>
      <x:c r="F53" s="465">
        <x:v>11.94</x:v>
      </x:c>
      <x:c r="G53" s="466">
        <x:v>63.8</x:v>
      </x:c>
      <x:c r="H53" s="465">
        <x:v>8.74</x:v>
      </x:c>
      <x:c r="I53" s="467">
        <x:v>45597</x:v>
      </x:c>
      <x:c r="J53" s="433">
        <x:f>+E53-F53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30" ht="15" customHeight="1" x14ac:dyDescent="0.25">
      <x:c r="A54" s="461" t="s">
        <x:v>52</x:v>
      </x:c>
      <x:c r="B54" s="505" t="s">
        <x:v>53</x:v>
      </x:c>
      <x:c r="C54" s="463" t="s">
        <x:v>763</x:v>
      </x:c>
      <x:c r="D54" s="464">
        <x:v>45582</x:v>
      </x:c>
      <x:c r="E54" s="465">
        <x:v>839.4</x:v>
      </x:c>
      <x:c r="F54" s="465">
        <x:v>209.85</x:v>
      </x:c>
      <x:c r="G54" s="466">
        <x:v>723.98</x:v>
      </x:c>
      <x:c r="H54" s="465">
        <x:v>94.43</x:v>
      </x:c>
      <x:c r="I54" s="467">
        <x:v>45597</x:v>
      </x:c>
      <x:c r="J54" s="433">
        <x:f>+E54-F54</x:f>
      </x:c>
      <x:c r="K54" s="468">
        <x:f>+I54-D54</x:f>
      </x:c>
      <x:c r="L54" s="503">
        <x:v>0.035</x:v>
      </x:c>
      <x:c r="M54" s="504">
        <x:f>+J54*L54</x:f>
      </x:c>
      <x:c r="O54" s="432"/>
    </x:row>
    <x:row r="55" spans="1:30" ht="15" customHeight="1" x14ac:dyDescent="0.25">
      <x:c r="A55" s="461" t="s">
        <x:v>170</x:v>
      </x:c>
      <x:c r="B55" s="573" t="s">
        <x:v>105</x:v>
      </x:c>
      <x:c r="C55" s="463" t="s">
        <x:v>764</x:v>
      </x:c>
      <x:c r="D55" s="464">
        <x:v>45586</x:v>
      </x:c>
      <x:c r="E55" s="465">
        <x:v>25.08</x:v>
      </x:c>
      <x:c r="F55" s="465">
        <x:v>5.02</x:v>
      </x:c>
      <x:c r="G55" s="466">
        <x:v>23.07</x:v>
      </x:c>
      <x:c r="H55" s="465">
        <x:v>3.01</x:v>
      </x:c>
      <x:c r="I55" s="467">
        <x:v>45604</x:v>
      </x:c>
      <x:c r="J55" s="433">
        <x:f>+E55-F55</x:f>
      </x:c>
      <x:c r="K55" s="468">
        <x:f>+I55-D55</x:f>
      </x:c>
      <x:c r="L55" s="503">
        <x:v>0.035</x:v>
      </x:c>
      <x:c r="M55" s="504">
        <x:f>+J55*L55</x:f>
      </x:c>
      <x:c r="O55" s="432"/>
    </x:row>
    <x:row r="56" spans="1:30" ht="15" customHeight="1" x14ac:dyDescent="0.25">
      <x:c r="A56" s="461" t="s">
        <x:v>170</x:v>
      </x:c>
      <x:c r="B56" s="573" t="s">
        <x:v>105</x:v>
      </x:c>
      <x:c r="C56" s="463" t="s">
        <x:v>765</x:v>
      </x:c>
      <x:c r="D56" s="464">
        <x:v>45586</x:v>
      </x:c>
      <x:c r="E56" s="465">
        <x:v>322.2</x:v>
      </x:c>
      <x:c r="F56" s="465">
        <x:v>64.44</x:v>
      </x:c>
      <x:c r="G56" s="466">
        <x:v>296.42</x:v>
      </x:c>
      <x:c r="H56" s="465">
        <x:v>38.66</x:v>
      </x:c>
      <x:c r="I56" s="467">
        <x:v>45604</x:v>
      </x:c>
      <x:c r="J56" s="433">
        <x:f>+E56-F56</x:f>
      </x:c>
      <x:c r="K56" s="468">
        <x:f>+I56-D56</x:f>
      </x:c>
      <x:c r="L56" s="503">
        <x:v>0.035</x:v>
      </x:c>
      <x:c r="M56" s="504">
        <x:f>+J56*L56</x:f>
      </x:c>
      <x:c r="O56" s="432"/>
    </x:row>
    <x:row r="57" spans="1:30" ht="15" customHeight="1" x14ac:dyDescent="0.25">
      <x:c r="A57" s="461" t="s">
        <x:v>52</x:v>
      </x:c>
      <x:c r="B57" s="505" t="s">
        <x:v>53</x:v>
      </x:c>
      <x:c r="C57" s="463" t="s">
        <x:v>766</x:v>
      </x:c>
      <x:c r="D57" s="464">
        <x:v>45587</x:v>
      </x:c>
      <x:c r="E57" s="465">
        <x:v>969.6</x:v>
      </x:c>
      <x:c r="F57" s="465">
        <x:v>242.4</x:v>
      </x:c>
      <x:c r="G57" s="466">
        <x:v>836.28</x:v>
      </x:c>
      <x:c r="H57" s="465">
        <x:v>109.08</x:v>
      </x:c>
      <x:c r="I57" s="467">
        <x:v>45597</x:v>
      </x:c>
      <x:c r="J57" s="433">
        <x:f>+E57-F57</x:f>
      </x:c>
      <x:c r="K57" s="468">
        <x:f>+I57-D57</x:f>
      </x:c>
      <x:c r="L57" s="503">
        <x:v>0.035</x:v>
      </x:c>
      <x:c r="M57" s="504">
        <x:f>+J57*L57</x:f>
      </x:c>
      <x:c r="O57" s="432"/>
    </x:row>
    <x:row r="58" spans="1:30" ht="15" customHeight="1" x14ac:dyDescent="0.25">
      <x:c r="A58" s="461" t="s">
        <x:v>127</x:v>
      </x:c>
      <x:c r="B58" s="462" t="s">
        <x:v>26</x:v>
      </x:c>
      <x:c r="C58" s="463" t="s">
        <x:v>767</x:v>
      </x:c>
      <x:c r="D58" s="464">
        <x:v>45595</x:v>
      </x:c>
      <x:c r="E58" s="465">
        <x:v>40.8</x:v>
      </x:c>
      <x:c r="F58" s="465">
        <x:v>6.12</x:v>
      </x:c>
      <x:c r="G58" s="466">
        <x:v>37.97</x:v>
      </x:c>
      <x:c r="H58" s="465">
        <x:v>5.2</x:v>
      </x:c>
      <x:c r="I58" s="464">
        <x:v>45597</x:v>
      </x:c>
      <x:c r="J58" s="433">
        <x:f>+E58-F58</x:f>
      </x:c>
      <x:c r="K58" s="468">
        <x:f>+I58-D58</x:f>
      </x:c>
      <x:c r="L58" s="503">
        <x:v>0.04</x:v>
      </x:c>
      <x:c r="M58" s="504">
        <x:f>+J58*L58</x:f>
      </x:c>
      <x:c r="O58" s="432"/>
    </x:row>
    <x:row r="59" spans="1:30" ht="15" customHeight="1" s="434" customFormat="1" x14ac:dyDescent="0.25">
      <x:c r="A59" s="486" t="s">
        <x:v>700</x:v>
      </x:c>
      <x:c r="B59" s="573" t="s">
        <x:v>105</x:v>
      </x:c>
      <x:c r="C59" s="488" t="s">
        <x:v>768</x:v>
      </x:c>
      <x:c r="D59" s="489">
        <x:v>45602</x:v>
      </x:c>
      <x:c r="E59" s="490">
        <x:v>90</x:v>
      </x:c>
      <x:c r="F59" s="490">
        <x:v>13.5</x:v>
      </x:c>
      <x:c r="G59" s="502">
        <x:v>87.98</x:v>
      </x:c>
      <x:c r="H59" s="490">
        <x:v>11.48</x:v>
      </x:c>
      <x:c r="I59" s="467">
        <x:v>45624</x:v>
      </x:c>
      <x:c r="J59" s="433">
        <x:f>+E59-F59</x:f>
      </x:c>
      <x:c r="K59" s="468">
        <x:f>+I59-D59</x:f>
      </x:c>
      <x:c r="L59" s="503">
        <x:v>0.035</x:v>
      </x:c>
      <x:c r="M59" s="433">
        <x:f>+J59*L59</x:f>
      </x:c>
      <x:c r="N59" s="470"/>
      <x:c r="O59" s="432"/>
    </x:row>
    <x:row r="60" spans="1:30" ht="15" customHeight="1" x14ac:dyDescent="0.25">
      <x:c r="A60" s="606" t="s">
        <x:v>195</x:v>
      </x:c>
      <x:c r="B60" s="506" t="s">
        <x:v>26</x:v>
      </x:c>
      <x:c r="C60" s="606" t="s">
        <x:v>769</x:v>
      </x:c>
      <x:c r="D60" s="607">
        <x:v>45617</x:v>
      </x:c>
      <x:c r="E60" s="569">
        <x:v>36.96</x:v>
      </x:c>
      <x:c r="F60" s="569">
        <x:v>0</x:v>
      </x:c>
      <x:c r="G60" s="466">
        <x:v>42.5</x:v>
      </x:c>
      <x:c r="H60" s="569">
        <x:v>5.54</x:v>
      </x:c>
      <x:c r="I60" s="467">
        <x:v>45618</x:v>
      </x:c>
      <x:c r="J60" s="433">
        <x:f>+E60-F60</x:f>
      </x:c>
      <x:c r="K60" s="468">
        <x:f>+I60-D60</x:f>
      </x:c>
      <x:c r="L60" s="503">
        <x:v>0.04</x:v>
      </x:c>
      <x:c r="M60" s="504">
        <x:f>+J60*L60</x:f>
      </x:c>
      <x:c r="O60" s="432"/>
    </x:row>
    <x:row r="61" spans="1:30" ht="15" customHeight="1" x14ac:dyDescent="0.25">
      <x:c r="A61" s="549"/>
      <x:c r="B61" s="543"/>
      <x:c r="C61" s="525"/>
      <x:c r="D61" s="526"/>
      <x:c r="E61" s="527"/>
      <x:c r="F61" s="527"/>
      <x:c r="G61" s="528"/>
      <x:c r="H61" s="527"/>
      <x:c r="I61" s="529"/>
      <x:c r="J61" s="433"/>
      <x:c r="K61" s="468"/>
      <x:c r="L61" s="503"/>
      <x:c r="M61" s="504"/>
      <x:c r="O61" s="432"/>
    </x:row>
    <x:row r="62" spans="1:30" ht="15" customHeight="1" x14ac:dyDescent="0.3">
      <x:c r="G62" s="516">
        <x:f>SUM(G34:G61)</x:f>
      </x:c>
      <x:c r="J62" s="516">
        <x:f>SUM(J34:J61)</x:f>
      </x:c>
      <x:c r="M62" s="516">
        <x:f>SUM(M34:M61)</x:f>
      </x:c>
    </x:row>
    <x:row r="63" spans="1:30" ht="15" customHeight="1" x14ac:dyDescent="0.25">
      <x:c r="G63" s="435"/>
      <x:c r="H63" s="435"/>
    </x:row>
    <x:row r="64" spans="1:30" ht="15" customHeight="1" x14ac:dyDescent="0.25">
      <x:c r="A64" s="517" t="s">
        <x:v>30</x:v>
      </x:c>
      <x:c r="B64" s="517" t="s">
        <x:v>31</x:v>
      </x:c>
      <x:c r="C64" s="518" t="s">
        <x:v>32</x:v>
      </x:c>
      <x:c r="I64" s="435"/>
      <x:c r="J64" s="435"/>
    </x:row>
    <x:row r="65" spans="1:30" ht="15" customHeight="1" s="434" customFormat="1" x14ac:dyDescent="0.25">
      <x:c r="A65" s="486" t="s">
        <x:v>494</x:v>
      </x:c>
      <x:c r="B65" s="487" t="s">
        <x:v>770</x:v>
      </x:c>
      <x:c r="C65" s="488" t="s">
        <x:v>771</x:v>
      </x:c>
      <x:c r="D65" s="489">
        <x:v>45442</x:v>
      </x:c>
      <x:c r="E65" s="490">
        <x:v>525.96</x:v>
      </x:c>
      <x:c r="F65" s="490">
        <x:v>78.89</x:v>
      </x:c>
      <x:c r="G65" s="491">
        <x:f>514.13-4.47-20.12</x:f>
      </x:c>
      <x:c r="H65" s="490">
        <x:v>67.06</x:v>
      </x:c>
      <x:c r="I65" s="492">
        <x:v>45628</x:v>
      </x:c>
      <x:c r="J65" s="433">
        <x:f>+E65-F65</x:f>
      </x:c>
      <x:c r="K65" s="468">
        <x:f>+I65-D65</x:f>
      </x:c>
      <x:c r="L65" s="469">
        <x:v>0.03</x:v>
      </x:c>
      <x:c r="M65" s="433">
        <x:f>+J65*L65</x:f>
      </x:c>
      <x:c r="N65" s="470"/>
      <x:c r="O65" s="432"/>
    </x:row>
    <x:row r="66" spans="1:30" ht="15" customHeight="1" s="434" customFormat="1" x14ac:dyDescent="0.25">
      <x:c r="A66" s="486" t="s">
        <x:v>75</x:v>
      </x:c>
      <x:c r="B66" s="487" t="s">
        <x:v>772</x:v>
      </x:c>
      <x:c r="C66" s="488" t="s">
        <x:v>773</x:v>
      </x:c>
      <x:c r="D66" s="489">
        <x:v>45610</x:v>
      </x:c>
      <x:c r="E66" s="490">
        <x:v>127.8</x:v>
      </x:c>
      <x:c r="F66" s="490">
        <x:v>19.17</x:v>
      </x:c>
      <x:c r="G66" s="502">
        <x:f>124.92-1.09-4.89</x:f>
      </x:c>
      <x:c r="H66" s="490">
        <x:v>16.29</x:v>
      </x:c>
      <x:c r="I66" s="467">
        <x:v>45639</x:v>
      </x:c>
      <x:c r="J66" s="433">
        <x:f>+E66-F66</x:f>
      </x:c>
      <x:c r="K66" s="468">
        <x:f>+I66-D66</x:f>
      </x:c>
      <x:c r="L66" s="469">
        <x:v>0.03</x:v>
      </x:c>
      <x:c r="M66" s="433">
        <x:f>+J66*L66</x:f>
      </x:c>
      <x:c r="N66" s="470"/>
      <x:c r="O66" s="432"/>
    </x:row>
    <x:row r="67" spans="1:30" ht="15" customHeight="1" s="432" customFormat="1" x14ac:dyDescent="0.3">
      <x:c r="A67" s="558"/>
      <x:c r="B67" s="559"/>
      <x:c r="C67" s="560"/>
      <x:c r="D67" s="561"/>
      <x:c r="E67" s="562"/>
      <x:c r="F67" s="562"/>
      <x:c r="G67" s="491"/>
      <x:c r="H67" s="490"/>
      <x:c r="I67" s="492"/>
      <x:c r="J67" s="433"/>
      <x:c r="K67" s="468"/>
      <x:c r="L67" s="469"/>
      <x:c r="M67" s="563"/>
      <x:c r="N67" s="470"/>
    </x:row>
    <x:row r="68" spans="1:30" ht="15" customHeight="1" x14ac:dyDescent="0.35">
      <x:c r="A68" s="493" t="s">
        <x:v>43</x:v>
      </x:c>
      <x:c r="B68" s="493"/>
      <x:c r="C68" s="493"/>
      <x:c r="D68" s="493"/>
      <x:c r="E68" s="493"/>
      <x:c r="F68" s="493"/>
      <x:c r="G68" s="516">
        <x:f>SUM(G62:G67)</x:f>
      </x:c>
      <x:c r="J68" s="516">
        <x:f>SUM(J62:J67)</x:f>
      </x:c>
      <x:c r="L68" s="495"/>
      <x:c r="M68" s="564">
        <x:f>SUM(M62:M67)</x:f>
      </x:c>
    </x:row>
    <x:row r="69" spans="1:30" ht="15" customHeight="1" x14ac:dyDescent="0.3">
      <x:c r="A69" s="520"/>
      <x:c r="G69" s="435"/>
    </x:row>
    <x:row r="70" spans="1:30" ht="15" customHeight="1" x14ac:dyDescent="0.3">
      <x:c r="A70" s="499"/>
      <x:c r="G70" s="435"/>
      <x:c r="J70" s="435"/>
    </x:row>
    <x:row r="71" spans="1:30" ht="15" customHeight="1" x14ac:dyDescent="0.3">
      <x:c r="A71" s="499"/>
      <x:c r="G71" s="435"/>
      <x:c r="J71" s="435"/>
    </x:row>
    <x:row r="72" spans="1:30" ht="15" customHeight="1" x14ac:dyDescent="0.3">
      <x:c r="A72" s="499"/>
      <x:c r="G72" s="435"/>
      <x:c r="J72" s="435"/>
    </x:row>
    <x:row r="73" spans="1:30" ht="15" customHeight="1" x14ac:dyDescent="0.3">
      <x:c r="A73" s="499"/>
      <x:c r="G73" s="435"/>
      <x:c r="J73" s="435"/>
    </x:row>
    <x:row r="74" spans="1:30" ht="15" customHeight="1" x14ac:dyDescent="0.3">
      <x:c r="A74" s="499"/>
      <x:c r="G74" s="435"/>
      <x:c r="J74" s="435"/>
    </x:row>
    <x:row r="75" spans="1:30" ht="15" customHeight="1" x14ac:dyDescent="0.3">
      <x:c r="A75" s="499"/>
      <x:c r="G75" s="435"/>
      <x:c r="J75" s="435">
        <x:f>(J22+J68)*2%</x:f>
      </x:c>
      <x:c r="M75" s="435">
        <x:f>M22/12</x:f>
      </x:c>
      <x:c r="N75" s="431" t="s">
        <x:v>237</x:v>
      </x:c>
    </x:row>
    <x:row r="76" spans="1:30" ht="15" customHeight="1" x14ac:dyDescent="0.3">
      <x:c r="A76" s="499"/>
      <x:c r="G76" s="435"/>
      <x:c r="J76" s="565">
        <x:f>J75/12</x:f>
      </x:c>
      <x:c r="M76" s="435">
        <x:f>M22/24</x:f>
      </x:c>
      <x:c r="N76" s="431" t="s">
        <x:v>237</x:v>
      </x:c>
    </x:row>
    <x:row r="77" spans="1:30" ht="15" customHeight="1" x14ac:dyDescent="0.3">
      <x:c r="A77" s="499"/>
      <x:c r="G77" s="435"/>
      <x:c r="J77" s="565">
        <x:f>J75/24</x:f>
      </x:c>
      <x:c r="M77" s="435">
        <x:f>M68/12</x:f>
      </x:c>
      <x:c r="N77" s="431" t="s">
        <x:v>238</x:v>
      </x:c>
      <x:c r="O77" s="435"/>
    </x:row>
    <x:row r="78" spans="1:30" ht="15" customHeight="1" x14ac:dyDescent="0.3">
      <x:c r="A78" s="499"/>
      <x:c r="G78" s="435"/>
      <x:c r="J78" s="435"/>
      <x:c r="M78" s="435">
        <x:f>M68/24</x:f>
      </x:c>
      <x:c r="N78" s="431" t="s">
        <x:v>238</x:v>
      </x:c>
      <x:c r="O78" s="435"/>
    </x:row>
    <x:row r="79" spans="1:30" ht="15" customHeight="1" x14ac:dyDescent="0.3">
      <x:c r="A79" s="499"/>
      <x:c r="G79" s="435"/>
      <x:c r="J79" s="435"/>
      <x:c r="M79" s="435"/>
    </x:row>
    <x:row r="80" spans="1:30" ht="15" customHeight="1" x14ac:dyDescent="0.3">
      <x:c r="A80" s="499"/>
      <x:c r="G80" s="435"/>
      <x:c r="J80" s="435"/>
      <x:c r="M80" s="435">
        <x:f>M75+M77</x:f>
      </x:c>
      <x:c r="N80" s="566" t="s">
        <x:v>435</x:v>
      </x:c>
    </x:row>
    <x:row r="81" spans="1:30" ht="15" customHeight="1" x14ac:dyDescent="0.3">
      <x:c r="A81" s="499"/>
      <x:c r="G81" s="435"/>
      <x:c r="J81" s="435"/>
      <x:c r="M81" s="435">
        <x:f>M76+M78</x:f>
      </x:c>
      <x:c r="N81" s="566" t="s">
        <x:v>436</x:v>
      </x:c>
    </x:row>
    <x:row r="82" spans="1:30" ht="15" customHeight="1" x14ac:dyDescent="0.3">
      <x:c r="A82" s="499"/>
      <x:c r="G82" s="435"/>
      <x:c r="J82" s="435"/>
    </x:row>
    <x:row r="83" spans="1:30" ht="15" customHeight="1" x14ac:dyDescent="0.3">
      <x:c r="A83" s="499"/>
      <x:c r="G83" s="435"/>
      <x:c r="J83" s="435"/>
    </x:row>
    <x:row r="84" spans="1:30" ht="15" customHeight="1" x14ac:dyDescent="0.3">
      <x:c r="A84" s="499"/>
      <x:c r="G84" s="435"/>
      <x:c r="J84" s="435"/>
    </x:row>
    <x:row r="85" spans="1:30" ht="15" customHeight="1" x14ac:dyDescent="0.3">
      <x:c r="A85" s="520"/>
      <x:c r="J85" s="515"/>
      <x:c r="K85" s="515"/>
    </x:row>
  </x:sheetData>
  <x:sortState xmlns:xlrd2="http://schemas.microsoft.com/office/spreadsheetml/2017/richdata2" ref="A34:AD59">
    <x:sortCondition ref="C34:C59"/>
  </x:sortState>
  <x:mergeCells count="7">
    <x:mergeCell ref="A2:F2"/>
    <x:mergeCell ref="A3:F3"/>
    <x:mergeCell ref="A16:F16"/>
    <x:mergeCell ref="A22:F22"/>
    <x:mergeCell ref="A26:F26"/>
    <x:mergeCell ref="A29:F29"/>
    <x:mergeCell ref="A68:F68"/>
  </x:mergeCells>
  <x:printOptions horizontalCentered="0" verticalCentered="0" headings="0" gridLines="0"/>
  <x:pageMargins left="0.3937007874015748" right="0" top="0.3937007874015748" bottom="0" header="0" footer="0"/>
  <x:pageSetup paperSize="9" scale="90" pageOrder="downThenOver" orientation="landscape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O75"/>
  <x:sheetViews>
    <x:sheetView topLeftCell="G56" workbookViewId="0">
      <x:selection activeCell="J67" sqref="J67"/>
    </x:sheetView>
  </x:sheetViews>
  <x:sheetFormatPr baseColWidth="10" defaultColWidth="11.441406" defaultRowHeight="13.2" x14ac:dyDescent="0.25"/>
  <x:cols>
    <x:col min="1" max="1" width="37.332031" style="429" customWidth="1"/>
    <x:col min="2" max="2" width="30" style="429" customWidth="1"/>
    <x:col min="3" max="3" width="25.554688" style="497" customWidth="1"/>
    <x:col min="4" max="4" width="12.109375" style="430" customWidth="1"/>
    <x:col min="5" max="5" width="12.664062" style="429" customWidth="1"/>
    <x:col min="6" max="6" width="9.441406" style="429" customWidth="1"/>
    <x:col min="7" max="7" width="11.886719" style="429" customWidth="1"/>
    <x:col min="8" max="8" width="8.886719" style="429" customWidth="1"/>
    <x:col min="9" max="9" width="11.886719" style="430" customWidth="1"/>
    <x:col min="10" max="10" width="12.554688" style="429" customWidth="1"/>
    <x:col min="11" max="11" width="8" style="429" customWidth="1"/>
    <x:col min="12" max="12" width="6.441406" style="429" customWidth="1"/>
    <x:col min="13" max="13" width="10.332031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439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774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461" t="s">
        <x:v>319</x:v>
      </x:c>
      <x:c r="B8" s="462" t="s">
        <x:v>320</x:v>
      </x:c>
      <x:c r="C8" s="463" t="s">
        <x:v>470</x:v>
      </x:c>
      <x:c r="D8" s="464">
        <x:v>45442</x:v>
      </x:c>
      <x:c r="E8" s="465">
        <x:v>62.04</x:v>
      </x:c>
      <x:c r="F8" s="465">
        <x:v>9.29</x:v>
      </x:c>
      <x:c r="G8" s="466">
        <x:v>59.47</x:v>
      </x:c>
      <x:c r="H8" s="465">
        <x:v>7.91</x:v>
      </x:c>
      <x:c r="I8" s="467">
        <x:v>45642</x:v>
      </x:c>
      <x:c r="J8" s="433">
        <x:f>(+E8-F8)-1.06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461" t="s">
        <x:v>49</x:v>
      </x:c>
      <x:c r="B9" s="506" t="s">
        <x:v>26</x:v>
      </x:c>
      <x:c r="C9" s="463" t="s">
        <x:v>775</x:v>
      </x:c>
      <x:c r="D9" s="464">
        <x:v>45468</x:v>
      </x:c>
      <x:c r="E9" s="465">
        <x:v>93.6</x:v>
      </x:c>
      <x:c r="F9" s="465">
        <x:v>14.04</x:v>
      </x:c>
      <x:c r="G9" s="466">
        <x:v>87.11</x:v>
      </x:c>
      <x:c r="H9" s="465">
        <x:v>11.93</x:v>
      </x:c>
      <x:c r="I9" s="467">
        <x:v>45639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461" t="s">
        <x:v>491</x:v>
      </x:c>
      <x:c r="B10" s="505" t="s">
        <x:v>492</x:v>
      </x:c>
      <x:c r="C10" s="463" t="s">
        <x:v>677</x:v>
      </x:c>
      <x:c r="D10" s="464">
        <x:v>45482</x:v>
      </x:c>
      <x:c r="E10" s="465">
        <x:v>1327.32</x:v>
      </x:c>
      <x:c r="F10" s="465">
        <x:v>331.83</x:v>
      </x:c>
      <x:c r="G10" s="466">
        <x:v>400</x:v>
      </x:c>
      <x:c r="H10" s="465">
        <x:v>149.32</x:v>
      </x:c>
      <x:c r="I10" s="464">
        <x:v>45639</x:v>
      </x:c>
      <x:c r="J10" s="433">
        <x:f>(400)/1.15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461" t="s">
        <x:v>491</x:v>
      </x:c>
      <x:c r="B11" s="505" t="s">
        <x:v>492</x:v>
      </x:c>
      <x:c r="C11" s="463" t="s">
        <x:v>677</x:v>
      </x:c>
      <x:c r="D11" s="464">
        <x:v>45482</x:v>
      </x:c>
      <x:c r="E11" s="465">
        <x:v>1327.32</x:v>
      </x:c>
      <x:c r="F11" s="465">
        <x:v>331.83</x:v>
      </x:c>
      <x:c r="G11" s="466">
        <x:v>310.06</x:v>
      </x:c>
      <x:c r="H11" s="465">
        <x:v>149.32</x:v>
      </x:c>
      <x:c r="I11" s="464">
        <x:v>45649</x:v>
      </x:c>
      <x:c r="J11" s="433">
        <x:f>(310.06)/1.15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461" t="s">
        <x:v>491</x:v>
      </x:c>
      <x:c r="B12" s="505" t="s">
        <x:v>492</x:v>
      </x:c>
      <x:c r="C12" s="463" t="s">
        <x:v>776</x:v>
      </x:c>
      <x:c r="D12" s="464">
        <x:v>45482</x:v>
      </x:c>
      <x:c r="E12" s="465">
        <x:v>1380</x:v>
      </x:c>
      <x:c r="F12" s="465">
        <x:v>345</x:v>
      </x:c>
      <x:c r="G12" s="466">
        <x:v>89.94</x:v>
      </x:c>
      <x:c r="H12" s="465">
        <x:v>155.25</x:v>
      </x:c>
      <x:c r="I12" s="464">
        <x:v>45649</x:v>
      </x:c>
      <x:c r="J12" s="433">
        <x:f>89.94/1.15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461" t="s">
        <x:v>49</x:v>
      </x:c>
      <x:c r="B13" s="506" t="s">
        <x:v>26</x:v>
      </x:c>
      <x:c r="C13" s="463" t="s">
        <x:v>777</x:v>
      </x:c>
      <x:c r="D13" s="464">
        <x:v>45511</x:v>
      </x:c>
      <x:c r="E13" s="465">
        <x:v>187.2</x:v>
      </x:c>
      <x:c r="F13" s="465">
        <x:v>28.08</x:v>
      </x:c>
      <x:c r="G13" s="466">
        <x:v>174.24</x:v>
      </x:c>
      <x:c r="H13" s="465">
        <x:v>23.87</x:v>
      </x:c>
      <x:c r="I13" s="467">
        <x:v>45653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461" t="s">
        <x:v>49</x:v>
      </x:c>
      <x:c r="B14" s="506" t="s">
        <x:v>26</x:v>
      </x:c>
      <x:c r="C14" s="463" t="s">
        <x:v>778</x:v>
      </x:c>
      <x:c r="D14" s="464">
        <x:v>45512</x:v>
      </x:c>
      <x:c r="E14" s="465">
        <x:v>306</x:v>
      </x:c>
      <x:c r="F14" s="465">
        <x:v>45.9</x:v>
      </x:c>
      <x:c r="G14" s="466">
        <x:v>284.81</x:v>
      </x:c>
      <x:c r="H14" s="465">
        <x:v>39.02</x:v>
      </x:c>
      <x:c r="I14" s="467">
        <x:v>45653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461" t="s">
        <x:v>49</x:v>
      </x:c>
      <x:c r="B15" s="506" t="s">
        <x:v>26</x:v>
      </x:c>
      <x:c r="C15" s="463" t="s">
        <x:v>779</x:v>
      </x:c>
      <x:c r="D15" s="464">
        <x:v>45517</x:v>
      </x:c>
      <x:c r="E15" s="465">
        <x:v>163.8</x:v>
      </x:c>
      <x:c r="F15" s="465">
        <x:v>24.57</x:v>
      </x:c>
      <x:c r="G15" s="466">
        <x:v>152.46</x:v>
      </x:c>
      <x:c r="H15" s="465">
        <x:v>20.88</x:v>
      </x:c>
      <x:c r="I15" s="467">
        <x:v>45653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461" t="s">
        <x:v>104</x:v>
      </x:c>
      <x:c r="B16" s="462" t="s">
        <x:v>105</x:v>
      </x:c>
      <x:c r="C16" s="463" t="s">
        <x:v>780</x:v>
      </x:c>
      <x:c r="D16" s="464">
        <x:v>45524</x:v>
      </x:c>
      <x:c r="E16" s="465">
        <x:v>244.2</x:v>
      </x:c>
      <x:c r="F16" s="465">
        <x:v>36.63</x:v>
      </x:c>
      <x:c r="G16" s="466">
        <x:v>227.29</x:v>
      </x:c>
      <x:c r="H16" s="465">
        <x:v>31.14</x:v>
      </x:c>
      <x:c r="I16" s="467">
        <x:v>45632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461" t="s">
        <x:v>104</x:v>
      </x:c>
      <x:c r="B17" s="462" t="s">
        <x:v>105</x:v>
      </x:c>
      <x:c r="C17" s="463" t="s">
        <x:v>781</x:v>
      </x:c>
      <x:c r="D17" s="464">
        <x:v>45524</x:v>
      </x:c>
      <x:c r="E17" s="465">
        <x:v>112.8</x:v>
      </x:c>
      <x:c r="F17" s="465">
        <x:v>16.92</x:v>
      </x:c>
      <x:c r="G17" s="466">
        <x:v>104.99</x:v>
      </x:c>
      <x:c r="H17" s="465">
        <x:v>14.38</x:v>
      </x:c>
      <x:c r="I17" s="467">
        <x:v>45632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461" t="s">
        <x:v>49</x:v>
      </x:c>
      <x:c r="B18" s="506" t="s">
        <x:v>26</x:v>
      </x:c>
      <x:c r="C18" s="463" t="s">
        <x:v>782</x:v>
      </x:c>
      <x:c r="D18" s="464">
        <x:v>45538</x:v>
      </x:c>
      <x:c r="E18" s="465">
        <x:v>234</x:v>
      </x:c>
      <x:c r="F18" s="465">
        <x:v>35.1</x:v>
      </x:c>
      <x:c r="G18" s="466">
        <x:v>217.8</x:v>
      </x:c>
      <x:c r="H18" s="465">
        <x:v>29.84</x:v>
      </x:c>
      <x:c r="I18" s="467">
        <x:v>45639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461" t="s">
        <x:v>57</x:v>
      </x:c>
      <x:c r="B19" s="462" t="s">
        <x:v>26</x:v>
      </x:c>
      <x:c r="C19" s="463" t="s">
        <x:v>783</x:v>
      </x:c>
      <x:c r="D19" s="464">
        <x:v>45545</x:v>
      </x:c>
      <x:c r="E19" s="465">
        <x:v>297.36</x:v>
      </x:c>
      <x:c r="F19" s="465">
        <x:v>59.46</x:v>
      </x:c>
      <x:c r="G19" s="466">
        <x:v>260.5</x:v>
      </x:c>
      <x:c r="H19" s="465">
        <x:v>35.69</x:v>
      </x:c>
      <x:c r="I19" s="467">
        <x:v>45656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461" t="s">
        <x:v>49</x:v>
      </x:c>
      <x:c r="B20" s="506" t="s">
        <x:v>26</x:v>
      </x:c>
      <x:c r="C20" s="463" t="s">
        <x:v>784</x:v>
      </x:c>
      <x:c r="D20" s="464">
        <x:v>45546</x:v>
      </x:c>
      <x:c r="E20" s="465">
        <x:v>70.2</x:v>
      </x:c>
      <x:c r="F20" s="465">
        <x:v>10.53</x:v>
      </x:c>
      <x:c r="G20" s="466">
        <x:v>65.33</x:v>
      </x:c>
      <x:c r="H20" s="465">
        <x:v>8.95</x:v>
      </x:c>
      <x:c r="I20" s="467">
        <x:v>45639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461" t="s">
        <x:v>49</x:v>
      </x:c>
      <x:c r="B21" s="506" t="s">
        <x:v>26</x:v>
      </x:c>
      <x:c r="C21" s="463" t="s">
        <x:v>785</x:v>
      </x:c>
      <x:c r="D21" s="464">
        <x:v>45553</x:v>
      </x:c>
      <x:c r="E21" s="465">
        <x:v>46.8</x:v>
      </x:c>
      <x:c r="F21" s="465">
        <x:v>7.02</x:v>
      </x:c>
      <x:c r="G21" s="466">
        <x:v>43.56</x:v>
      </x:c>
      <x:c r="H21" s="465">
        <x:v>5.97</x:v>
      </x:c>
      <x:c r="I21" s="467">
        <x:v>45639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461" t="s">
        <x:v>114</x:v>
      </x:c>
      <x:c r="B22" s="506" t="s">
        <x:v>26</x:v>
      </x:c>
      <x:c r="C22" s="463" t="s">
        <x:v>786</x:v>
      </x:c>
      <x:c r="D22" s="464">
        <x:v>45555</x:v>
      </x:c>
      <x:c r="E22" s="465">
        <x:v>460.2</x:v>
      </x:c>
      <x:c r="F22" s="465">
        <x:v>92.04</x:v>
      </x:c>
      <x:c r="G22" s="466">
        <x:v>403.13</x:v>
      </x:c>
      <x:c r="H22" s="465">
        <x:v>55.22</x:v>
      </x:c>
      <x:c r="I22" s="467">
        <x:v>45643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461" t="s">
        <x:v>462</x:v>
      </x:c>
      <x:c r="B23" s="573" t="s">
        <x:v>463</x:v>
      </x:c>
      <x:c r="C23" s="463" t="s">
        <x:v>787</x:v>
      </x:c>
      <x:c r="D23" s="464">
        <x:v>45561</x:v>
      </x:c>
      <x:c r="E23" s="465">
        <x:v>86.04</x:v>
      </x:c>
      <x:c r="F23" s="465">
        <x:v>12.9</x:v>
      </x:c>
      <x:c r="G23" s="466">
        <x:v>80.09</x:v>
      </x:c>
      <x:c r="H23" s="465">
        <x:v>10.97</x:v>
      </x:c>
      <x:c r="I23" s="467">
        <x:v>45635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461" t="s">
        <x:v>686</x:v>
      </x:c>
      <x:c r="B24" s="573" t="s">
        <x:v>105</x:v>
      </x:c>
      <x:c r="C24" s="463" t="s">
        <x:v>788</x:v>
      </x:c>
      <x:c r="D24" s="464">
        <x:v>45562</x:v>
      </x:c>
      <x:c r="E24" s="465">
        <x:v>189.6</x:v>
      </x:c>
      <x:c r="F24" s="465">
        <x:v>28.44</x:v>
      </x:c>
      <x:c r="G24" s="466">
        <x:v>185.33</x:v>
      </x:c>
      <x:c r="H24" s="465">
        <x:v>24.17</x:v>
      </x:c>
      <x:c r="I24" s="467">
        <x:v>45643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461" t="s">
        <x:v>759</x:v>
      </x:c>
      <x:c r="B25" s="573" t="s">
        <x:v>105</x:v>
      </x:c>
      <x:c r="C25" s="463" t="s">
        <x:v>789</x:v>
      </x:c>
      <x:c r="D25" s="464">
        <x:v>45562</x:v>
      </x:c>
      <x:c r="E25" s="465">
        <x:v>15.84</x:v>
      </x:c>
      <x:c r="F25" s="465">
        <x:v>2.07</x:v>
      </x:c>
      <x:c r="G25" s="466">
        <x:v>15.84</x:v>
      </x:c>
      <x:c r="H25" s="465">
        <x:v>2.07</x:v>
      </x:c>
      <x:c r="I25" s="467">
        <x:v>45642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461" t="s">
        <x:v>790</x:v>
      </x:c>
      <x:c r="B26" s="573" t="s">
        <x:v>463</x:v>
      </x:c>
      <x:c r="C26" s="463" t="s">
        <x:v>791</x:v>
      </x:c>
      <x:c r="D26" s="464">
        <x:v>45565</x:v>
      </x:c>
      <x:c r="E26" s="465">
        <x:v>207.84</x:v>
      </x:c>
      <x:c r="F26" s="465">
        <x:v>31.18</x:v>
      </x:c>
      <x:c r="G26" s="466">
        <x:v>193.44</x:v>
      </x:c>
      <x:c r="H26" s="465">
        <x:v>26.5</x:v>
      </x:c>
      <x:c r="I26" s="467">
        <x:v>45629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25">
      <x:c r="A27" s="461" t="s">
        <x:v>335</x:v>
      </x:c>
      <x:c r="B27" s="506" t="s">
        <x:v>336</x:v>
      </x:c>
      <x:c r="C27" s="463" t="s">
        <x:v>792</x:v>
      </x:c>
      <x:c r="D27" s="464">
        <x:v>45566</x:v>
      </x:c>
      <x:c r="E27" s="465">
        <x:v>10.56</x:v>
      </x:c>
      <x:c r="F27" s="465">
        <x:v>1.8</x:v>
      </x:c>
      <x:c r="G27" s="466">
        <x:v>9.59</x:v>
      </x:c>
      <x:c r="H27" s="465">
        <x:v>1.31</x:v>
      </x:c>
      <x:c r="I27" s="489">
        <x:v>45633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25">
      <x:c r="A28" s="461" t="s">
        <x:v>57</x:v>
      </x:c>
      <x:c r="B28" s="573" t="s">
        <x:v>26</x:v>
      </x:c>
      <x:c r="C28" s="463" t="s">
        <x:v>793</x:v>
      </x:c>
      <x:c r="D28" s="464">
        <x:v>45573</x:v>
      </x:c>
      <x:c r="E28" s="465">
        <x:v>255</x:v>
      </x:c>
      <x:c r="F28" s="465">
        <x:v>51.01</x:v>
      </x:c>
      <x:c r="G28" s="466">
        <x:v>223.37</x:v>
      </x:c>
      <x:c r="H28" s="465">
        <x:v>30.6</x:v>
      </x:c>
      <x:c r="I28" s="467">
        <x:v>45656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16" ht="15" customHeight="1" x14ac:dyDescent="0.25">
      <x:c r="A29" s="461" t="s">
        <x:v>308</x:v>
      </x:c>
      <x:c r="B29" s="573" t="s">
        <x:v>309</x:v>
      </x:c>
      <x:c r="C29" s="463" t="s">
        <x:v>794</x:v>
      </x:c>
      <x:c r="D29" s="464">
        <x:v>45575</x:v>
      </x:c>
      <x:c r="E29" s="465">
        <x:v>103.2</x:v>
      </x:c>
      <x:c r="F29" s="465">
        <x:v>15.47</x:v>
      </x:c>
      <x:c r="G29" s="466">
        <x:v>100.89</x:v>
      </x:c>
      <x:c r="H29" s="465">
        <x:v>13.16</x:v>
      </x:c>
      <x:c r="I29" s="467">
        <x:v>45642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25">
      <x:c r="A30" s="461" t="s">
        <x:v>57</x:v>
      </x:c>
      <x:c r="B30" s="506" t="s">
        <x:v>26</x:v>
      </x:c>
      <x:c r="C30" s="463" t="s">
        <x:v>795</x:v>
      </x:c>
      <x:c r="D30" s="464">
        <x:v>45593</x:v>
      </x:c>
      <x:c r="E30" s="465">
        <x:v>293.52</x:v>
      </x:c>
      <x:c r="F30" s="465">
        <x:v>58.7</x:v>
      </x:c>
      <x:c r="G30" s="466">
        <x:v>257.12</x:v>
      </x:c>
      <x:c r="H30" s="465">
        <x:v>35.22</x:v>
      </x:c>
      <x:c r="I30" s="467">
        <x:v>45656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16" ht="15" customHeight="1" x14ac:dyDescent="0.25">
      <x:c r="A31" s="461" t="s">
        <x:v>164</x:v>
      </x:c>
      <x:c r="B31" s="506" t="s">
        <x:v>26</x:v>
      </x:c>
      <x:c r="C31" s="463" t="s">
        <x:v>796</x:v>
      </x:c>
      <x:c r="D31" s="464">
        <x:v>45595</x:v>
      </x:c>
      <x:c r="E31" s="465">
        <x:v>188.16</x:v>
      </x:c>
      <x:c r="F31" s="465">
        <x:v>28.23</x:v>
      </x:c>
      <x:c r="G31" s="466">
        <x:v>183.92</x:v>
      </x:c>
      <x:c r="H31" s="465">
        <x:v>23.99</x:v>
      </x:c>
      <x:c r="I31" s="467">
        <x:v>45642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16" ht="15" customHeight="1" x14ac:dyDescent="0.25">
      <x:c r="A32" s="461" t="s">
        <x:v>367</x:v>
      </x:c>
      <x:c r="B32" s="573" t="s">
        <x:v>336</x:v>
      </x:c>
      <x:c r="C32" s="463" t="s">
        <x:v>797</x:v>
      </x:c>
      <x:c r="D32" s="464">
        <x:v>45610</x:v>
      </x:c>
      <x:c r="E32" s="465">
        <x:v>81.6</x:v>
      </x:c>
      <x:c r="F32" s="465">
        <x:v>12.24</x:v>
      </x:c>
      <x:c r="G32" s="466">
        <x:v>79.76</x:v>
      </x:c>
      <x:c r="H32" s="465">
        <x:v>10.4</x:v>
      </x:c>
      <x:c r="I32" s="467">
        <x:v>45646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  <x:c r="O32" s="432"/>
    </x:row>
    <x:row r="33" spans="1:16" ht="15" customHeight="1" x14ac:dyDescent="0.25">
      <x:c r="A33" s="461" t="s">
        <x:v>386</x:v>
      </x:c>
      <x:c r="B33" s="506" t="s">
        <x:v>26</x:v>
      </x:c>
      <x:c r="C33" s="463" t="s">
        <x:v>798</x:v>
      </x:c>
      <x:c r="D33" s="464">
        <x:v>45611</x:v>
      </x:c>
      <x:c r="E33" s="465">
        <x:v>234</x:v>
      </x:c>
      <x:c r="F33" s="465">
        <x:v>46.8</x:v>
      </x:c>
      <x:c r="G33" s="466">
        <x:v>215.28</x:v>
      </x:c>
      <x:c r="H33" s="465">
        <x:v>28.08</x:v>
      </x:c>
      <x:c r="I33" s="467">
        <x:v>45644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16" ht="15" customHeight="1" x14ac:dyDescent="0.25">
      <x:c r="A34" s="487" t="s">
        <x:v>118</x:v>
      </x:c>
      <x:c r="B34" s="506" t="s">
        <x:v>26</x:v>
      </x:c>
      <x:c r="C34" s="462" t="s">
        <x:v>799</x:v>
      </x:c>
      <x:c r="D34" s="492">
        <x:v>45617</x:v>
      </x:c>
      <x:c r="E34" s="610">
        <x:v>1972.796</x:v>
      </x:c>
      <x:c r="F34" s="610">
        <x:v>434.016</x:v>
      </x:c>
      <x:c r="G34" s="502">
        <x:v>1684.96</x:v>
      </x:c>
      <x:c r="H34" s="610">
        <x:v>230.82</x:v>
      </x:c>
      <x:c r="I34" s="467">
        <x:v>45647</x:v>
      </x:c>
      <x:c r="J34" s="433">
        <x:f>+E34-F34</x:f>
      </x:c>
      <x:c r="K34" s="468">
        <x:f>+I34-D34</x:f>
      </x:c>
      <x:c r="L34" s="503">
        <x:v>0.035</x:v>
      </x:c>
      <x:c r="M34" s="504">
        <x:f>+J34*L34</x:f>
      </x:c>
      <x:c r="O34" s="432"/>
    </x:row>
    <x:row r="35" spans="1:16" ht="15" customHeight="1" x14ac:dyDescent="0.25">
      <x:c r="A35" s="606" t="s">
        <x:v>52</x:v>
      </x:c>
      <x:c r="B35" s="505" t="s">
        <x:v>53</x:v>
      </x:c>
      <x:c r="C35" s="611" t="s">
        <x:v>800</x:v>
      </x:c>
      <x:c r="D35" s="607">
        <x:v>45624</x:v>
      </x:c>
      <x:c r="E35" s="569">
        <x:v>625.32</x:v>
      </x:c>
      <x:c r="F35" s="569">
        <x:v>156.33</x:v>
      </x:c>
      <x:c r="G35" s="466">
        <x:v>539.33</x:v>
      </x:c>
      <x:c r="H35" s="569">
        <x:v>70.35</x:v>
      </x:c>
      <x:c r="I35" s="467">
        <x:v>45652</x:v>
      </x:c>
      <x:c r="J35" s="433">
        <x:f>+E35-F35</x:f>
      </x:c>
      <x:c r="K35" s="468">
        <x:f>+I35-D35</x:f>
      </x:c>
      <x:c r="L35" s="503">
        <x:v>0.035</x:v>
      </x:c>
      <x:c r="M35" s="504">
        <x:f>+J35*L35</x:f>
      </x:c>
      <x:c r="O35" s="432"/>
    </x:row>
    <x:row r="36" spans="1:16" ht="15" customHeight="1" x14ac:dyDescent="0.25">
      <x:c r="A36" s="606" t="s">
        <x:v>354</x:v>
      </x:c>
      <x:c r="B36" s="573" t="s">
        <x:v>110</x:v>
      </x:c>
      <x:c r="C36" s="611" t="s">
        <x:v>801</x:v>
      </x:c>
      <x:c r="D36" s="607">
        <x:v>45628</x:v>
      </x:c>
      <x:c r="E36" s="569">
        <x:v>210.6</x:v>
      </x:c>
      <x:c r="F36" s="569">
        <x:v>31.59</x:v>
      </x:c>
      <x:c r="G36" s="466">
        <x:v>196.01</x:v>
      </x:c>
      <x:c r="H36" s="569">
        <x:v>26.85</x:v>
      </x:c>
      <x:c r="I36" s="467">
        <x:v>45652</x:v>
      </x:c>
      <x:c r="J36" s="433">
        <x:f>+E36-F36</x:f>
      </x:c>
      <x:c r="K36" s="468">
        <x:f>+I36-D36</x:f>
      </x:c>
      <x:c r="L36" s="503">
        <x:v>0.035</x:v>
      </x:c>
      <x:c r="M36" s="504">
        <x:f>+J36*L36</x:f>
      </x:c>
      <x:c r="O36" s="432"/>
    </x:row>
    <x:row r="37" spans="1:16" ht="15" customHeight="1" x14ac:dyDescent="0.25">
      <x:c r="A37" s="606" t="s">
        <x:v>225</x:v>
      </x:c>
      <x:c r="B37" s="573" t="s">
        <x:v>105</x:v>
      </x:c>
      <x:c r="C37" s="611" t="s">
        <x:v>802</x:v>
      </x:c>
      <x:c r="D37" s="607">
        <x:v>45631</x:v>
      </x:c>
      <x:c r="E37" s="569">
        <x:v>924.24</x:v>
      </x:c>
      <x:c r="F37" s="569">
        <x:v>231.06</x:v>
      </x:c>
      <x:c r="G37" s="466">
        <x:v>759.04</x:v>
      </x:c>
      <x:c r="H37" s="569">
        <x:v>103.98</x:v>
      </x:c>
      <x:c r="I37" s="467">
        <x:v>45637</x:v>
      </x:c>
      <x:c r="J37" s="433">
        <x:f>+E37-F37</x:f>
      </x:c>
      <x:c r="K37" s="468">
        <x:f>+I37-D37</x:f>
      </x:c>
      <x:c r="L37" s="503">
        <x:v>0.04</x:v>
      </x:c>
      <x:c r="M37" s="504">
        <x:f>+J37*L37</x:f>
      </x:c>
      <x:c r="O37" s="432"/>
    </x:row>
    <x:row r="38" spans="1:16" ht="15" customHeight="1" x14ac:dyDescent="0.25">
      <x:c r="A38" s="606" t="s">
        <x:v>170</x:v>
      </x:c>
      <x:c r="B38" s="573" t="s">
        <x:v>105</x:v>
      </x:c>
      <x:c r="C38" s="611" t="s">
        <x:v>803</x:v>
      </x:c>
      <x:c r="D38" s="607">
        <x:v>45632</x:v>
      </x:c>
      <x:c r="E38" s="569">
        <x:v>180.12</x:v>
      </x:c>
      <x:c r="F38" s="569">
        <x:v>36.02</x:v>
      </x:c>
      <x:c r="G38" s="466">
        <x:v>165.71</x:v>
      </x:c>
      <x:c r="H38" s="569">
        <x:v>21.61</x:v>
      </x:c>
      <x:c r="I38" s="467">
        <x:v>45649</x:v>
      </x:c>
      <x:c r="J38" s="433">
        <x:f>+E38-F38</x:f>
      </x:c>
      <x:c r="K38" s="468">
        <x:f>+I38-D38</x:f>
      </x:c>
      <x:c r="L38" s="503">
        <x:v>0.035</x:v>
      </x:c>
      <x:c r="M38" s="504">
        <x:f>+J38*L38</x:f>
      </x:c>
      <x:c r="O38" s="432"/>
    </x:row>
    <x:row r="39" spans="1:16" ht="15" customHeight="1" x14ac:dyDescent="0.25">
      <x:c r="A39" s="606" t="s">
        <x:v>205</x:v>
      </x:c>
      <x:c r="B39" s="573" t="s">
        <x:v>26</x:v>
      </x:c>
      <x:c r="C39" s="611" t="s">
        <x:v>804</x:v>
      </x:c>
      <x:c r="D39" s="607">
        <x:v>45635</x:v>
      </x:c>
      <x:c r="E39" s="569">
        <x:v>63.6</x:v>
      </x:c>
      <x:c r="F39" s="569">
        <x:v>0</x:v>
      </x:c>
      <x:c r="G39" s="466">
        <x:v>73.14</x:v>
      </x:c>
      <x:c r="H39" s="569">
        <x:v>9.54</x:v>
      </x:c>
      <x:c r="I39" s="467">
        <x:v>45635</x:v>
      </x:c>
      <x:c r="J39" s="433">
        <x:f>+E39-F39</x:f>
      </x:c>
      <x:c r="K39" s="468">
        <x:f>+I39-D39</x:f>
      </x:c>
      <x:c r="L39" s="503">
        <x:v>0.04</x:v>
      </x:c>
      <x:c r="M39" s="504">
        <x:f>+J39*L39</x:f>
      </x:c>
      <x:c r="O39" s="432"/>
    </x:row>
    <x:row r="40" spans="1:16" ht="15" customHeight="1" x14ac:dyDescent="0.25">
      <x:c r="A40" s="606" t="s">
        <x:v>805</x:v>
      </x:c>
      <x:c r="B40" s="573" t="s">
        <x:v>806</x:v>
      </x:c>
      <x:c r="C40" s="611" t="s">
        <x:v>807</x:v>
      </x:c>
      <x:c r="D40" s="607">
        <x:v>45635</x:v>
      </x:c>
      <x:c r="E40" s="569">
        <x:v>205.8</x:v>
      </x:c>
      <x:c r="F40" s="569">
        <x:v>30.87</x:v>
      </x:c>
      <x:c r="G40" s="466">
        <x:v>201.17</x:v>
      </x:c>
      <x:c r="H40" s="569">
        <x:v>26.24</x:v>
      </x:c>
      <x:c r="I40" s="467">
        <x:v>45635</x:v>
      </x:c>
      <x:c r="J40" s="433">
        <x:f>+E40-F40</x:f>
      </x:c>
      <x:c r="K40" s="468">
        <x:f>+I40-D40</x:f>
      </x:c>
      <x:c r="L40" s="503">
        <x:v>0.04</x:v>
      </x:c>
      <x:c r="M40" s="504">
        <x:f>+J40*L40</x:f>
      </x:c>
      <x:c r="O40" s="432"/>
    </x:row>
    <x:row r="41" spans="1:16" ht="15" customHeight="1" x14ac:dyDescent="0.25">
      <x:c r="A41" s="606" t="s">
        <x:v>164</x:v>
      </x:c>
      <x:c r="B41" s="573" t="s">
        <x:v>26</x:v>
      </x:c>
      <x:c r="C41" s="611" t="s">
        <x:v>808</x:v>
      </x:c>
      <x:c r="D41" s="607">
        <x:v>45636</x:v>
      </x:c>
      <x:c r="E41" s="569">
        <x:v>67.2</x:v>
      </x:c>
      <x:c r="F41" s="569">
        <x:v>10.08</x:v>
      </x:c>
      <x:c r="G41" s="466">
        <x:v>65.69</x:v>
      </x:c>
      <x:c r="H41" s="569">
        <x:v>8.57</x:v>
      </x:c>
      <x:c r="I41" s="467">
        <x:v>45642</x:v>
      </x:c>
      <x:c r="J41" s="433">
        <x:f>+E41-F41</x:f>
      </x:c>
      <x:c r="K41" s="468">
        <x:f>+I41-D41</x:f>
      </x:c>
      <x:c r="L41" s="503">
        <x:v>0.035</x:v>
      </x:c>
      <x:c r="M41" s="504">
        <x:f>+J41*L41</x:f>
      </x:c>
      <x:c r="O41" s="432"/>
    </x:row>
    <x:row r="42" spans="1:16" ht="15" customHeight="1" x14ac:dyDescent="0.25">
      <x:c r="A42" s="606" t="s">
        <x:v>627</x:v>
      </x:c>
      <x:c r="B42" s="573" t="s">
        <x:v>26</x:v>
      </x:c>
      <x:c r="C42" s="611" t="s">
        <x:v>809</x:v>
      </x:c>
      <x:c r="D42" s="607">
        <x:v>45636</x:v>
      </x:c>
      <x:c r="E42" s="569">
        <x:v>153</x:v>
      </x:c>
      <x:c r="F42" s="569">
        <x:v>22.95</x:v>
      </x:c>
      <x:c r="G42" s="466">
        <x:v>149.56</x:v>
      </x:c>
      <x:c r="H42" s="569">
        <x:v>19.51</x:v>
      </x:c>
      <x:c r="I42" s="467">
        <x:v>45638</x:v>
      </x:c>
      <x:c r="J42" s="433">
        <x:f>+E42-F42</x:f>
      </x:c>
      <x:c r="K42" s="468">
        <x:f>+I42-D42</x:f>
      </x:c>
      <x:c r="L42" s="503">
        <x:v>0.035</x:v>
      </x:c>
      <x:c r="M42" s="504">
        <x:f>+J42*L42</x:f>
      </x:c>
      <x:c r="O42" s="432"/>
    </x:row>
    <x:row r="43" spans="1:16" ht="15" customHeight="1" x14ac:dyDescent="0.25">
      <x:c r="A43" s="606" t="s">
        <x:v>810</x:v>
      </x:c>
      <x:c r="B43" s="573" t="s">
        <x:v>806</x:v>
      </x:c>
      <x:c r="C43" s="611" t="s">
        <x:v>811</x:v>
      </x:c>
      <x:c r="D43" s="607">
        <x:v>45637</x:v>
      </x:c>
      <x:c r="E43" s="569">
        <x:v>25.08</x:v>
      </x:c>
      <x:c r="F43" s="569">
        <x:v>3.26</x:v>
      </x:c>
      <x:c r="G43" s="466">
        <x:v>25.09</x:v>
      </x:c>
      <x:c r="H43" s="569">
        <x:v>3.27</x:v>
      </x:c>
      <x:c r="I43" s="467">
        <x:v>45637</x:v>
      </x:c>
      <x:c r="J43" s="433">
        <x:f>+E43-F43</x:f>
      </x:c>
      <x:c r="K43" s="468">
        <x:f>+I43-D43</x:f>
      </x:c>
      <x:c r="L43" s="503">
        <x:v>0.04</x:v>
      </x:c>
      <x:c r="M43" s="504">
        <x:f>+J43*L43</x:f>
      </x:c>
      <x:c r="O43" s="432"/>
    </x:row>
    <x:row r="44" spans="1:16" ht="15" customHeight="1" x14ac:dyDescent="0.25">
      <x:c r="A44" s="606" t="s">
        <x:v>810</x:v>
      </x:c>
      <x:c r="B44" s="573" t="s">
        <x:v>806</x:v>
      </x:c>
      <x:c r="C44" s="611" t="s">
        <x:v>812</x:v>
      </x:c>
      <x:c r="D44" s="607">
        <x:v>45638</x:v>
      </x:c>
      <x:c r="E44" s="569">
        <x:v>10.2</x:v>
      </x:c>
      <x:c r="F44" s="569">
        <x:v>1.33</x:v>
      </x:c>
      <x:c r="G44" s="466">
        <x:v>10.2</x:v>
      </x:c>
      <x:c r="H44" s="569">
        <x:v>1.33</x:v>
      </x:c>
      <x:c r="I44" s="467">
        <x:v>45638</x:v>
      </x:c>
      <x:c r="J44" s="433">
        <x:f>+E44-F44</x:f>
      </x:c>
      <x:c r="K44" s="468">
        <x:f>+I44-D44</x:f>
      </x:c>
      <x:c r="L44" s="503">
        <x:v>0.04</x:v>
      </x:c>
      <x:c r="M44" s="504">
        <x:f>+J44*L44</x:f>
      </x:c>
      <x:c r="O44" s="432"/>
    </x:row>
    <x:row r="45" spans="1:16" ht="15" customHeight="1" x14ac:dyDescent="0.25">
      <x:c r="A45" s="606" t="s">
        <x:v>450</x:v>
      </x:c>
      <x:c r="B45" s="573" t="s">
        <x:v>110</x:v>
      </x:c>
      <x:c r="C45" s="611" t="s">
        <x:v>813</x:v>
      </x:c>
      <x:c r="D45" s="607">
        <x:v>45649</x:v>
      </x:c>
      <x:c r="E45" s="569">
        <x:v>57.12</x:v>
      </x:c>
      <x:c r="F45" s="569">
        <x:v>0</x:v>
      </x:c>
      <x:c r="G45" s="466">
        <x:v>65.69</x:v>
      </x:c>
      <x:c r="H45" s="569">
        <x:v>8.57</x:v>
      </x:c>
      <x:c r="I45" s="467">
        <x:v>45652</x:v>
      </x:c>
      <x:c r="J45" s="433">
        <x:f>+E45-F45</x:f>
      </x:c>
      <x:c r="K45" s="468">
        <x:f>+I45-D45</x:f>
      </x:c>
      <x:c r="L45" s="503">
        <x:v>0.04</x:v>
      </x:c>
      <x:c r="M45" s="504">
        <x:f>+J45*L45</x:f>
      </x:c>
      <x:c r="O45" s="432"/>
    </x:row>
    <x:row r="46" spans="1:16" ht="15" customHeight="1" x14ac:dyDescent="0.25">
      <x:c r="A46" s="549"/>
      <x:c r="B46" s="543"/>
      <x:c r="C46" s="525"/>
      <x:c r="D46" s="526"/>
      <x:c r="E46" s="527"/>
      <x:c r="F46" s="527"/>
      <x:c r="G46" s="528"/>
      <x:c r="H46" s="527"/>
      <x:c r="I46" s="529"/>
      <x:c r="J46" s="433"/>
      <x:c r="K46" s="468"/>
      <x:c r="L46" s="503"/>
      <x:c r="M46" s="504"/>
      <x:c r="O46" s="432"/>
    </x:row>
    <x:row r="47" spans="1:16" ht="15" customHeight="1" x14ac:dyDescent="0.3">
      <x:c r="G47" s="516">
        <x:f>SUM(G8:G46)</x:f>
      </x:c>
      <x:c r="J47" s="516">
        <x:f>SUM(J8:J46)</x:f>
      </x:c>
      <x:c r="M47" s="516">
        <x:f>SUM(M8:M46)</x:f>
      </x:c>
    </x:row>
    <x:row r="48" spans="1:16" ht="15" customHeight="1" x14ac:dyDescent="0.25">
      <x:c r="G48" s="435"/>
      <x:c r="H48" s="435"/>
    </x:row>
    <x:row r="49" spans="1:16" ht="15" customHeight="1" x14ac:dyDescent="0.25">
      <x:c r="A49" s="517" t="s">
        <x:v>30</x:v>
      </x:c>
      <x:c r="B49" s="517" t="s">
        <x:v>31</x:v>
      </x:c>
      <x:c r="C49" s="518" t="s">
        <x:v>32</x:v>
      </x:c>
      <x:c r="I49" s="435"/>
      <x:c r="J49" s="435"/>
    </x:row>
    <x:row r="50" spans="1:16" ht="15" customHeight="1" s="434" customFormat="1" x14ac:dyDescent="0.25">
      <x:c r="A50" s="486" t="s">
        <x:v>179</x:v>
      </x:c>
      <x:c r="B50" s="487" t="s">
        <x:v>814</x:v>
      </x:c>
      <x:c r="C50" s="488" t="s">
        <x:v>815</x:v>
      </x:c>
      <x:c r="D50" s="489">
        <x:v>45601</x:v>
      </x:c>
      <x:c r="E50" s="612">
        <x:v>234</x:v>
      </x:c>
      <x:c r="F50" s="612">
        <x:v>35.1</x:v>
      </x:c>
      <x:c r="G50" s="613">
        <x:f>228.74-1.99-8.95</x:f>
      </x:c>
      <x:c r="H50" s="612">
        <x:v>29.84</x:v>
      </x:c>
      <x:c r="I50" s="492">
        <x:v>45723</x:v>
      </x:c>
      <x:c r="J50" s="614">
        <x:f>+E50-F50</x:f>
      </x:c>
      <x:c r="K50" s="468">
        <x:f>+I50-D50</x:f>
      </x:c>
      <x:c r="L50" s="469">
        <x:v>0.03</x:v>
      </x:c>
      <x:c r="M50" s="614">
        <x:f>+J50*L50</x:f>
      </x:c>
      <x:c r="N50" s="470"/>
      <x:c r="O50" s="432"/>
    </x:row>
    <x:row r="51" spans="1:16" ht="15" customHeight="1" s="434" customFormat="1" x14ac:dyDescent="0.25">
      <x:c r="A51" s="486" t="s">
        <x:v>49</x:v>
      </x:c>
      <x:c r="B51" s="487" t="s">
        <x:v>816</x:v>
      </x:c>
      <x:c r="C51" s="488" t="s">
        <x:v>817</x:v>
      </x:c>
      <x:c r="D51" s="489">
        <x:v>45588</x:v>
      </x:c>
      <x:c r="E51" s="490">
        <x:v>93.6</x:v>
      </x:c>
      <x:c r="F51" s="490">
        <x:v>14.04</x:v>
      </x:c>
      <x:c r="G51" s="502">
        <x:f>91.49-0.8-3.58</x:f>
      </x:c>
      <x:c r="H51" s="490">
        <x:v>11.93</x:v>
      </x:c>
      <x:c r="I51" s="467">
        <x:v>45688</x:v>
      </x:c>
      <x:c r="J51" s="614">
        <x:f>+E51-F51</x:f>
      </x:c>
      <x:c r="K51" s="468">
        <x:f>+I51-D51</x:f>
      </x:c>
      <x:c r="L51" s="469">
        <x:v>0.03</x:v>
      </x:c>
      <x:c r="M51" s="614">
        <x:f>+J51*L51</x:f>
      </x:c>
      <x:c r="N51" s="470"/>
      <x:c r="O51" s="432"/>
    </x:row>
    <x:row r="52" spans="1:16" ht="15" customHeight="1" s="434" customFormat="1" x14ac:dyDescent="0.25">
      <x:c r="A52" s="486" t="s">
        <x:v>49</x:v>
      </x:c>
      <x:c r="B52" s="487" t="s">
        <x:v>816</x:v>
      </x:c>
      <x:c r="C52" s="488" t="s">
        <x:v>818</x:v>
      </x:c>
      <x:c r="D52" s="489">
        <x:v>45601</x:v>
      </x:c>
      <x:c r="E52" s="490">
        <x:v>93.6</x:v>
      </x:c>
      <x:c r="F52" s="490">
        <x:v>14.04</x:v>
      </x:c>
      <x:c r="G52" s="502">
        <x:f>91.49-0.8-3.58</x:f>
      </x:c>
      <x:c r="H52" s="490">
        <x:v>11.93</x:v>
      </x:c>
      <x:c r="I52" s="467">
        <x:v>45688</x:v>
      </x:c>
      <x:c r="J52" s="614">
        <x:f>+E52-F52</x:f>
      </x:c>
      <x:c r="K52" s="468">
        <x:f>+I52-D52</x:f>
      </x:c>
      <x:c r="L52" s="469">
        <x:v>0.03</x:v>
      </x:c>
      <x:c r="M52" s="614">
        <x:f>+J52*L52</x:f>
      </x:c>
      <x:c r="N52" s="470"/>
      <x:c r="O52" s="432"/>
    </x:row>
    <x:row r="53" spans="1:16" ht="15" customHeight="1" s="434" customFormat="1" x14ac:dyDescent="0.25">
      <x:c r="A53" s="486" t="s">
        <x:v>49</x:v>
      </x:c>
      <x:c r="B53" s="487" t="s">
        <x:v>816</x:v>
      </x:c>
      <x:c r="C53" s="488" t="s">
        <x:v>819</x:v>
      </x:c>
      <x:c r="D53" s="489">
        <x:v>45610</x:v>
      </x:c>
      <x:c r="E53" s="490">
        <x:v>165.75</x:v>
      </x:c>
      <x:c r="F53" s="490">
        <x:v>24.86</x:v>
      </x:c>
      <x:c r="G53" s="502">
        <x:f>162.02-1.41-6.34</x:f>
      </x:c>
      <x:c r="H53" s="490">
        <x:v>21.13</x:v>
      </x:c>
      <x:c r="I53" s="467">
        <x:v>45688</x:v>
      </x:c>
      <x:c r="J53" s="614">
        <x:f>+E53-F53</x:f>
      </x:c>
      <x:c r="K53" s="468">
        <x:f>+I53-D53</x:f>
      </x:c>
      <x:c r="L53" s="469">
        <x:v>0.03</x:v>
      </x:c>
      <x:c r="M53" s="614">
        <x:f>+J53*L53</x:f>
      </x:c>
      <x:c r="N53" s="470"/>
      <x:c r="O53" s="432"/>
    </x:row>
    <x:row r="54" spans="1:16" ht="15" customHeight="1" s="434" customFormat="1" x14ac:dyDescent="0.25">
      <x:c r="A54" s="486" t="s">
        <x:v>33</x:v>
      </x:c>
      <x:c r="B54" s="487" t="s">
        <x:v>820</x:v>
      </x:c>
      <x:c r="C54" s="488" t="s">
        <x:v>821</x:v>
      </x:c>
      <x:c r="D54" s="489">
        <x:v>45607</x:v>
      </x:c>
      <x:c r="E54" s="490">
        <x:v>181.92</x:v>
      </x:c>
      <x:c r="F54" s="490">
        <x:v>27.28</x:v>
      </x:c>
      <x:c r="G54" s="502">
        <x:v>169.33</x:v>
      </x:c>
      <x:c r="H54" s="490">
        <x:v>23.2</x:v>
      </x:c>
      <x:c r="I54" s="467">
        <x:v>45677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16" ht="15" customHeight="1" s="434" customFormat="1" x14ac:dyDescent="0.25">
      <x:c r="A55" s="487" t="s">
        <x:v>822</x:v>
      </x:c>
      <x:c r="B55" s="487" t="s">
        <x:v>823</x:v>
      </x:c>
      <x:c r="C55" s="462" t="s">
        <x:v>824</x:v>
      </x:c>
      <x:c r="D55" s="492">
        <x:v>45644</x:v>
      </x:c>
      <x:c r="E55" s="490">
        <x:v>261.24</x:v>
      </x:c>
      <x:c r="F55" s="490">
        <x:v>39.19</x:v>
      </x:c>
      <x:c r="G55" s="491">
        <x:v>243.15</x:v>
      </x:c>
      <x:c r="H55" s="490">
        <x:v>33.31</x:v>
      </x:c>
      <x:c r="I55" s="492">
        <x:v>45706</x:v>
      </x:c>
      <x:c r="J55" s="433">
        <x:f>+E55-F55</x:f>
      </x:c>
      <x:c r="K55" s="468">
        <x:f>+I55-D55</x:f>
      </x:c>
      <x:c r="L55" s="469">
        <x:v>0.03</x:v>
      </x:c>
      <x:c r="M55" s="433">
        <x:f>+J55*L55</x:f>
      </x:c>
      <x:c r="N55" s="470"/>
      <x:c r="O55" s="432"/>
    </x:row>
    <x:row r="56" spans="1:16" ht="15" customHeight="1" s="434" customFormat="1" x14ac:dyDescent="0.25">
      <x:c r="A56" s="487" t="s">
        <x:v>136</x:v>
      </x:c>
      <x:c r="B56" s="487" t="s">
        <x:v>825</x:v>
      </x:c>
      <x:c r="C56" s="462" t="s">
        <x:v>826</x:v>
      </x:c>
      <x:c r="D56" s="492">
        <x:v>45631</x:v>
      </x:c>
      <x:c r="E56" s="610">
        <x:v>1208.4</x:v>
      </x:c>
      <x:c r="F56" s="610">
        <x:v>302.1</x:v>
      </x:c>
      <x:c r="G56" s="502">
        <x:f>1042.25-9.06-40.79</x:f>
      </x:c>
      <x:c r="H56" s="610">
        <x:v>135.95</x:v>
      </x:c>
      <x:c r="I56" s="467">
        <x:v>45662</x:v>
      </x:c>
      <x:c r="J56" s="433">
        <x:f>+E56-F56</x:f>
      </x:c>
      <x:c r="K56" s="468">
        <x:f>+I56-D56</x:f>
      </x:c>
      <x:c r="L56" s="469">
        <x:v>0.03</x:v>
      </x:c>
      <x:c r="M56" s="433">
        <x:f>+J56*L56</x:f>
      </x:c>
      <x:c r="N56" s="470"/>
      <x:c r="O56" s="432"/>
    </x:row>
    <x:row r="57" spans="1:16" ht="15" customHeight="1" s="432" customFormat="1" x14ac:dyDescent="0.3">
      <x:c r="A57" s="558"/>
      <x:c r="B57" s="559"/>
      <x:c r="C57" s="560"/>
      <x:c r="D57" s="561"/>
      <x:c r="E57" s="562"/>
      <x:c r="F57" s="562"/>
      <x:c r="G57" s="491"/>
      <x:c r="H57" s="490"/>
      <x:c r="I57" s="492"/>
      <x:c r="J57" s="433"/>
      <x:c r="K57" s="468"/>
      <x:c r="L57" s="469"/>
      <x:c r="M57" s="563"/>
      <x:c r="N57" s="470"/>
    </x:row>
    <x:row r="58" spans="1:16" ht="15" customHeight="1" x14ac:dyDescent="0.35">
      <x:c r="A58" s="493" t="s">
        <x:v>43</x:v>
      </x:c>
      <x:c r="B58" s="493"/>
      <x:c r="C58" s="493"/>
      <x:c r="D58" s="493"/>
      <x:c r="E58" s="493"/>
      <x:c r="F58" s="493"/>
      <x:c r="G58" s="516">
        <x:f>SUM(G47:G57)</x:f>
      </x:c>
      <x:c r="J58" s="516">
        <x:f>SUM(J47:J57)</x:f>
      </x:c>
      <x:c r="L58" s="495"/>
      <x:c r="M58" s="564">
        <x:f>SUM(M47:M57)</x:f>
      </x:c>
    </x:row>
    <x:row r="59" spans="1:16" ht="15" customHeight="1" x14ac:dyDescent="0.3">
      <x:c r="A59" s="520"/>
      <x:c r="G59" s="435"/>
    </x:row>
    <x:row r="60" spans="1:16" ht="15" customHeight="1" x14ac:dyDescent="0.3">
      <x:c r="A60" s="499"/>
      <x:c r="G60" s="435"/>
      <x:c r="J60" s="435"/>
    </x:row>
    <x:row r="61" spans="1:16" ht="15" customHeight="1" x14ac:dyDescent="0.3">
      <x:c r="A61" s="499"/>
      <x:c r="G61" s="435"/>
      <x:c r="J61" s="435"/>
    </x:row>
    <x:row r="62" spans="1:16" ht="15" customHeight="1" x14ac:dyDescent="0.3">
      <x:c r="A62" s="499"/>
      <x:c r="G62" s="435"/>
      <x:c r="J62" s="435"/>
    </x:row>
    <x:row r="63" spans="1:16" ht="15" customHeight="1" x14ac:dyDescent="0.3">
      <x:c r="A63" s="499"/>
      <x:c r="G63" s="435"/>
      <x:c r="J63" s="435"/>
    </x:row>
    <x:row r="64" spans="1:16" ht="15" customHeight="1" x14ac:dyDescent="0.3">
      <x:c r="A64" s="499"/>
      <x:c r="G64" s="435"/>
      <x:c r="J64" s="435"/>
    </x:row>
    <x:row r="65" spans="1:16" ht="15" customHeight="1" x14ac:dyDescent="0.3">
      <x:c r="A65" s="499"/>
      <x:c r="G65" s="435"/>
      <x:c r="J65" s="435"/>
      <x:c r="M65" s="435"/>
    </x:row>
    <x:row r="66" spans="1:16" ht="15" customHeight="1" x14ac:dyDescent="0.3">
      <x:c r="A66" s="499"/>
      <x:c r="G66" s="435"/>
      <x:c r="J66" s="435"/>
      <x:c r="M66" s="435"/>
    </x:row>
    <x:row r="67" spans="1:16" ht="15" customHeight="1" x14ac:dyDescent="0.3">
      <x:c r="A67" s="499"/>
      <x:c r="G67" s="435"/>
      <x:c r="J67" s="435">
        <x:f>J58*2%</x:f>
      </x:c>
      <x:c r="M67" s="565">
        <x:f>M58/12</x:f>
      </x:c>
      <x:c r="N67" s="431" t="s">
        <x:v>238</x:v>
      </x:c>
      <x:c r="O67" s="435"/>
    </x:row>
    <x:row r="68" spans="1:16" ht="15" customHeight="1" x14ac:dyDescent="0.3">
      <x:c r="A68" s="499"/>
      <x:c r="G68" s="435"/>
      <x:c r="J68" s="565">
        <x:f>J67/12</x:f>
      </x:c>
      <x:c r="M68" s="565">
        <x:f>M58/24</x:f>
      </x:c>
      <x:c r="N68" s="431" t="s">
        <x:v>238</x:v>
      </x:c>
      <x:c r="O68" s="435"/>
    </x:row>
    <x:row r="69" spans="1:16" ht="15" customHeight="1" x14ac:dyDescent="0.3">
      <x:c r="A69" s="499"/>
      <x:c r="G69" s="435"/>
      <x:c r="J69" s="565">
        <x:f>J67/24</x:f>
      </x:c>
      <x:c r="M69" s="435"/>
    </x:row>
    <x:row r="70" spans="1:16" ht="15" customHeight="1" x14ac:dyDescent="0.3">
      <x:c r="A70" s="499"/>
      <x:c r="G70" s="435"/>
      <x:c r="J70" s="435"/>
      <x:c r="M70" s="435"/>
    </x:row>
    <x:row r="71" spans="1:16" ht="15" customHeight="1" x14ac:dyDescent="0.3">
      <x:c r="A71" s="499"/>
      <x:c r="G71" s="435"/>
      <x:c r="J71" s="435"/>
    </x:row>
    <x:row r="72" spans="1:16" ht="15" customHeight="1" x14ac:dyDescent="0.3">
      <x:c r="A72" s="499"/>
      <x:c r="G72" s="435"/>
      <x:c r="J72" s="435"/>
    </x:row>
    <x:row r="73" spans="1:16" ht="15" customHeight="1" x14ac:dyDescent="0.3">
      <x:c r="A73" s="499"/>
      <x:c r="G73" s="435"/>
      <x:c r="J73" s="435"/>
    </x:row>
    <x:row r="74" spans="1:16" ht="15" customHeight="1" x14ac:dyDescent="0.3">
      <x:c r="A74" s="499"/>
      <x:c r="G74" s="435"/>
      <x:c r="J74" s="435">
        <x:f>#REF!+J58</x:f>
      </x:c>
      <x:c r="N74" s="431" t="s">
        <x:v>730</x:v>
      </x:c>
    </x:row>
    <x:row r="75" spans="1:16" ht="15" customHeight="1" x14ac:dyDescent="0.3">
      <x:c r="A75" s="520"/>
      <x:c r="J75" s="515">
        <x:f>J74*2%</x:f>
      </x:c>
      <x:c r="K75" s="515"/>
    </x:row>
  </x:sheetData>
  <x:sortState xmlns:xlrd2="http://schemas.microsoft.com/office/spreadsheetml/2017/richdata2" ref="A8:O48">
    <x:sortCondition ref="C8:C48"/>
  </x:sortState>
  <x:mergeCells count="2">
    <x:mergeCell ref="A3:F3"/>
    <x:mergeCell ref="A58:F58"/>
  </x:mergeCells>
  <x:printOptions horizontalCentered="0" verticalCentered="0" headings="0" gridLines="0"/>
  <x:pageMargins left="0.3937007874015748" right="0" top="0.1968503937007874" bottom="0" header="0" footer="0"/>
  <x:pageSetup paperSize="9" scale="70" pageOrder="downThenOver" orientation="landscape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P74"/>
  <x:sheetViews>
    <x:sheetView topLeftCell="J52" workbookViewId="0">
      <x:selection activeCell="J61" sqref="J61"/>
    </x:sheetView>
  </x:sheetViews>
  <x:sheetFormatPr baseColWidth="10" defaultColWidth="11.441406" defaultRowHeight="13.2" x14ac:dyDescent="0.25"/>
  <x:cols>
    <x:col min="1" max="1" width="43.664062" style="429" customWidth="1"/>
    <x:col min="2" max="2" width="27.332031" style="429" customWidth="1"/>
    <x:col min="3" max="3" width="26" style="497" customWidth="1"/>
    <x:col min="4" max="4" width="12.109375" style="430" customWidth="1"/>
    <x:col min="5" max="5" width="12.664062" style="429" customWidth="1"/>
    <x:col min="6" max="6" width="9.441406" style="429" customWidth="1"/>
    <x:col min="7" max="7" width="11.886719" style="429" customWidth="1"/>
    <x:col min="8" max="8" width="8.886719" style="429" customWidth="1"/>
    <x:col min="9" max="9" width="11.886719" style="430" customWidth="1"/>
    <x:col min="10" max="10" width="12.554688" style="429" customWidth="1"/>
    <x:col min="11" max="11" width="8.886719" style="429" customWidth="1"/>
    <x:col min="12" max="12" width="6.441406" style="429" customWidth="1"/>
    <x:col min="13" max="13" width="10.332031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439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827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439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461" t="s">
        <x:v>491</x:v>
      </x:c>
      <x:c r="B8" s="505" t="s">
        <x:v>492</x:v>
      </x:c>
      <x:c r="C8" s="463" t="s">
        <x:v>776</x:v>
      </x:c>
      <x:c r="D8" s="464">
        <x:v>45482</x:v>
      </x:c>
      <x:c r="E8" s="465">
        <x:v>1380</x:v>
      </x:c>
      <x:c r="F8" s="465">
        <x:v>345</x:v>
      </x:c>
      <x:c r="G8" s="466">
        <x:f>333.32</x:f>
      </x:c>
      <x:c r="H8" s="465">
        <x:v>155.25</x:v>
      </x:c>
      <x:c r="I8" s="464">
        <x:v>45666</x:v>
      </x:c>
      <x:c r="J8" s="433">
        <x:f>(333.32)/1.15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461" t="s">
        <x:v>491</x:v>
      </x:c>
      <x:c r="B9" s="505" t="s">
        <x:v>492</x:v>
      </x:c>
      <x:c r="C9" s="463" t="s">
        <x:v>776</x:v>
      </x:c>
      <x:c r="D9" s="464">
        <x:v>45482</x:v>
      </x:c>
      <x:c r="E9" s="465">
        <x:v>1380</x:v>
      </x:c>
      <x:c r="F9" s="465">
        <x:v>345</x:v>
      </x:c>
      <x:c r="G9" s="466">
        <x:v>365</x:v>
      </x:c>
      <x:c r="H9" s="465">
        <x:v>155.25</x:v>
      </x:c>
      <x:c r="I9" s="464">
        <x:v>45680</x:v>
      </x:c>
      <x:c r="J9" s="433">
        <x:f>(365)/1.15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461" t="s">
        <x:v>49</x:v>
      </x:c>
      <x:c r="B10" s="506" t="s">
        <x:v>26</x:v>
      </x:c>
      <x:c r="C10" s="463" t="s">
        <x:v>828</x:v>
      </x:c>
      <x:c r="D10" s="464">
        <x:v>45546</x:v>
      </x:c>
      <x:c r="E10" s="465">
        <x:v>26.4</x:v>
      </x:c>
      <x:c r="F10" s="465">
        <x:v>3.96</x:v>
      </x:c>
      <x:c r="G10" s="466">
        <x:v>24.58</x:v>
      </x:c>
      <x:c r="H10" s="465">
        <x:v>3.37</x:v>
      </x:c>
      <x:c r="I10" s="467">
        <x:v>45671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461" t="s">
        <x:v>49</x:v>
      </x:c>
      <x:c r="B11" s="506" t="s">
        <x:v>26</x:v>
      </x:c>
      <x:c r="C11" s="463" t="s">
        <x:v>829</x:v>
      </x:c>
      <x:c r="D11" s="464">
        <x:v>45553</x:v>
      </x:c>
      <x:c r="E11" s="465">
        <x:v>178.2</x:v>
      </x:c>
      <x:c r="F11" s="465">
        <x:v>26.73</x:v>
      </x:c>
      <x:c r="G11" s="466">
        <x:v>165.86</x:v>
      </x:c>
      <x:c r="H11" s="465">
        <x:v>22.72</x:v>
      </x:c>
      <x:c r="I11" s="467">
        <x:v>45671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461" t="s">
        <x:v>49</x:v>
      </x:c>
      <x:c r="B12" s="506" t="s">
        <x:v>26</x:v>
      </x:c>
      <x:c r="C12" s="488" t="s">
        <x:v>830</x:v>
      </x:c>
      <x:c r="D12" s="489">
        <x:v>45560</x:v>
      </x:c>
      <x:c r="E12" s="490">
        <x:v>117</x:v>
      </x:c>
      <x:c r="F12" s="490">
        <x:v>17.55</x:v>
      </x:c>
      <x:c r="G12" s="502">
        <x:v>108.9</x:v>
      </x:c>
      <x:c r="H12" s="490">
        <x:v>14.92</x:v>
      </x:c>
      <x:c r="I12" s="467">
        <x:v>45671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461" t="s">
        <x:v>49</x:v>
      </x:c>
      <x:c r="B13" s="506" t="s">
        <x:v>26</x:v>
      </x:c>
      <x:c r="C13" s="463" t="s">
        <x:v>831</x:v>
      </x:c>
      <x:c r="D13" s="464">
        <x:v>45566</x:v>
      </x:c>
      <x:c r="E13" s="465">
        <x:v>56.4</x:v>
      </x:c>
      <x:c r="F13" s="465">
        <x:v>8.46</x:v>
      </x:c>
      <x:c r="G13" s="466">
        <x:v>52.49</x:v>
      </x:c>
      <x:c r="H13" s="465">
        <x:v>7.19</x:v>
      </x:c>
      <x:c r="I13" s="467">
        <x:v>45671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461" t="s">
        <x:v>49</x:v>
      </x:c>
      <x:c r="B14" s="506" t="s">
        <x:v>26</x:v>
      </x:c>
      <x:c r="C14" s="463" t="s">
        <x:v>832</x:v>
      </x:c>
      <x:c r="D14" s="464">
        <x:v>45566</x:v>
      </x:c>
      <x:c r="E14" s="465">
        <x:v>163.8</x:v>
      </x:c>
      <x:c r="F14" s="465">
        <x:v>24.57</x:v>
      </x:c>
      <x:c r="G14" s="466">
        <x:v>152.46</x:v>
      </x:c>
      <x:c r="H14" s="465">
        <x:v>20.88</x:v>
      </x:c>
      <x:c r="I14" s="489">
        <x:v>45671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461" t="s">
        <x:v>49</x:v>
      </x:c>
      <x:c r="B15" s="506" t="s">
        <x:v>26</x:v>
      </x:c>
      <x:c r="C15" s="463" t="s">
        <x:v>833</x:v>
      </x:c>
      <x:c r="D15" s="464">
        <x:v>45574</x:v>
      </x:c>
      <x:c r="E15" s="465">
        <x:v>23.4</x:v>
      </x:c>
      <x:c r="F15" s="465">
        <x:v>3.51</x:v>
      </x:c>
      <x:c r="G15" s="466">
        <x:v>21.78</x:v>
      </x:c>
      <x:c r="H15" s="465">
        <x:v>2.98</x:v>
      </x:c>
      <x:c r="I15" s="467">
        <x:v>45671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461" t="s">
        <x:v>49</x:v>
      </x:c>
      <x:c r="B16" s="506" t="s">
        <x:v>26</x:v>
      </x:c>
      <x:c r="C16" s="463" t="s">
        <x:v>834</x:v>
      </x:c>
      <x:c r="D16" s="464">
        <x:v>45580</x:v>
      </x:c>
      <x:c r="E16" s="465">
        <x:v>46.8</x:v>
      </x:c>
      <x:c r="F16" s="465">
        <x:v>7.02</x:v>
      </x:c>
      <x:c r="G16" s="466">
        <x:v>43.56</x:v>
      </x:c>
      <x:c r="H16" s="465">
        <x:v>5.97</x:v>
      </x:c>
      <x:c r="I16" s="467">
        <x:v>45671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461" t="s">
        <x:v>49</x:v>
      </x:c>
      <x:c r="B17" s="506" t="s">
        <x:v>26</x:v>
      </x:c>
      <x:c r="C17" s="463" t="s">
        <x:v>835</x:v>
      </x:c>
      <x:c r="D17" s="464">
        <x:v>45581</x:v>
      </x:c>
      <x:c r="E17" s="465">
        <x:v>21.6</x:v>
      </x:c>
      <x:c r="F17" s="465">
        <x:v>3.24</x:v>
      </x:c>
      <x:c r="G17" s="466">
        <x:v>20.1</x:v>
      </x:c>
      <x:c r="H17" s="465">
        <x:v>2.75</x:v>
      </x:c>
      <x:c r="I17" s="467">
        <x:v>45671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461" t="s">
        <x:v>49</x:v>
      </x:c>
      <x:c r="B18" s="506" t="s">
        <x:v>26</x:v>
      </x:c>
      <x:c r="C18" s="463" t="s">
        <x:v>836</x:v>
      </x:c>
      <x:c r="D18" s="464">
        <x:v>45581</x:v>
      </x:c>
      <x:c r="E18" s="465">
        <x:v>70.2</x:v>
      </x:c>
      <x:c r="F18" s="465">
        <x:v>10.53</x:v>
      </x:c>
      <x:c r="G18" s="466">
        <x:v>65.33</x:v>
      </x:c>
      <x:c r="H18" s="465">
        <x:v>8.95</x:v>
      </x:c>
      <x:c r="I18" s="467">
        <x:v>45671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461" t="s">
        <x:v>49</x:v>
      </x:c>
      <x:c r="B19" s="506" t="s">
        <x:v>26</x:v>
      </x:c>
      <x:c r="C19" s="463" t="s">
        <x:v>837</x:v>
      </x:c>
      <x:c r="D19" s="464">
        <x:v>45588</x:v>
      </x:c>
      <x:c r="E19" s="465">
        <x:v>21.6</x:v>
      </x:c>
      <x:c r="F19" s="465">
        <x:v>3.24</x:v>
      </x:c>
      <x:c r="G19" s="466">
        <x:v>20.1</x:v>
      </x:c>
      <x:c r="H19" s="465">
        <x:v>2.75</x:v>
      </x:c>
      <x:c r="I19" s="467">
        <x:v>45671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461" t="s">
        <x:v>59</x:v>
      </x:c>
      <x:c r="B20" s="573" t="s">
        <x:v>60</x:v>
      </x:c>
      <x:c r="C20" s="463" t="s">
        <x:v>838</x:v>
      </x:c>
      <x:c r="D20" s="464">
        <x:v>45593</x:v>
      </x:c>
      <x:c r="E20" s="465">
        <x:v>158.4</x:v>
      </x:c>
      <x:c r="F20" s="465">
        <x:v>23.76</x:v>
      </x:c>
      <x:c r="G20" s="466">
        <x:v>154.84</x:v>
      </x:c>
      <x:c r="H20" s="465">
        <x:v>20.2</x:v>
      </x:c>
      <x:c r="I20" s="467">
        <x:v>45667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461" t="s">
        <x:v>49</x:v>
      </x:c>
      <x:c r="B21" s="506" t="s">
        <x:v>26</x:v>
      </x:c>
      <x:c r="C21" s="463" t="s">
        <x:v>839</x:v>
      </x:c>
      <x:c r="D21" s="464">
        <x:v>45601</x:v>
      </x:c>
      <x:c r="E21" s="465">
        <x:v>73.92</x:v>
      </x:c>
      <x:c r="F21" s="465">
        <x:v>11.09</x:v>
      </x:c>
      <x:c r="G21" s="466">
        <x:v>68.79</x:v>
      </x:c>
      <x:c r="H21" s="465">
        <x:v>9.42</x:v>
      </x:c>
      <x:c r="I21" s="467">
        <x:v>45671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461" t="s">
        <x:v>82</x:v>
      </x:c>
      <x:c r="B22" s="573" t="s">
        <x:v>80</x:v>
      </x:c>
      <x:c r="C22" s="463" t="s">
        <x:v>840</x:v>
      </x:c>
      <x:c r="D22" s="464">
        <x:v>45608</x:v>
      </x:c>
      <x:c r="E22" s="465">
        <x:v>212.16</x:v>
      </x:c>
      <x:c r="F22" s="465">
        <x:v>42.42</x:v>
      </x:c>
      <x:c r="G22" s="466">
        <x:v>195.2</x:v>
      </x:c>
      <x:c r="H22" s="465">
        <x:v>25.46</x:v>
      </x:c>
      <x:c r="I22" s="467">
        <x:v>45679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461" t="s">
        <x:v>114</x:v>
      </x:c>
      <x:c r="B23" s="506" t="s">
        <x:v>26</x:v>
      </x:c>
      <x:c r="C23" s="463" t="s">
        <x:v>841</x:v>
      </x:c>
      <x:c r="D23" s="464">
        <x:v>45610</x:v>
      </x:c>
      <x:c r="E23" s="465">
        <x:v>196.2</x:v>
      </x:c>
      <x:c r="F23" s="465">
        <x:v>39.24</x:v>
      </x:c>
      <x:c r="G23" s="466">
        <x:v>171.87</x:v>
      </x:c>
      <x:c r="H23" s="465">
        <x:v>23.54</x:v>
      </x:c>
      <x:c r="I23" s="467">
        <x:v>45665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461" t="s">
        <x:v>49</x:v>
      </x:c>
      <x:c r="B24" s="506" t="s">
        <x:v>26</x:v>
      </x:c>
      <x:c r="C24" s="463" t="s">
        <x:v>842</x:v>
      </x:c>
      <x:c r="D24" s="464">
        <x:v>45610</x:v>
      </x:c>
      <x:c r="E24" s="465">
        <x:v>21.6</x:v>
      </x:c>
      <x:c r="F24" s="465">
        <x:v>3.24</x:v>
      </x:c>
      <x:c r="G24" s="466">
        <x:v>20.1</x:v>
      </x:c>
      <x:c r="H24" s="465">
        <x:v>2.75</x:v>
      </x:c>
      <x:c r="I24" s="467">
        <x:v>45671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606" t="s">
        <x:v>114</x:v>
      </x:c>
      <x:c r="B25" s="506" t="s">
        <x:v>26</x:v>
      </x:c>
      <x:c r="C25" s="611" t="s">
        <x:v>843</x:v>
      </x:c>
      <x:c r="D25" s="607">
        <x:v>45617</x:v>
      </x:c>
      <x:c r="E25" s="569">
        <x:v>549.476</x:v>
      </x:c>
      <x:c r="F25" s="569">
        <x:v>109.896</x:v>
      </x:c>
      <x:c r="G25" s="466">
        <x:v>481.34</x:v>
      </x:c>
      <x:c r="H25" s="569">
        <x:v>65.94</x:v>
      </x:c>
      <x:c r="I25" s="467">
        <x:v>45665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606" t="s">
        <x:v>84</x:v>
      </x:c>
      <x:c r="B26" s="462" t="s">
        <x:v>26</x:v>
      </x:c>
      <x:c r="C26" s="611" t="s">
        <x:v>844</x:v>
      </x:c>
      <x:c r="D26" s="607">
        <x:v>45621</x:v>
      </x:c>
      <x:c r="E26" s="569">
        <x:v>1069.2</x:v>
      </x:c>
      <x:c r="F26" s="569">
        <x:v>267.3</x:v>
      </x:c>
      <x:c r="G26" s="466">
        <x:v>878.08</x:v>
      </x:c>
      <x:c r="H26" s="569">
        <x:v>120.29</x:v>
      </x:c>
      <x:c r="I26" s="467">
        <x:v>45685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25">
      <x:c r="A27" s="606" t="s">
        <x:v>25</x:v>
      </x:c>
      <x:c r="B27" s="506" t="s">
        <x:v>26</x:v>
      </x:c>
      <x:c r="C27" s="611" t="s">
        <x:v>845</x:v>
      </x:c>
      <x:c r="D27" s="607">
        <x:v>45622</x:v>
      </x:c>
      <x:c r="E27" s="569">
        <x:v>612</x:v>
      </x:c>
      <x:c r="F27" s="569">
        <x:v>122.4</x:v>
      </x:c>
      <x:c r="G27" s="466">
        <x:v>536.11</x:v>
      </x:c>
      <x:c r="H27" s="569">
        <x:v>73.44</x:v>
      </x:c>
      <x:c r="I27" s="467">
        <x:v>45671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25">
      <x:c r="A28" s="606" t="s">
        <x:v>25</x:v>
      </x:c>
      <x:c r="B28" s="506" t="s">
        <x:v>26</x:v>
      </x:c>
      <x:c r="C28" s="611" t="s">
        <x:v>846</x:v>
      </x:c>
      <x:c r="D28" s="607">
        <x:v>45623</x:v>
      </x:c>
      <x:c r="E28" s="569">
        <x:v>102</x:v>
      </x:c>
      <x:c r="F28" s="569">
        <x:v>20.4</x:v>
      </x:c>
      <x:c r="G28" s="466">
        <x:v>89.35</x:v>
      </x:c>
      <x:c r="H28" s="569">
        <x:v>12.24</x:v>
      </x:c>
      <x:c r="I28" s="467">
        <x:v>45671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16" ht="15" customHeight="1" x14ac:dyDescent="0.25">
      <x:c r="A29" s="606" t="s">
        <x:v>67</x:v>
      </x:c>
      <x:c r="B29" s="505" t="s">
        <x:v>26</x:v>
      </x:c>
      <x:c r="C29" s="611" t="s">
        <x:v>847</x:v>
      </x:c>
      <x:c r="D29" s="607">
        <x:v>45624</x:v>
      </x:c>
      <x:c r="E29" s="569">
        <x:v>615.476</x:v>
      </x:c>
      <x:c r="F29" s="569">
        <x:v>123.096</x:v>
      </x:c>
      <x:c r="G29" s="466">
        <x:v>566.24</x:v>
      </x:c>
      <x:c r="H29" s="569">
        <x:v>73.86</x:v>
      </x:c>
      <x:c r="I29" s="467">
        <x:v>45687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25">
      <x:c r="A30" s="606" t="s">
        <x:v>176</x:v>
      </x:c>
      <x:c r="B30" s="573" t="s">
        <x:v>177</x:v>
      </x:c>
      <x:c r="C30" s="611" t="s">
        <x:v>848</x:v>
      </x:c>
      <x:c r="D30" s="607">
        <x:v>45663</x:v>
      </x:c>
      <x:c r="E30" s="569">
        <x:v>102</x:v>
      </x:c>
      <x:c r="F30" s="569">
        <x:v>15.3</x:v>
      </x:c>
      <x:c r="G30" s="466">
        <x:f>99.71</x:f>
      </x:c>
      <x:c r="H30" s="569">
        <x:v>13.01</x:v>
      </x:c>
      <x:c r="I30" s="607">
        <x:v>45664</x:v>
      </x:c>
      <x:c r="J30" s="433">
        <x:f>+E30-F30</x:f>
      </x:c>
      <x:c r="K30" s="468">
        <x:f>+I30-D30</x:f>
      </x:c>
      <x:c r="L30" s="503">
        <x:v>0.04</x:v>
      </x:c>
      <x:c r="M30" s="504">
        <x:f>+J30*L30</x:f>
      </x:c>
      <x:c r="O30" s="432"/>
    </x:row>
    <x:row r="31" spans="1:16" ht="15" customHeight="1" x14ac:dyDescent="0.25">
      <x:c r="A31" s="606" t="s">
        <x:v>52</x:v>
      </x:c>
      <x:c r="B31" s="573" t="s">
        <x:v>53</x:v>
      </x:c>
      <x:c r="C31" s="611" t="s">
        <x:v>849</x:v>
      </x:c>
      <x:c r="D31" s="607">
        <x:v>45665</x:v>
      </x:c>
      <x:c r="E31" s="569">
        <x:v>95.04</x:v>
      </x:c>
      <x:c r="F31" s="569">
        <x:v>19.01</x:v>
      </x:c>
      <x:c r="G31" s="466">
        <x:f>87.43</x:f>
      </x:c>
      <x:c r="H31" s="569">
        <x:v>11.4</x:v>
      </x:c>
      <x:c r="I31" s="607">
        <x:v>45671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16" ht="15" customHeight="1" x14ac:dyDescent="0.25">
      <x:c r="A32" s="487" t="s">
        <x:v>75</x:v>
      </x:c>
      <x:c r="B32" s="573" t="s">
        <x:v>26</x:v>
      </x:c>
      <x:c r="C32" s="462" t="s">
        <x:v>850</x:v>
      </x:c>
      <x:c r="D32" s="492">
        <x:v>45667</x:v>
      </x:c>
      <x:c r="E32" s="610">
        <x:v>70.2</x:v>
      </x:c>
      <x:c r="F32" s="610">
        <x:v>10.53</x:v>
      </x:c>
      <x:c r="G32" s="502">
        <x:f>68.62</x:f>
      </x:c>
      <x:c r="H32" s="610">
        <x:v>8.95</x:v>
      </x:c>
      <x:c r="I32" s="467">
        <x:v>45688</x:v>
      </x:c>
      <x:c r="J32" s="433">
        <x:f>+E32-F32</x:f>
      </x:c>
      <x:c r="K32" s="468">
        <x:f>+I32-D32</x:f>
      </x:c>
      <x:c r="L32" s="503">
        <x:v>0.035</x:v>
      </x:c>
      <x:c r="M32" s="504">
        <x:f>+J32*L32</x:f>
      </x:c>
      <x:c r="O32" s="432"/>
    </x:row>
    <x:row r="33" spans="1:16" ht="15" customHeight="1" x14ac:dyDescent="0.25">
      <x:c r="A33" s="606" t="s">
        <x:v>136</x:v>
      </x:c>
      <x:c r="B33" s="573" t="s">
        <x:v>26</x:v>
      </x:c>
      <x:c r="C33" s="611" t="s">
        <x:v>851</x:v>
      </x:c>
      <x:c r="D33" s="607">
        <x:v>45671</x:v>
      </x:c>
      <x:c r="E33" s="569">
        <x:v>210.12</x:v>
      </x:c>
      <x:c r="F33" s="569">
        <x:v>46.23</x:v>
      </x:c>
      <x:c r="G33" s="466">
        <x:v>179.46</x:v>
      </x:c>
      <x:c r="H33" s="569">
        <x:v>24.58</x:v>
      </x:c>
      <x:c r="I33" s="607">
        <x:v>45686</x:v>
      </x:c>
      <x:c r="J33" s="433">
        <x:f>+E33-F33</x:f>
      </x:c>
      <x:c r="K33" s="468">
        <x:f>+I33-D33</x:f>
      </x:c>
      <x:c r="L33" s="503">
        <x:v>0.035</x:v>
      </x:c>
      <x:c r="M33" s="504">
        <x:f>+J33*L33</x:f>
      </x:c>
      <x:c r="O33" s="432"/>
    </x:row>
    <x:row r="34" spans="1:16" ht="15" customHeight="1" x14ac:dyDescent="0.25">
      <x:c r="A34" s="606" t="s">
        <x:v>127</x:v>
      </x:c>
      <x:c r="B34" s="573" t="s">
        <x:v>26</x:v>
      </x:c>
      <x:c r="C34" s="611" t="s">
        <x:v>852</x:v>
      </x:c>
      <x:c r="D34" s="607">
        <x:v>45671</x:v>
      </x:c>
      <x:c r="E34" s="569">
        <x:v>40.8</x:v>
      </x:c>
      <x:c r="F34" s="569">
        <x:v>8.16</x:v>
      </x:c>
      <x:c r="G34" s="466">
        <x:v>35.74</x:v>
      </x:c>
      <x:c r="H34" s="569">
        <x:v>4.9</x:v>
      </x:c>
      <x:c r="I34" s="467">
        <x:v>45672</x:v>
      </x:c>
      <x:c r="J34" s="433">
        <x:f>+E34-F34</x:f>
      </x:c>
      <x:c r="K34" s="468">
        <x:f>+I34-D34</x:f>
      </x:c>
      <x:c r="L34" s="503">
        <x:v>0.04</x:v>
      </x:c>
      <x:c r="M34" s="504">
        <x:f>+J34*L34</x:f>
      </x:c>
      <x:c r="O34" s="432"/>
    </x:row>
    <x:row r="35" spans="1:16" ht="15" customHeight="1" x14ac:dyDescent="0.25">
      <x:c r="A35" s="606" t="s">
        <x:v>52</x:v>
      </x:c>
      <x:c r="B35" s="573" t="s">
        <x:v>53</x:v>
      </x:c>
      <x:c r="C35" s="611" t="s">
        <x:v>853</x:v>
      </x:c>
      <x:c r="D35" s="607">
        <x:v>45673</x:v>
      </x:c>
      <x:c r="E35" s="569">
        <x:v>629.52</x:v>
      </x:c>
      <x:c r="F35" s="569">
        <x:v>157.38</x:v>
      </x:c>
      <x:c r="G35" s="466">
        <x:f>542.96</x:f>
      </x:c>
      <x:c r="H35" s="615">
        <x:v>70.82</x:v>
      </x:c>
      <x:c r="I35" s="607">
        <x:v>45686</x:v>
      </x:c>
      <x:c r="J35" s="433">
        <x:f>+E35-F35</x:f>
      </x:c>
      <x:c r="K35" s="468">
        <x:f>+I35-D35</x:f>
      </x:c>
      <x:c r="L35" s="503">
        <x:v>0.035</x:v>
      </x:c>
      <x:c r="M35" s="504">
        <x:f>+J35*L35</x:f>
      </x:c>
      <x:c r="O35" s="432"/>
    </x:row>
    <x:row r="36" spans="1:16" ht="15" customHeight="1" x14ac:dyDescent="0.25">
      <x:c r="A36" s="606" t="s">
        <x:v>627</x:v>
      </x:c>
      <x:c r="B36" s="573" t="s">
        <x:v>26</x:v>
      </x:c>
      <x:c r="C36" s="611" t="s">
        <x:v>854</x:v>
      </x:c>
      <x:c r="D36" s="607">
        <x:v>45674</x:v>
      </x:c>
      <x:c r="E36" s="569">
        <x:v>61.2</x:v>
      </x:c>
      <x:c r="F36" s="569">
        <x:v>9.18</x:v>
      </x:c>
      <x:c r="G36" s="466">
        <x:v>59.82</x:v>
      </x:c>
      <x:c r="H36" s="615">
        <x:v>7.8</x:v>
      </x:c>
      <x:c r="I36" s="607">
        <x:v>45680</x:v>
      </x:c>
      <x:c r="J36" s="433">
        <x:f>+E36-F36</x:f>
      </x:c>
      <x:c r="K36" s="468">
        <x:f>+I36-D36</x:f>
      </x:c>
      <x:c r="L36" s="503">
        <x:v>0.035</x:v>
      </x:c>
      <x:c r="M36" s="504">
        <x:f>+J36*L36</x:f>
      </x:c>
      <x:c r="O36" s="432"/>
    </x:row>
    <x:row r="37" spans="1:16" ht="15" customHeight="1" x14ac:dyDescent="0.25">
      <x:c r="A37" s="606" t="s">
        <x:v>127</x:v>
      </x:c>
      <x:c r="B37" s="573" t="s">
        <x:v>26</x:v>
      </x:c>
      <x:c r="C37" s="611" t="s">
        <x:v>855</x:v>
      </x:c>
      <x:c r="D37" s="607">
        <x:v>45677</x:v>
      </x:c>
      <x:c r="E37" s="569">
        <x:v>36.96</x:v>
      </x:c>
      <x:c r="F37" s="569">
        <x:v>5.54</x:v>
      </x:c>
      <x:c r="G37" s="466">
        <x:f>36.13-0.31-1.41-0.01</x:f>
      </x:c>
      <x:c r="H37" s="615">
        <x:v>4.71</x:v>
      </x:c>
      <x:c r="I37" s="607">
        <x:v>45678</x:v>
      </x:c>
      <x:c r="J37" s="433">
        <x:f>+E37-F37</x:f>
      </x:c>
      <x:c r="K37" s="468">
        <x:f>+I37-D37</x:f>
      </x:c>
      <x:c r="L37" s="503">
        <x:v>0.04</x:v>
      </x:c>
      <x:c r="M37" s="504">
        <x:f>+J37*L37</x:f>
      </x:c>
      <x:c r="O37" s="432"/>
    </x:row>
    <x:row r="38" spans="1:16" ht="15" customHeight="1" x14ac:dyDescent="0.25">
      <x:c r="A38" s="606" t="s">
        <x:v>450</x:v>
      </x:c>
      <x:c r="B38" s="573" t="s">
        <x:v>110</x:v>
      </x:c>
      <x:c r="C38" s="611" t="s">
        <x:v>856</x:v>
      </x:c>
      <x:c r="D38" s="607">
        <x:v>45677</x:v>
      </x:c>
      <x:c r="E38" s="569">
        <x:v>28.56</x:v>
      </x:c>
      <x:c r="F38" s="569">
        <x:v>0</x:v>
      </x:c>
      <x:c r="G38" s="466">
        <x:v>32.84</x:v>
      </x:c>
      <x:c r="H38" s="615">
        <x:v>4.28</x:v>
      </x:c>
      <x:c r="I38" s="607">
        <x:v>45678</x:v>
      </x:c>
      <x:c r="J38" s="433">
        <x:f>+E38-F38</x:f>
      </x:c>
      <x:c r="K38" s="468">
        <x:f>+I38-D38</x:f>
      </x:c>
      <x:c r="L38" s="503">
        <x:v>0.04</x:v>
      </x:c>
      <x:c r="M38" s="504">
        <x:f>+J38*L38</x:f>
      </x:c>
      <x:c r="O38" s="432"/>
    </x:row>
    <x:row r="39" spans="1:16" ht="15" customHeight="1" x14ac:dyDescent="0.25">
      <x:c r="A39" s="606" t="s">
        <x:v>114</x:v>
      </x:c>
      <x:c r="B39" s="573" t="s">
        <x:v>26</x:v>
      </x:c>
      <x:c r="C39" s="611" t="s">
        <x:v>857</x:v>
      </x:c>
      <x:c r="D39" s="607">
        <x:v>45677</x:v>
      </x:c>
      <x:c r="E39" s="569">
        <x:v>60.72</x:v>
      </x:c>
      <x:c r="F39" s="569">
        <x:v>9.11</x:v>
      </x:c>
      <x:c r="G39" s="466">
        <x:f>59.35-0.52-2.32</x:f>
      </x:c>
      <x:c r="H39" s="615">
        <x:v>7.74</x:v>
      </x:c>
      <x:c r="I39" s="607">
        <x:v>45678</x:v>
      </x:c>
      <x:c r="J39" s="433">
        <x:f>+E39-F39</x:f>
      </x:c>
      <x:c r="K39" s="468">
        <x:f>+I39-D39</x:f>
      </x:c>
      <x:c r="L39" s="503">
        <x:v>0.04</x:v>
      </x:c>
      <x:c r="M39" s="504">
        <x:f>+J39*L39</x:f>
      </x:c>
      <x:c r="O39" s="432"/>
    </x:row>
    <x:row r="40" spans="1:16" ht="15" customHeight="1" x14ac:dyDescent="0.25">
      <x:c r="A40" s="606" t="s">
        <x:v>267</x:v>
      </x:c>
      <x:c r="B40" s="573" t="s">
        <x:v>26</x:v>
      </x:c>
      <x:c r="C40" s="611" t="s">
        <x:v>858</x:v>
      </x:c>
      <x:c r="D40" s="607">
        <x:v>45678</x:v>
      </x:c>
      <x:c r="E40" s="569">
        <x:v>25.08</x:v>
      </x:c>
      <x:c r="F40" s="569">
        <x:v>1.25</x:v>
      </x:c>
      <x:c r="G40" s="466">
        <x:f>27.4</x:f>
      </x:c>
      <x:c r="H40" s="615">
        <x:v>3.57</x:v>
      </x:c>
      <x:c r="I40" s="607">
        <x:v>45680</x:v>
      </x:c>
      <x:c r="J40" s="433">
        <x:f>+E40-F40</x:f>
      </x:c>
      <x:c r="K40" s="468">
        <x:f>+I40-D40</x:f>
      </x:c>
      <x:c r="L40" s="503">
        <x:v>0.035</x:v>
      </x:c>
      <x:c r="M40" s="504">
        <x:f>+J40*L40</x:f>
      </x:c>
      <x:c r="O40" s="432"/>
    </x:row>
    <x:row r="41" spans="1:16" ht="15" customHeight="1" x14ac:dyDescent="0.25">
      <x:c r="A41" s="606" t="s">
        <x:v>430</x:v>
      </x:c>
      <x:c r="B41" s="573" t="s">
        <x:v>26</x:v>
      </x:c>
      <x:c r="C41" s="611" t="s">
        <x:v>859</x:v>
      </x:c>
      <x:c r="D41" s="607">
        <x:v>45679</x:v>
      </x:c>
      <x:c r="E41" s="569">
        <x:v>40.8</x:v>
      </x:c>
      <x:c r="F41" s="569">
        <x:v>2.04</x:v>
      </x:c>
      <x:c r="G41" s="466">
        <x:f>44.57</x:f>
      </x:c>
      <x:c r="H41" s="615">
        <x:v>5.81</x:v>
      </x:c>
      <x:c r="I41" s="607">
        <x:v>45680</x:v>
      </x:c>
      <x:c r="J41" s="433">
        <x:f>+E41-F41</x:f>
      </x:c>
      <x:c r="K41" s="468">
        <x:f>+I41-D41</x:f>
      </x:c>
      <x:c r="L41" s="503">
        <x:v>0.04</x:v>
      </x:c>
      <x:c r="M41" s="504">
        <x:f>+J41*L41</x:f>
      </x:c>
      <x:c r="O41" s="432"/>
    </x:row>
    <x:row r="42" spans="1:16" ht="15" customHeight="1" x14ac:dyDescent="0.25">
      <x:c r="A42" s="549"/>
      <x:c r="B42" s="543"/>
      <x:c r="C42" s="525"/>
      <x:c r="D42" s="526"/>
      <x:c r="E42" s="527"/>
      <x:c r="F42" s="527"/>
      <x:c r="G42" s="528"/>
      <x:c r="H42" s="527"/>
      <x:c r="I42" s="529"/>
      <x:c r="J42" s="433"/>
      <x:c r="K42" s="468"/>
      <x:c r="L42" s="503"/>
      <x:c r="M42" s="504"/>
      <x:c r="O42" s="432"/>
    </x:row>
    <x:row r="43" spans="1:16" ht="15" customHeight="1" x14ac:dyDescent="0.3">
      <x:c r="G43" s="516">
        <x:f>SUM(G8:G42)</x:f>
      </x:c>
      <x:c r="J43" s="516">
        <x:f>SUM(J8:J42)</x:f>
      </x:c>
      <x:c r="M43" s="516">
        <x:f>SUM(M8:M42)</x:f>
      </x:c>
    </x:row>
    <x:row r="44" spans="1:16" ht="15" customHeight="1" x14ac:dyDescent="0.25">
      <x:c r="G44" s="435"/>
      <x:c r="H44" s="435"/>
    </x:row>
    <x:row r="45" spans="1:16" ht="15" customHeight="1" x14ac:dyDescent="0.25">
      <x:c r="A45" s="517" t="s">
        <x:v>30</x:v>
      </x:c>
      <x:c r="B45" s="517" t="s">
        <x:v>31</x:v>
      </x:c>
      <x:c r="C45" s="518" t="s">
        <x:v>32</x:v>
      </x:c>
      <x:c r="I45" s="435"/>
      <x:c r="J45" s="435"/>
    </x:row>
    <x:row r="46" spans="1:16" ht="15" customHeight="1" s="434" customFormat="1" x14ac:dyDescent="0.25">
      <x:c r="A46" s="487" t="s">
        <x:v>136</x:v>
      </x:c>
      <x:c r="B46" s="487" t="s">
        <x:v>860</x:v>
      </x:c>
      <x:c r="C46" s="462" t="s">
        <x:v>861</x:v>
      </x:c>
      <x:c r="D46" s="492">
        <x:v>45664</x:v>
      </x:c>
      <x:c r="E46" s="490">
        <x:v>912</x:v>
      </x:c>
      <x:c r="F46" s="490">
        <x:v>228</x:v>
      </x:c>
      <x:c r="G46" s="491">
        <x:v>748.98</x:v>
      </x:c>
      <x:c r="H46" s="490">
        <x:v>102.6</x:v>
      </x:c>
      <x:c r="I46" s="492">
        <x:v>45695</x:v>
      </x:c>
      <x:c r="J46" s="433">
        <x:f>+E46-F46</x:f>
      </x:c>
      <x:c r="K46" s="468">
        <x:f>+I46-D46</x:f>
      </x:c>
      <x:c r="L46" s="469">
        <x:v>0.03</x:v>
      </x:c>
      <x:c r="M46" s="433">
        <x:f>+J46*L46</x:f>
      </x:c>
      <x:c r="N46" s="470"/>
      <x:c r="O46" s="432"/>
    </x:row>
    <x:row r="47" spans="1:16" ht="15" customHeight="1" s="434" customFormat="1" x14ac:dyDescent="0.25">
      <x:c r="A47" s="487" t="s">
        <x:v>36</x:v>
      </x:c>
      <x:c r="B47" s="487" t="s">
        <x:v>862</x:v>
      </x:c>
      <x:c r="C47" s="462" t="s">
        <x:v>863</x:v>
      </x:c>
      <x:c r="D47" s="492">
        <x:v>45665</x:v>
      </x:c>
      <x:c r="E47" s="490">
        <x:v>204</x:v>
      </x:c>
      <x:c r="F47" s="490">
        <x:v>51</x:v>
      </x:c>
      <x:c r="G47" s="491">
        <x:v>167.53</x:v>
      </x:c>
      <x:c r="H47" s="490">
        <x:v>22.95</x:v>
      </x:c>
      <x:c r="I47" s="492">
        <x:v>45724</x:v>
      </x:c>
      <x:c r="J47" s="433">
        <x:f>+E47-F47</x:f>
      </x:c>
      <x:c r="K47" s="468">
        <x:f>+I47-D47</x:f>
      </x:c>
      <x:c r="L47" s="469">
        <x:v>0.03</x:v>
      </x:c>
      <x:c r="M47" s="433">
        <x:f>+J47*L47</x:f>
      </x:c>
      <x:c r="N47" s="470"/>
      <x:c r="O47" s="432"/>
    </x:row>
    <x:row r="48" spans="1:16" ht="15" customHeight="1" s="434" customFormat="1" x14ac:dyDescent="0.25">
      <x:c r="A48" s="487" t="s">
        <x:v>118</x:v>
      </x:c>
      <x:c r="B48" s="487" t="s">
        <x:v>864</x:v>
      </x:c>
      <x:c r="C48" s="462" t="s">
        <x:v>865</x:v>
      </x:c>
      <x:c r="D48" s="492">
        <x:v>45665</x:v>
      </x:c>
      <x:c r="E48" s="490">
        <x:v>727.32</x:v>
      </x:c>
      <x:c r="F48" s="490">
        <x:v>160.01</x:v>
      </x:c>
      <x:c r="G48" s="491">
        <x:v>621.21</x:v>
      </x:c>
      <x:c r="H48" s="490">
        <x:v>85.1</x:v>
      </x:c>
      <x:c r="I48" s="492">
        <x:v>45697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  <x:c r="N48" s="470"/>
      <x:c r="O48" s="432"/>
    </x:row>
    <x:row r="49" spans="1:16" ht="15" customHeight="1" s="434" customFormat="1" x14ac:dyDescent="0.25">
      <x:c r="A49" s="487" t="s">
        <x:v>136</x:v>
      </x:c>
      <x:c r="B49" s="487" t="s">
        <x:v>866</x:v>
      </x:c>
      <x:c r="C49" s="462" t="s">
        <x:v>867</x:v>
      </x:c>
      <x:c r="D49" s="492">
        <x:v>45667</x:v>
      </x:c>
      <x:c r="E49" s="490">
        <x:v>489.6</x:v>
      </x:c>
      <x:c r="F49" s="490">
        <x:v>122.4</x:v>
      </x:c>
      <x:c r="G49" s="491">
        <x:v>402.09</x:v>
      </x:c>
      <x:c r="H49" s="490">
        <x:v>55.08</x:v>
      </x:c>
      <x:c r="I49" s="492">
        <x:v>45701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  <x:c r="O49" s="432"/>
    </x:row>
    <x:row r="50" spans="1:16" ht="15" customHeight="1" s="434" customFormat="1" x14ac:dyDescent="0.25">
      <x:c r="A50" s="487" t="s">
        <x:v>170</x:v>
      </x:c>
      <x:c r="B50" s="487" t="s">
        <x:v>868</x:v>
      </x:c>
      <x:c r="C50" s="462" t="s">
        <x:v>869</x:v>
      </x:c>
      <x:c r="D50" s="492">
        <x:v>45670</x:v>
      </x:c>
      <x:c r="E50" s="490">
        <x:v>1079</x:v>
      </x:c>
      <x:c r="F50" s="490">
        <x:v>215.8</x:v>
      </x:c>
      <x:c r="G50" s="491">
        <x:v>992.68</x:v>
      </x:c>
      <x:c r="H50" s="490">
        <x:v>129.48</x:v>
      </x:c>
      <x:c r="I50" s="492">
        <x:v>45703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  <x:c r="O50" s="432"/>
    </x:row>
    <x:row r="51" spans="1:16" ht="15" customHeight="1" s="434" customFormat="1" x14ac:dyDescent="0.25">
      <x:c r="A51" s="487" t="s">
        <x:v>36</x:v>
      </x:c>
      <x:c r="B51" s="487" t="s">
        <x:v>870</x:v>
      </x:c>
      <x:c r="C51" s="462" t="s">
        <x:v>871</x:v>
      </x:c>
      <x:c r="D51" s="492">
        <x:v>45673</x:v>
      </x:c>
      <x:c r="E51" s="490">
        <x:v>414</x:v>
      </x:c>
      <x:c r="F51" s="490">
        <x:v>103.5</x:v>
      </x:c>
      <x:c r="G51" s="491">
        <x:v>340</x:v>
      </x:c>
      <x:c r="H51" s="616">
        <x:v>46.58</x:v>
      </x:c>
      <x:c r="I51" s="492">
        <x:v>45735</x:v>
      </x:c>
      <x:c r="J51" s="433">
        <x:f>+E51-F51</x:f>
      </x:c>
      <x:c r="K51" s="468">
        <x:f>+I51-D51</x:f>
      </x:c>
      <x:c r="L51" s="469">
        <x:v>0.03</x:v>
      </x:c>
      <x:c r="M51" s="433">
        <x:f>+J51*L51</x:f>
      </x:c>
      <x:c r="N51" s="470"/>
      <x:c r="O51" s="432"/>
    </x:row>
    <x:row r="52" spans="1:16" ht="15" customHeight="1" s="434" customFormat="1" x14ac:dyDescent="0.25">
      <x:c r="A52" s="487" t="s">
        <x:v>36</x:v>
      </x:c>
      <x:c r="B52" s="487" t="s">
        <x:v>870</x:v>
      </x:c>
      <x:c r="C52" s="462" t="s">
        <x:v>872</x:v>
      </x:c>
      <x:c r="D52" s="492">
        <x:v>45674</x:v>
      </x:c>
      <x:c r="E52" s="490">
        <x:v>369.6</x:v>
      </x:c>
      <x:c r="F52" s="490">
        <x:v>92.4</x:v>
      </x:c>
      <x:c r="G52" s="491">
        <x:v>303.54</x:v>
      </x:c>
      <x:c r="H52" s="616">
        <x:v>41.58</x:v>
      </x:c>
      <x:c r="I52" s="492">
        <x:v>45735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470"/>
      <x:c r="O52" s="432"/>
    </x:row>
    <x:row r="53" spans="1:16" ht="15" customHeight="1" s="434" customFormat="1" x14ac:dyDescent="0.25">
      <x:c r="A53" s="487" t="s">
        <x:v>70</x:v>
      </x:c>
      <x:c r="B53" s="487" t="s">
        <x:v>873</x:v>
      </x:c>
      <x:c r="C53" s="462" t="s">
        <x:v>874</x:v>
      </x:c>
      <x:c r="D53" s="492">
        <x:v>45677</x:v>
      </x:c>
      <x:c r="E53" s="490">
        <x:v>1491.72</x:v>
      </x:c>
      <x:c r="F53" s="490">
        <x:v>372.93</x:v>
      </x:c>
      <x:c r="G53" s="491">
        <x:v>1225.07</x:v>
      </x:c>
      <x:c r="H53" s="616">
        <x:v>167.82</x:v>
      </x:c>
      <x:c r="I53" s="492">
        <x:v>45728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16" ht="15" customHeight="1" s="434" customFormat="1" x14ac:dyDescent="0.25">
      <x:c r="A54" s="487" t="s">
        <x:v>36</x:v>
      </x:c>
      <x:c r="B54" s="487" t="s">
        <x:v>875</x:v>
      </x:c>
      <x:c r="C54" s="462" t="s">
        <x:v>876</x:v>
      </x:c>
      <x:c r="D54" s="492">
        <x:v>45685</x:v>
      </x:c>
      <x:c r="E54" s="490">
        <x:v>369.6</x:v>
      </x:c>
      <x:c r="F54" s="490">
        <x:v>92.4</x:v>
      </x:c>
      <x:c r="G54" s="491">
        <x:v>303.54</x:v>
      </x:c>
      <x:c r="H54" s="616">
        <x:v>41.58</x:v>
      </x:c>
      <x:c r="I54" s="492">
        <x:v>45746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16" ht="15" customHeight="1" s="434" customFormat="1" x14ac:dyDescent="0.25">
      <x:c r="A55" s="487" t="s">
        <x:v>75</x:v>
      </x:c>
      <x:c r="B55" s="487" t="s">
        <x:v>877</x:v>
      </x:c>
      <x:c r="C55" s="462" t="s">
        <x:v>878</x:v>
      </x:c>
      <x:c r="D55" s="492">
        <x:v>45687</x:v>
      </x:c>
      <x:c r="E55" s="490">
        <x:v>151.8</x:v>
      </x:c>
      <x:c r="F55" s="490">
        <x:v>22.77</x:v>
      </x:c>
      <x:c r="G55" s="491">
        <x:v>148.38</x:v>
      </x:c>
      <x:c r="H55" s="616">
        <x:v>19.35</x:v>
      </x:c>
      <x:c r="I55" s="492">
        <x:v>45721</x:v>
      </x:c>
      <x:c r="J55" s="433">
        <x:f>+E55-F55</x:f>
      </x:c>
      <x:c r="K55" s="468">
        <x:f>+I55-D55</x:f>
      </x:c>
      <x:c r="L55" s="469">
        <x:v>0.03</x:v>
      </x:c>
      <x:c r="M55" s="433">
        <x:f>+J55*L55</x:f>
      </x:c>
      <x:c r="N55" s="470"/>
      <x:c r="O55" s="432"/>
    </x:row>
    <x:row r="56" spans="1:16" ht="15" customHeight="1" s="432" customFormat="1" x14ac:dyDescent="0.3">
      <x:c r="A56" s="558"/>
      <x:c r="B56" s="559"/>
      <x:c r="C56" s="560"/>
      <x:c r="D56" s="561"/>
      <x:c r="E56" s="562"/>
      <x:c r="F56" s="562"/>
      <x:c r="G56" s="491"/>
      <x:c r="H56" s="490"/>
      <x:c r="I56" s="492"/>
      <x:c r="J56" s="433"/>
      <x:c r="K56" s="468"/>
      <x:c r="L56" s="469"/>
      <x:c r="M56" s="563"/>
      <x:c r="N56" s="470"/>
    </x:row>
    <x:row r="57" spans="1:16" ht="15" customHeight="1" x14ac:dyDescent="0.35">
      <x:c r="A57" s="493" t="s">
        <x:v>43</x:v>
      </x:c>
      <x:c r="B57" s="493"/>
      <x:c r="C57" s="493"/>
      <x:c r="D57" s="493"/>
      <x:c r="E57" s="493"/>
      <x:c r="F57" s="493"/>
      <x:c r="G57" s="516">
        <x:f>SUM(G43:G56)</x:f>
      </x:c>
      <x:c r="J57" s="516">
        <x:f>SUM(J43:J56)</x:f>
      </x:c>
      <x:c r="L57" s="495"/>
      <x:c r="M57" s="564">
        <x:f>SUM(M43:M56)</x:f>
      </x:c>
    </x:row>
    <x:row r="58" spans="1:16" ht="15" customHeight="1" x14ac:dyDescent="0.3">
      <x:c r="A58" s="520"/>
      <x:c r="G58" s="435"/>
      <x:c r="P58" s="435">
        <x:f>'COM.DIC.2024'!M58+'COM.ENE.2025'!M57</x:f>
      </x:c>
    </x:row>
    <x:row r="59" spans="1:16" ht="15" customHeight="1" x14ac:dyDescent="0.3">
      <x:c r="A59" s="499"/>
      <x:c r="G59" s="435"/>
      <x:c r="J59" s="435"/>
    </x:row>
    <x:row r="60" spans="1:16" ht="15" customHeight="1" x14ac:dyDescent="0.3">
      <x:c r="A60" s="499"/>
      <x:c r="G60" s="435"/>
      <x:c r="J60" s="435"/>
    </x:row>
    <x:row r="61" spans="1:16" ht="15" customHeight="1" x14ac:dyDescent="0.3">
      <x:c r="A61" s="499"/>
      <x:c r="G61" s="435"/>
      <x:c r="J61" s="435">
        <x:f>J57*2%</x:f>
      </x:c>
      <x:c r="M61" s="565">
        <x:f>M57/12</x:f>
      </x:c>
      <x:c r="N61" s="431" t="s">
        <x:v>238</x:v>
      </x:c>
    </x:row>
    <x:row r="62" spans="1:16" ht="15" customHeight="1" x14ac:dyDescent="0.3">
      <x:c r="A62" s="499"/>
      <x:c r="G62" s="435"/>
      <x:c r="J62" s="565">
        <x:f>J61/12</x:f>
      </x:c>
      <x:c r="K62" s="429" t="s">
        <x:v>655</x:v>
      </x:c>
      <x:c r="M62" s="565">
        <x:f>M57/24</x:f>
      </x:c>
      <x:c r="N62" s="431" t="s">
        <x:v>238</x:v>
      </x:c>
    </x:row>
    <x:row r="63" spans="1:16" ht="15" customHeight="1" x14ac:dyDescent="0.3">
      <x:c r="A63" s="499"/>
      <x:c r="G63" s="435"/>
      <x:c r="J63" s="565">
        <x:f>J61/24</x:f>
      </x:c>
      <x:c r="K63" s="429" t="s">
        <x:v>655</x:v>
      </x:c>
    </x:row>
    <x:row r="64" spans="1:16" ht="15" customHeight="1" x14ac:dyDescent="0.3">
      <x:c r="A64" s="499"/>
      <x:c r="G64" s="435"/>
      <x:c r="J64" s="435"/>
      <x:c r="M64" s="435"/>
    </x:row>
    <x:row r="65" spans="1:16" ht="15" customHeight="1" x14ac:dyDescent="0.3">
      <x:c r="A65" s="499"/>
      <x:c r="G65" s="435"/>
      <x:c r="J65" s="435"/>
      <x:c r="M65" s="435"/>
    </x:row>
    <x:row r="66" spans="1:16" ht="15" customHeight="1" x14ac:dyDescent="0.3">
      <x:c r="A66" s="499"/>
      <x:c r="G66" s="435"/>
      <x:c r="J66" s="435"/>
      <x:c r="M66" s="435"/>
      <x:c r="O66" s="435"/>
    </x:row>
    <x:row r="67" spans="1:16" ht="15" customHeight="1" x14ac:dyDescent="0.3">
      <x:c r="A67" s="499"/>
      <x:c r="G67" s="435"/>
      <x:c r="J67" s="435"/>
      <x:c r="M67" s="435"/>
      <x:c r="O67" s="435"/>
    </x:row>
    <x:row r="68" spans="1:16" ht="15" customHeight="1" x14ac:dyDescent="0.3">
      <x:c r="A68" s="499"/>
      <x:c r="G68" s="435"/>
      <x:c r="J68" s="435"/>
      <x:c r="M68" s="435"/>
    </x:row>
    <x:row r="69" spans="1:16" ht="15" customHeight="1" x14ac:dyDescent="0.3">
      <x:c r="A69" s="499"/>
      <x:c r="G69" s="435"/>
      <x:c r="J69" s="435"/>
    </x:row>
    <x:row r="70" spans="1:16" ht="15" customHeight="1" x14ac:dyDescent="0.3">
      <x:c r="A70" s="499"/>
      <x:c r="G70" s="435"/>
      <x:c r="J70" s="435"/>
    </x:row>
    <x:row r="71" spans="1:16" ht="15" customHeight="1" x14ac:dyDescent="0.3">
      <x:c r="A71" s="499"/>
      <x:c r="G71" s="435"/>
      <x:c r="J71" s="435"/>
    </x:row>
    <x:row r="72" spans="1:16" ht="15" customHeight="1" x14ac:dyDescent="0.3">
      <x:c r="A72" s="499"/>
      <x:c r="G72" s="435"/>
      <x:c r="J72" s="435"/>
    </x:row>
    <x:row r="73" spans="1:16" ht="15" customHeight="1" x14ac:dyDescent="0.3">
      <x:c r="A73" s="499"/>
      <x:c r="G73" s="435"/>
      <x:c r="J73" s="435"/>
    </x:row>
    <x:row r="74" spans="1:16" ht="15" customHeight="1" x14ac:dyDescent="0.3">
      <x:c r="A74" s="520"/>
      <x:c r="J74" s="515"/>
      <x:c r="K74" s="515"/>
    </x:row>
  </x:sheetData>
  <x:sortState xmlns:xlrd2="http://schemas.microsoft.com/office/spreadsheetml/2017/richdata2" ref="A8:O44">
    <x:sortCondition ref="C8:C44"/>
  </x:sortState>
  <x:mergeCells count="2">
    <x:mergeCell ref="A3:F3"/>
    <x:mergeCell ref="A57:F57"/>
  </x:mergeCells>
  <x:printOptions horizontalCentered="0" verticalCentered="0" headings="0" gridLines="0"/>
  <x:pageMargins left="0.3937007874015748" right="0" top="0.1968503937007874" bottom="0" header="0" footer="0"/>
  <x:pageSetup paperSize="9" scale="68" pageOrder="downThenOver" orientation="landscape" blackAndWhite="0" draft="0" cellComments="none" errors="displayed" r:id="rId1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O65"/>
  <x:sheetViews>
    <x:sheetView topLeftCell="I41" workbookViewId="0">
      <x:selection activeCell="J49" sqref="J49 J49:N54"/>
    </x:sheetView>
  </x:sheetViews>
  <x:sheetFormatPr baseColWidth="10" defaultColWidth="11.441406" defaultRowHeight="13.2" x14ac:dyDescent="0.25"/>
  <x:cols>
    <x:col min="1" max="1" width="43.886719" style="429" customWidth="1"/>
    <x:col min="2" max="2" width="15.441406" style="429" customWidth="1"/>
    <x:col min="3" max="3" width="26" style="497" customWidth="1"/>
    <x:col min="4" max="4" width="12.109375" style="498" customWidth="1"/>
    <x:col min="5" max="5" width="12.664062" style="429" customWidth="1"/>
    <x:col min="6" max="6" width="9.441406" style="429" customWidth="1"/>
    <x:col min="7" max="7" width="11.886719" style="429" customWidth="1"/>
    <x:col min="8" max="8" width="8.886719" style="429" customWidth="1"/>
    <x:col min="9" max="9" width="11.886719" style="430" customWidth="1"/>
    <x:col min="10" max="10" width="12.554688" style="429" customWidth="1"/>
    <x:col min="11" max="11" width="8.886719" style="429" customWidth="1"/>
    <x:col min="12" max="12" width="6.441406" style="429" customWidth="1"/>
    <x:col min="13" max="13" width="10.332031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439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439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879</x:v>
      </x:c>
      <x:c r="C4" s="436"/>
      <x:c r="D4" s="445"/>
      <x:c r="E4" s="436"/>
      <x:c r="F4" s="436"/>
      <x:c r="G4" s="437"/>
      <x:c r="H4" s="438"/>
      <x:c r="I4" s="439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6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617"/>
      <x:c r="E6" s="441"/>
      <x:c r="F6" s="441"/>
      <x:c r="G6" s="448" t="s">
        <x:v>5</x:v>
      </x:c>
      <x:c r="H6" s="441"/>
      <x:c r="I6" s="439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457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461" t="s">
        <x:v>400</x:v>
      </x:c>
      <x:c r="B8" s="462" t="s">
        <x:v>401</x:v>
      </x:c>
      <x:c r="C8" s="618" t="s">
        <x:v>402</x:v>
      </x:c>
      <x:c r="D8" s="464">
        <x:v>45374</x:v>
      </x:c>
      <x:c r="E8" s="465">
        <x:v>240</x:v>
      </x:c>
      <x:c r="F8" s="465">
        <x:v>36</x:v>
      </x:c>
      <x:c r="G8" s="466">
        <x:v>34.1</x:v>
      </x:c>
      <x:c r="H8" s="465">
        <x:v>24.48</x:v>
      </x:c>
      <x:c r="I8" s="619">
        <x:v>45706</x:v>
      </x:c>
      <x:c r="J8" s="433">
        <x:f>34.1/1.15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461" t="s">
        <x:v>400</x:v>
      </x:c>
      <x:c r="B9" s="462" t="s">
        <x:v>401</x:v>
      </x:c>
      <x:c r="C9" s="618" t="s">
        <x:v>880</x:v>
      </x:c>
      <x:c r="D9" s="464">
        <x:v>45441</x:v>
      </x:c>
      <x:c r="E9" s="465">
        <x:v>79.2</x:v>
      </x:c>
      <x:c r="F9" s="465">
        <x:v>11.88</x:v>
      </x:c>
      <x:c r="G9" s="466">
        <x:v>77.42</x:v>
      </x:c>
      <x:c r="H9" s="465">
        <x:v>10.1</x:v>
      </x:c>
      <x:c r="I9" s="492">
        <x:v>45706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461" t="s">
        <x:v>491</x:v>
      </x:c>
      <x:c r="B10" s="505" t="s">
        <x:v>492</x:v>
      </x:c>
      <x:c r="C10" s="618" t="s">
        <x:v>776</x:v>
      </x:c>
      <x:c r="D10" s="464">
        <x:v>45482</x:v>
      </x:c>
      <x:c r="E10" s="465">
        <x:v>1380</x:v>
      </x:c>
      <x:c r="F10" s="465">
        <x:v>345</x:v>
      </x:c>
      <x:c r="G10" s="466">
        <x:v>345.06</x:v>
      </x:c>
      <x:c r="H10" s="465">
        <x:v>155.25</x:v>
      </x:c>
      <x:c r="I10" s="620">
        <x:v>45542</x:v>
      </x:c>
      <x:c r="J10" s="433">
        <x:f>345.06/1.15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461" t="s">
        <x:v>491</x:v>
      </x:c>
      <x:c r="B11" s="505" t="s">
        <x:v>492</x:v>
      </x:c>
      <x:c r="C11" s="618" t="s">
        <x:v>881</x:v>
      </x:c>
      <x:c r="D11" s="464">
        <x:v>45524</x:v>
      </x:c>
      <x:c r="E11" s="465">
        <x:v>102</x:v>
      </x:c>
      <x:c r="F11" s="465">
        <x:v>20.4</x:v>
      </x:c>
      <x:c r="G11" s="466">
        <x:v>54.94</x:v>
      </x:c>
      <x:c r="H11" s="465">
        <x:v>12.24</x:v>
      </x:c>
      <x:c r="I11" s="467">
        <x:v>45554</x:v>
      </x:c>
      <x:c r="J11" s="433">
        <x:f>54.94/1.15</x:f>
      </x:c>
      <x:c r="K11" s="468">
        <x:f>+I11-D11</x:f>
      </x:c>
      <x:c r="L11" s="503">
        <x:v>0.035</x:v>
      </x:c>
      <x:c r="M11" s="504">
        <x:f>+J11*L11</x:f>
      </x:c>
      <x:c r="O11" s="432"/>
    </x:row>
    <x:row r="12" spans="1:16" ht="15" customHeight="1" x14ac:dyDescent="0.25">
      <x:c r="A12" s="461" t="s">
        <x:v>422</x:v>
      </x:c>
      <x:c r="B12" s="573" t="s">
        <x:v>463</x:v>
      </x:c>
      <x:c r="C12" s="618" t="s">
        <x:v>882</x:v>
      </x:c>
      <x:c r="D12" s="464">
        <x:v>45561</x:v>
      </x:c>
      <x:c r="E12" s="465">
        <x:v>221.64</x:v>
      </x:c>
      <x:c r="F12" s="465">
        <x:v>33.25</x:v>
      </x:c>
      <x:c r="G12" s="466">
        <x:v>216.65</x:v>
      </x:c>
      <x:c r="H12" s="465">
        <x:v>28.26</x:v>
      </x:c>
      <x:c r="I12" s="467">
        <x:v>45706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606" t="s">
        <x:v>64</x:v>
      </x:c>
      <x:c r="B13" s="506" t="s">
        <x:v>26</x:v>
      </x:c>
      <x:c r="C13" s="611" t="s">
        <x:v>883</x:v>
      </x:c>
      <x:c r="D13" s="607">
        <x:v>45616</x:v>
      </x:c>
      <x:c r="E13" s="569">
        <x:v>53.4</x:v>
      </x:c>
      <x:c r="F13" s="569">
        <x:v>8.01</x:v>
      </x:c>
      <x:c r="G13" s="466">
        <x:v>52.2</x:v>
      </x:c>
      <x:c r="H13" s="569">
        <x:v>6.81</x:v>
      </x:c>
      <x:c r="I13" s="467">
        <x:v>45716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606" t="s">
        <x:v>49</x:v>
      </x:c>
      <x:c r="B14" s="506" t="s">
        <x:v>26</x:v>
      </x:c>
      <x:c r="C14" s="611" t="s">
        <x:v>884</x:v>
      </x:c>
      <x:c r="D14" s="607">
        <x:v>45617</x:v>
      </x:c>
      <x:c r="E14" s="569">
        <x:v>134.5525</x:v>
      </x:c>
      <x:c r="F14" s="569">
        <x:v>20.1825</x:v>
      </x:c>
      <x:c r="G14" s="466">
        <x:v>125.24</x:v>
      </x:c>
      <x:c r="H14" s="569">
        <x:v>17.16</x:v>
      </x:c>
      <x:c r="I14" s="467">
        <x:v>45702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606" t="s">
        <x:v>49</x:v>
      </x:c>
      <x:c r="B15" s="506" t="s">
        <x:v>26</x:v>
      </x:c>
      <x:c r="C15" s="611" t="s">
        <x:v>885</x:v>
      </x:c>
      <x:c r="D15" s="607">
        <x:v>45622</x:v>
      </x:c>
      <x:c r="E15" s="569">
        <x:v>374.4</x:v>
      </x:c>
      <x:c r="F15" s="569">
        <x:v>56.16</x:v>
      </x:c>
      <x:c r="G15" s="466">
        <x:v>348.48</x:v>
      </x:c>
      <x:c r="H15" s="569">
        <x:v>47.74</x:v>
      </x:c>
      <x:c r="I15" s="467">
        <x:v>45706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606" t="s">
        <x:v>49</x:v>
      </x:c>
      <x:c r="B16" s="506" t="s">
        <x:v>26</x:v>
      </x:c>
      <x:c r="C16" s="611" t="s">
        <x:v>886</x:v>
      </x:c>
      <x:c r="D16" s="607">
        <x:v>45622</x:v>
      </x:c>
      <x:c r="E16" s="569">
        <x:v>108.364</x:v>
      </x:c>
      <x:c r="F16" s="569">
        <x:v>16.254</x:v>
      </x:c>
      <x:c r="G16" s="466">
        <x:v>100.86</x:v>
      </x:c>
      <x:c r="H16" s="569">
        <x:v>13.82</x:v>
      </x:c>
      <x:c r="I16" s="467">
        <x:v>45702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606" t="s">
        <x:v>49</x:v>
      </x:c>
      <x:c r="B17" s="506" t="s">
        <x:v>26</x:v>
      </x:c>
      <x:c r="C17" s="611" t="s">
        <x:v>887</x:v>
      </x:c>
      <x:c r="D17" s="607">
        <x:v>45629</x:v>
      </x:c>
      <x:c r="E17" s="569">
        <x:v>89.64</x:v>
      </x:c>
      <x:c r="F17" s="569">
        <x:v>0</x:v>
      </x:c>
      <x:c r="G17" s="466">
        <x:v>98.15</x:v>
      </x:c>
      <x:c r="H17" s="569">
        <x:v>13.45</x:v>
      </x:c>
      <x:c r="I17" s="467">
        <x:v>45702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606" t="s">
        <x:v>49</x:v>
      </x:c>
      <x:c r="B18" s="573" t="s">
        <x:v>26</x:v>
      </x:c>
      <x:c r="C18" s="611" t="s">
        <x:v>888</x:v>
      </x:c>
      <x:c r="D18" s="607">
        <x:v>45632</x:v>
      </x:c>
      <x:c r="E18" s="569">
        <x:v>301.92</x:v>
      </x:c>
      <x:c r="F18" s="569">
        <x:v>45.29</x:v>
      </x:c>
      <x:c r="G18" s="466">
        <x:v>281</x:v>
      </x:c>
      <x:c r="H18" s="569">
        <x:v>38.49</x:v>
      </x:c>
      <x:c r="I18" s="467">
        <x:v>45702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606" t="s">
        <x:v>49</x:v>
      </x:c>
      <x:c r="B19" s="573" t="s">
        <x:v>26</x:v>
      </x:c>
      <x:c r="C19" s="611" t="s">
        <x:v>889</x:v>
      </x:c>
      <x:c r="D19" s="607">
        <x:v>45638</x:v>
      </x:c>
      <x:c r="E19" s="569">
        <x:v>59.04</x:v>
      </x:c>
      <x:c r="F19" s="569">
        <x:v>0</x:v>
      </x:c>
      <x:c r="G19" s="466">
        <x:v>64.65</x:v>
      </x:c>
      <x:c r="H19" s="569">
        <x:v>8.86</x:v>
      </x:c>
      <x:c r="I19" s="467">
        <x:v>45702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606" t="s">
        <x:v>114</x:v>
      </x:c>
      <x:c r="B20" s="573" t="s">
        <x:v>26</x:v>
      </x:c>
      <x:c r="C20" s="611" t="s">
        <x:v>890</x:v>
      </x:c>
      <x:c r="D20" s="607">
        <x:v>45638</x:v>
      </x:c>
      <x:c r="E20" s="569">
        <x:v>206.16</x:v>
      </x:c>
      <x:c r="F20" s="569">
        <x:v>41.23</x:v>
      </x:c>
      <x:c r="G20" s="466">
        <x:v>180.6</x:v>
      </x:c>
      <x:c r="H20" s="569">
        <x:v>24.74</x:v>
      </x:c>
      <x:c r="I20" s="467">
        <x:v>45693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606" t="s">
        <x:v>64</x:v>
      </x:c>
      <x:c r="B21" s="573" t="s">
        <x:v>26</x:v>
      </x:c>
      <x:c r="C21" s="611" t="s">
        <x:v>891</x:v>
      </x:c>
      <x:c r="D21" s="607">
        <x:v>45643</x:v>
      </x:c>
      <x:c r="E21" s="569">
        <x:v>114</x:v>
      </x:c>
      <x:c r="F21" s="569">
        <x:v>17.1</x:v>
      </x:c>
      <x:c r="G21" s="466">
        <x:v>111.44</x:v>
      </x:c>
      <x:c r="H21" s="569">
        <x:v>14.54</x:v>
      </x:c>
      <x:c r="I21" s="467">
        <x:v>45716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606" t="s">
        <x:v>114</x:v>
      </x:c>
      <x:c r="B22" s="573" t="s">
        <x:v>26</x:v>
      </x:c>
      <x:c r="C22" s="611" t="s">
        <x:v>892</x:v>
      </x:c>
      <x:c r="D22" s="607">
        <x:v>45643</x:v>
      </x:c>
      <x:c r="E22" s="569">
        <x:v>285.6</x:v>
      </x:c>
      <x:c r="F22" s="569">
        <x:v>57.12</x:v>
      </x:c>
      <x:c r="G22" s="466">
        <x:v>250.19</x:v>
      </x:c>
      <x:c r="H22" s="569">
        <x:v>34.27</x:v>
      </x:c>
      <x:c r="I22" s="467">
        <x:v>45693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606" t="s">
        <x:v>287</x:v>
      </x:c>
      <x:c r="B23" s="573" t="s">
        <x:v>288</x:v>
      </x:c>
      <x:c r="C23" s="611" t="s">
        <x:v>893</x:v>
      </x:c>
      <x:c r="D23" s="607">
        <x:v>45653</x:v>
      </x:c>
      <x:c r="E23" s="569">
        <x:v>69.6</x:v>
      </x:c>
      <x:c r="F23" s="569">
        <x:v>10.44</x:v>
      </x:c>
      <x:c r="G23" s="466">
        <x:v>68.03</x:v>
      </x:c>
      <x:c r="H23" s="569">
        <x:v>8.87</x:v>
      </x:c>
      <x:c r="I23" s="467">
        <x:v>45693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606" t="s">
        <x:v>296</x:v>
      </x:c>
      <x:c r="B24" s="573" t="s">
        <x:v>26</x:v>
      </x:c>
      <x:c r="C24" s="611" t="s">
        <x:v>894</x:v>
      </x:c>
      <x:c r="D24" s="607">
        <x:v>45671</x:v>
      </x:c>
      <x:c r="E24" s="569">
        <x:v>140.4</x:v>
      </x:c>
      <x:c r="F24" s="569">
        <x:v>21.06</x:v>
      </x:c>
      <x:c r="G24" s="466">
        <x:v>130.68</x:v>
      </x:c>
      <x:c r="H24" s="569">
        <x:v>17.9</x:v>
      </x:c>
      <x:c r="I24" s="467">
        <x:v>45716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606" t="s">
        <x:v>697</x:v>
      </x:c>
      <x:c r="B25" s="505" t="s">
        <x:v>53</x:v>
      </x:c>
      <x:c r="C25" s="611" t="s">
        <x:v>895</x:v>
      </x:c>
      <x:c r="D25" s="607">
        <x:v>45681</x:v>
      </x:c>
      <x:c r="E25" s="569">
        <x:v>1218.6</x:v>
      </x:c>
      <x:c r="F25" s="569">
        <x:v>304.65</x:v>
      </x:c>
      <x:c r="G25" s="466">
        <x:v>1051.04</x:v>
      </x:c>
      <x:c r="H25" s="615">
        <x:v>137.09</x:v>
      </x:c>
      <x:c r="I25" s="607">
        <x:v>45695</x:v>
      </x:c>
      <x:c r="J25" s="433">
        <x:f>+E25-F25</x:f>
      </x:c>
      <x:c r="K25" s="468">
        <x:f>+I25-D25</x:f>
      </x:c>
      <x:c r="L25" s="503">
        <x:v>0.035</x:v>
      </x:c>
      <x:c r="M25" s="504">
        <x:f>+J25*L25</x:f>
      </x:c>
      <x:c r="O25" s="432"/>
    </x:row>
    <x:row r="26" spans="1:16" ht="15" customHeight="1" x14ac:dyDescent="0.25">
      <x:c r="A26" s="606" t="s">
        <x:v>52</x:v>
      </x:c>
      <x:c r="B26" s="505" t="s">
        <x:v>53</x:v>
      </x:c>
      <x:c r="C26" s="611" t="s">
        <x:v>896</x:v>
      </x:c>
      <x:c r="D26" s="607">
        <x:v>45685</x:v>
      </x:c>
      <x:c r="E26" s="569">
        <x:v>693.12</x:v>
      </x:c>
      <x:c r="F26" s="569">
        <x:v>173.28</x:v>
      </x:c>
      <x:c r="G26" s="466">
        <x:v>597.82</x:v>
      </x:c>
      <x:c r="H26" s="615">
        <x:v>77.98</x:v>
      </x:c>
      <x:c r="I26" s="607">
        <x:v>45693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25">
      <x:c r="A27" s="606" t="s">
        <x:v>225</x:v>
      </x:c>
      <x:c r="B27" s="573" t="s">
        <x:v>105</x:v>
      </x:c>
      <x:c r="C27" s="611" t="s">
        <x:v>897</x:v>
      </x:c>
      <x:c r="D27" s="607">
        <x:v>45691</x:v>
      </x:c>
      <x:c r="E27" s="569">
        <x:v>1043.76</x:v>
      </x:c>
      <x:c r="F27" s="569">
        <x:v>260.94</x:v>
      </x:c>
      <x:c r="G27" s="466">
        <x:v>851.31</x:v>
      </x:c>
      <x:c r="H27" s="615">
        <x:v>117.42</x:v>
      </x:c>
      <x:c r="I27" s="607">
        <x:v>45694</x:v>
      </x:c>
      <x:c r="J27" s="433">
        <x:f>+E27-F27</x:f>
      </x:c>
      <x:c r="K27" s="468">
        <x:f>+I27-D27</x:f>
      </x:c>
      <x:c r="L27" s="503">
        <x:v>0.04</x:v>
      </x:c>
      <x:c r="M27" s="504">
        <x:f>+J27*L27</x:f>
      </x:c>
      <x:c r="O27" s="432"/>
    </x:row>
    <x:row r="28" spans="1:16" ht="15" customHeight="1" x14ac:dyDescent="0.25">
      <x:c r="A28" s="606" t="s">
        <x:v>898</x:v>
      </x:c>
      <x:c r="B28" s="573" t="s">
        <x:v>899</x:v>
      </x:c>
      <x:c r="C28" s="611" t="s">
        <x:v>900</x:v>
      </x:c>
      <x:c r="D28" s="607">
        <x:v>45691</x:v>
      </x:c>
      <x:c r="E28" s="569">
        <x:v>176.76</x:v>
      </x:c>
      <x:c r="F28" s="569">
        <x:v>26.51</x:v>
      </x:c>
      <x:c r="G28" s="466">
        <x:v>172.79</x:v>
      </x:c>
      <x:c r="H28" s="615">
        <x:v>22.54</x:v>
      </x:c>
      <x:c r="I28" s="607">
        <x:v>45695</x:v>
      </x:c>
      <x:c r="J28" s="433">
        <x:f>+E28-F28</x:f>
      </x:c>
      <x:c r="K28" s="468">
        <x:f>+I28-D28</x:f>
      </x:c>
      <x:c r="L28" s="503">
        <x:v>0.04</x:v>
      </x:c>
      <x:c r="M28" s="504">
        <x:f>+J28*L28</x:f>
      </x:c>
      <x:c r="O28" s="432"/>
    </x:row>
    <x:row r="29" spans="1:16" ht="15" customHeight="1" x14ac:dyDescent="0.25">
      <x:c r="A29" s="606" t="s">
        <x:v>136</x:v>
      </x:c>
      <x:c r="B29" s="573" t="s">
        <x:v>26</x:v>
      </x:c>
      <x:c r="C29" s="611" t="s">
        <x:v>901</x:v>
      </x:c>
      <x:c r="D29" s="607">
        <x:v>45693</x:v>
      </x:c>
      <x:c r="E29" s="569">
        <x:v>46.8</x:v>
      </x:c>
      <x:c r="F29" s="569">
        <x:v>7.02</x:v>
      </x:c>
      <x:c r="G29" s="466">
        <x:v>43.56</x:v>
      </x:c>
      <x:c r="H29" s="615">
        <x:v>5.97</x:v>
      </x:c>
      <x:c r="I29" s="607">
        <x:v>45695</x:v>
      </x:c>
      <x:c r="J29" s="433">
        <x:f>+E29-F29</x:f>
      </x:c>
      <x:c r="K29" s="468">
        <x:f>+I29-D29</x:f>
      </x:c>
      <x:c r="L29" s="503">
        <x:v>0.04</x:v>
      </x:c>
      <x:c r="M29" s="504">
        <x:f>+J29*L29</x:f>
      </x:c>
      <x:c r="O29" s="432"/>
    </x:row>
    <x:row r="30" spans="1:16" ht="15" customHeight="1" x14ac:dyDescent="0.25">
      <x:c r="A30" s="606" t="s">
        <x:v>114</x:v>
      </x:c>
      <x:c r="B30" s="573" t="s">
        <x:v>26</x:v>
      </x:c>
      <x:c r="C30" s="611" t="s">
        <x:v>902</x:v>
      </x:c>
      <x:c r="D30" s="607">
        <x:v>45706</x:v>
      </x:c>
      <x:c r="E30" s="569">
        <x:v>30.36</x:v>
      </x:c>
      <x:c r="F30" s="569">
        <x:v>4.55</x:v>
      </x:c>
      <x:c r="G30" s="466">
        <x:v>28.26</x:v>
      </x:c>
      <x:c r="H30" s="621">
        <x:v>3.87</x:v>
      </x:c>
      <x:c r="I30" s="467">
        <x:v>45712</x:v>
      </x:c>
      <x:c r="J30" s="433">
        <x:f>+E30-F30</x:f>
      </x:c>
      <x:c r="K30" s="468">
        <x:f>+I30-D30</x:f>
      </x:c>
      <x:c r="L30" s="503">
        <x:v>0.035</x:v>
      </x:c>
      <x:c r="M30" s="504">
        <x:f>+J30*L30</x:f>
      </x:c>
      <x:c r="O30" s="432"/>
    </x:row>
    <x:row r="31" spans="1:16" ht="15" customHeight="1" x14ac:dyDescent="0.25">
      <x:c r="A31" s="606" t="s">
        <x:v>167</x:v>
      </x:c>
      <x:c r="B31" s="573" t="s">
        <x:v>26</x:v>
      </x:c>
      <x:c r="C31" s="611" t="s">
        <x:v>903</x:v>
      </x:c>
      <x:c r="D31" s="607">
        <x:v>45713</x:v>
      </x:c>
      <x:c r="E31" s="569">
        <x:v>70.2</x:v>
      </x:c>
      <x:c r="F31" s="569">
        <x:v>14.04</x:v>
      </x:c>
      <x:c r="G31" s="466">
        <x:v>64.58</x:v>
      </x:c>
      <x:c r="H31" s="621">
        <x:v>8.42</x:v>
      </x:c>
      <x:c r="I31" s="467">
        <x:v>45713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16" ht="15" customHeight="1" x14ac:dyDescent="0.25">
      <x:c r="A32" s="606" t="s">
        <x:v>904</x:v>
      </x:c>
      <x:c r="B32" s="573" t="s">
        <x:v>478</x:v>
      </x:c>
      <x:c r="C32" s="611" t="s">
        <x:v>905</x:v>
      </x:c>
      <x:c r="D32" s="622">
        <x:v>45716</x:v>
      </x:c>
      <x:c r="E32" s="569">
        <x:v>93.12</x:v>
      </x:c>
      <x:c r="F32" s="569">
        <x:v>11.17</x:v>
      </x:c>
      <x:c r="G32" s="466">
        <x:v>94.24</x:v>
      </x:c>
      <x:c r="H32" s="569">
        <x:v>12.29</x:v>
      </x:c>
      <x:c r="I32" s="467">
        <x:v>45716</x:v>
      </x:c>
      <x:c r="J32" s="433">
        <x:f>+E32-F32</x:f>
      </x:c>
      <x:c r="K32" s="468">
        <x:f>+I32-D32</x:f>
      </x:c>
      <x:c r="L32" s="503">
        <x:v>0.04</x:v>
      </x:c>
      <x:c r="M32" s="504">
        <x:f>+J32*L32</x:f>
      </x:c>
      <x:c r="O32" s="432"/>
    </x:row>
    <x:row r="33" spans="1:16" ht="15" customHeight="1" x14ac:dyDescent="0.25">
      <x:c r="A33" s="549"/>
      <x:c r="B33" s="543"/>
      <x:c r="C33" s="525"/>
      <x:c r="D33" s="526"/>
      <x:c r="E33" s="527"/>
      <x:c r="F33" s="527"/>
      <x:c r="G33" s="528"/>
      <x:c r="H33" s="527"/>
      <x:c r="I33" s="529"/>
      <x:c r="J33" s="433"/>
      <x:c r="K33" s="468"/>
      <x:c r="L33" s="503"/>
      <x:c r="M33" s="504"/>
      <x:c r="O33" s="432"/>
    </x:row>
    <x:row r="34" spans="1:16" ht="15" customHeight="1" x14ac:dyDescent="0.3">
      <x:c r="G34" s="516">
        <x:f>SUM(G8:G33)</x:f>
      </x:c>
      <x:c r="J34" s="516">
        <x:f>SUM(J8:J33)</x:f>
      </x:c>
      <x:c r="M34" s="516">
        <x:f>SUM(M8:M33)</x:f>
      </x:c>
    </x:row>
    <x:row r="35" spans="1:16" ht="15" customHeight="1" x14ac:dyDescent="0.25">
      <x:c r="G35" s="435"/>
      <x:c r="H35" s="435"/>
    </x:row>
    <x:row r="36" spans="1:16" ht="15" customHeight="1" x14ac:dyDescent="0.25">
      <x:c r="A36" s="517" t="s">
        <x:v>30</x:v>
      </x:c>
      <x:c r="B36" s="517" t="s">
        <x:v>31</x:v>
      </x:c>
      <x:c r="C36" s="518" t="s">
        <x:v>32</x:v>
      </x:c>
      <x:c r="I36" s="435"/>
      <x:c r="J36" s="435"/>
    </x:row>
    <x:row r="37" spans="1:16" ht="15" customHeight="1" s="434" customFormat="1" x14ac:dyDescent="0.25">
      <x:c r="A37" s="486" t="s">
        <x:v>101</x:v>
      </x:c>
      <x:c r="B37" s="487" t="s">
        <x:v>906</x:v>
      </x:c>
      <x:c r="C37" s="623" t="s">
        <x:v>907</x:v>
      </x:c>
      <x:c r="D37" s="489">
        <x:v>45574</x:v>
      </x:c>
      <x:c r="E37" s="490">
        <x:v>81.6</x:v>
      </x:c>
      <x:c r="F37" s="490">
        <x:v>12.24</x:v>
      </x:c>
      <x:c r="G37" s="491">
        <x:v>75.95</x:v>
      </x:c>
      <x:c r="H37" s="490">
        <x:v>10.4</x:v>
      </x:c>
      <x:c r="I37" s="492">
        <x:v>45726</x:v>
      </x:c>
      <x:c r="J37" s="433">
        <x:f>+E37-F37</x:f>
      </x:c>
      <x:c r="K37" s="468">
        <x:f>+I37-D37</x:f>
      </x:c>
      <x:c r="L37" s="469">
        <x:v>0.03</x:v>
      </x:c>
      <x:c r="M37" s="433">
        <x:f>+J37*L37</x:f>
      </x:c>
      <x:c r="N37" s="470"/>
      <x:c r="O37" s="432"/>
    </x:row>
    <x:row r="38" spans="1:16" ht="15" customHeight="1" s="434" customFormat="1" x14ac:dyDescent="0.25">
      <x:c r="A38" s="486" t="s">
        <x:v>101</x:v>
      </x:c>
      <x:c r="B38" s="487" t="s">
        <x:v>906</x:v>
      </x:c>
      <x:c r="C38" s="623" t="s">
        <x:v>908</x:v>
      </x:c>
      <x:c r="D38" s="489">
        <x:v>45608</x:v>
      </x:c>
      <x:c r="E38" s="490">
        <x:v>121.44</x:v>
      </x:c>
      <x:c r="F38" s="490">
        <x:v>18.22</x:v>
      </x:c>
      <x:c r="G38" s="502">
        <x:v>113.03</x:v>
      </x:c>
      <x:c r="H38" s="490">
        <x:v>15.48</x:v>
      </x:c>
      <x:c r="I38" s="467">
        <x:v>45726</x:v>
      </x:c>
      <x:c r="J38" s="433">
        <x:f>+E38-F38</x:f>
      </x:c>
      <x:c r="K38" s="468">
        <x:f>+I38-D38</x:f>
      </x:c>
      <x:c r="L38" s="469">
        <x:v>0.03</x:v>
      </x:c>
      <x:c r="M38" s="433">
        <x:f>+J38*L38</x:f>
      </x:c>
      <x:c r="N38" s="470"/>
      <x:c r="O38" s="432"/>
    </x:row>
    <x:row r="39" spans="1:16" ht="15" customHeight="1" s="434" customFormat="1" x14ac:dyDescent="0.25">
      <x:c r="A39" s="486" t="s">
        <x:v>101</x:v>
      </x:c>
      <x:c r="B39" s="487" t="s">
        <x:v>906</x:v>
      </x:c>
      <x:c r="C39" s="623" t="s">
        <x:v>909</x:v>
      </x:c>
      <x:c r="D39" s="489">
        <x:v>45610</x:v>
      </x:c>
      <x:c r="E39" s="490">
        <x:v>204</x:v>
      </x:c>
      <x:c r="F39" s="490">
        <x:v>30.6</x:v>
      </x:c>
      <x:c r="G39" s="502">
        <x:v>189.88</x:v>
      </x:c>
      <x:c r="H39" s="490">
        <x:v>26.01</x:v>
      </x:c>
      <x:c r="I39" s="467">
        <x:v>45726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16" ht="15" customHeight="1" s="434" customFormat="1" x14ac:dyDescent="0.25">
      <x:c r="A40" s="487" t="s">
        <x:v>101</x:v>
      </x:c>
      <x:c r="B40" s="487" t="s">
        <x:v>906</x:v>
      </x:c>
      <x:c r="C40" s="462" t="s">
        <x:v>910</x:v>
      </x:c>
      <x:c r="D40" s="492">
        <x:v>45630</x:v>
      </x:c>
      <x:c r="E40" s="610">
        <x:v>151.8</x:v>
      </x:c>
      <x:c r="F40" s="610">
        <x:v>22.77</x:v>
      </x:c>
      <x:c r="G40" s="502">
        <x:v>12.02</x:v>
      </x:c>
      <x:c r="H40" s="610">
        <x:v>19.35</x:v>
      </x:c>
      <x:c r="I40" s="467">
        <x:v>45730</x:v>
      </x:c>
      <x:c r="J40" s="433">
        <x:f>12.02/1.15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16" ht="15" customHeight="1" s="434" customFormat="1" x14ac:dyDescent="0.25">
      <x:c r="A41" s="487" t="s">
        <x:v>101</x:v>
      </x:c>
      <x:c r="B41" s="487" t="s">
        <x:v>911</x:v>
      </x:c>
      <x:c r="C41" s="462" t="s">
        <x:v>910</x:v>
      </x:c>
      <x:c r="D41" s="492">
        <x:v>45630</x:v>
      </x:c>
      <x:c r="E41" s="610">
        <x:v>151.8</x:v>
      </x:c>
      <x:c r="F41" s="610">
        <x:v>22.77</x:v>
      </x:c>
      <x:c r="G41" s="502">
        <x:v>117.24</x:v>
      </x:c>
      <x:c r="H41" s="610">
        <x:v>19.35</x:v>
      </x:c>
      <x:c r="I41" s="467">
        <x:v>45730</x:v>
      </x:c>
      <x:c r="J41" s="433">
        <x:f>(129.26-12.02)/1.15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ht="15" customHeight="1" s="434" customFormat="1" x14ac:dyDescent="0.25">
      <x:c r="A42" s="487" t="s">
        <x:v>101</x:v>
      </x:c>
      <x:c r="B42" s="487" t="s">
        <x:v>912</x:v>
      </x:c>
      <x:c r="C42" s="462" t="s">
        <x:v>913</x:v>
      </x:c>
      <x:c r="D42" s="492">
        <x:v>45632</x:v>
      </x:c>
      <x:c r="E42" s="610">
        <x:v>81.6</x:v>
      </x:c>
      <x:c r="F42" s="610">
        <x:v>12.24</x:v>
      </x:c>
      <x:c r="G42" s="502">
        <x:v>75.95</x:v>
      </x:c>
      <x:c r="H42" s="610">
        <x:v>10.4</x:v>
      </x:c>
      <x:c r="I42" s="467">
        <x:v>45730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ht="15" customHeight="1" s="434" customFormat="1" x14ac:dyDescent="0.25">
      <x:c r="A43" s="487" t="s">
        <x:v>101</x:v>
      </x:c>
      <x:c r="B43" s="487" t="s">
        <x:v>912</x:v>
      </x:c>
      <x:c r="C43" s="462" t="s">
        <x:v>914</x:v>
      </x:c>
      <x:c r="D43" s="492">
        <x:v>45636</x:v>
      </x:c>
      <x:c r="E43" s="610">
        <x:v>147.84</x:v>
      </x:c>
      <x:c r="F43" s="610">
        <x:v>22.18</x:v>
      </x:c>
      <x:c r="G43" s="502">
        <x:v>137.59</x:v>
      </x:c>
      <x:c r="H43" s="610">
        <x:v>18.85</x:v>
      </x:c>
      <x:c r="I43" s="467">
        <x:v>45730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470"/>
      <x:c r="O43" s="432"/>
    </x:row>
    <x:row r="44" spans="1:16" ht="15" customHeight="1" s="434" customFormat="1" x14ac:dyDescent="0.25">
      <x:c r="A44" s="487" t="s">
        <x:v>75</x:v>
      </x:c>
      <x:c r="B44" s="487" t="s">
        <x:v>915</x:v>
      </x:c>
      <x:c r="C44" s="462" t="s">
        <x:v>916</x:v>
      </x:c>
      <x:c r="D44" s="492">
        <x:v>45692</x:v>
      </x:c>
      <x:c r="E44" s="610">
        <x:f>63.75+11.25</x:f>
      </x:c>
      <x:c r="F44" s="610">
        <x:v>11.25</x:v>
      </x:c>
      <x:c r="G44" s="502">
        <x:f>73.31</x:f>
      </x:c>
      <x:c r="H44" s="616">
        <x:v>9.56</x:v>
      </x:c>
      <x:c r="I44" s="467">
        <x:v>45723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ht="15" customHeight="1" s="434" customFormat="1" x14ac:dyDescent="0.25">
      <x:c r="A45" s="491" t="s">
        <x:v>118</x:v>
      </x:c>
      <x:c r="B45" s="487" t="s">
        <x:v>917</x:v>
      </x:c>
      <x:c r="C45" s="624" t="s">
        <x:v>918</x:v>
      </x:c>
      <x:c r="D45" s="492">
        <x:v>45693</x:v>
      </x:c>
      <x:c r="E45" s="610">
        <x:v>1201.2</x:v>
      </x:c>
      <x:c r="F45" s="610">
        <x:v>264.26</x:v>
      </x:c>
      <x:c r="G45" s="502">
        <x:f>1077.48-9.37-42.16</x:f>
      </x:c>
      <x:c r="H45" s="491">
        <x:v>140.54</x:v>
      </x:c>
      <x:c r="I45" s="467">
        <x:v>45725</x:v>
      </x:c>
      <x:c r="J45" s="433">
        <x:f>+E45-F45</x:f>
      </x:c>
      <x:c r="K45" s="468">
        <x:f>+I45-D45</x:f>
      </x:c>
      <x:c r="L45" s="469">
        <x:v>0.03</x:v>
      </x:c>
      <x:c r="M45" s="433">
        <x:f>+J45*L45</x:f>
      </x:c>
      <x:c r="N45" s="470"/>
      <x:c r="O45" s="432"/>
    </x:row>
    <x:row r="46" spans="1:16" ht="15" customHeight="1" s="434" customFormat="1" x14ac:dyDescent="0.25">
      <x:c r="A46" s="487" t="s">
        <x:v>101</x:v>
      </x:c>
      <x:c r="B46" s="487" t="s">
        <x:v>919</x:v>
      </x:c>
      <x:c r="C46" s="462" t="s">
        <x:v>920</x:v>
      </x:c>
      <x:c r="D46" s="492">
        <x:v>45708</x:v>
      </x:c>
      <x:c r="E46" s="610">
        <x:f>164.73+29.07</x:f>
      </x:c>
      <x:c r="F46" s="610">
        <x:f>29.07</x:f>
      </x:c>
      <x:c r="G46" s="502">
        <x:f>189.44-2.88-7.41</x:f>
      </x:c>
      <x:c r="H46" s="491">
        <x:v>24.71</x:v>
      </x:c>
      <x:c r="I46" s="467">
        <x:v>45754</x:v>
      </x:c>
      <x:c r="J46" s="433">
        <x:f>+E46-F46</x:f>
      </x:c>
      <x:c r="K46" s="468">
        <x:f>+I46-D46</x:f>
      </x:c>
      <x:c r="L46" s="469">
        <x:v>0.03</x:v>
      </x:c>
      <x:c r="M46" s="433">
        <x:f>+J46*L46</x:f>
      </x:c>
      <x:c r="N46" s="470"/>
      <x:c r="O46" s="432"/>
    </x:row>
    <x:row r="47" spans="1:16" ht="15" customHeight="1" s="432" customFormat="1" x14ac:dyDescent="0.3">
      <x:c r="A47" s="558"/>
      <x:c r="B47" s="559"/>
      <x:c r="C47" s="560"/>
      <x:c r="D47" s="561"/>
      <x:c r="E47" s="562"/>
      <x:c r="F47" s="562"/>
      <x:c r="G47" s="491"/>
      <x:c r="H47" s="490"/>
      <x:c r="I47" s="492"/>
      <x:c r="J47" s="433"/>
      <x:c r="K47" s="468"/>
      <x:c r="L47" s="469"/>
      <x:c r="M47" s="563"/>
      <x:c r="N47" s="470"/>
    </x:row>
    <x:row r="48" spans="1:16" ht="15" customHeight="1" x14ac:dyDescent="0.35">
      <x:c r="A48" s="493" t="s">
        <x:v>43</x:v>
      </x:c>
      <x:c r="B48" s="493"/>
      <x:c r="C48" s="493"/>
      <x:c r="D48" s="493"/>
      <x:c r="E48" s="493"/>
      <x:c r="F48" s="493"/>
      <x:c r="G48" s="516">
        <x:f>SUM(G34:G47)</x:f>
      </x:c>
      <x:c r="J48" s="516">
        <x:f>SUM(J34:J47)</x:f>
      </x:c>
      <x:c r="L48" s="495"/>
      <x:c r="M48" s="564">
        <x:f>SUM(M34:M47)</x:f>
      </x:c>
    </x:row>
    <x:row r="49" spans="1:16" ht="15" customHeight="1" x14ac:dyDescent="0.3">
      <x:c r="A49" s="520"/>
      <x:c r="G49" s="435"/>
    </x:row>
    <x:row r="50" spans="1:16" ht="15" customHeight="1" x14ac:dyDescent="0.3">
      <x:c r="A50" s="499"/>
      <x:c r="G50" s="435"/>
      <x:c r="J50" s="435"/>
    </x:row>
    <x:row r="51" spans="1:16" ht="15" customHeight="1" x14ac:dyDescent="0.3">
      <x:c r="A51" s="499"/>
      <x:c r="G51" s="435"/>
      <x:c r="J51" s="435"/>
    </x:row>
    <x:row r="52" spans="1:16" ht="15" customHeight="1" x14ac:dyDescent="0.3">
      <x:c r="A52" s="499"/>
      <x:c r="G52" s="435"/>
      <x:c r="J52" s="435">
        <x:f>J48*2%</x:f>
      </x:c>
      <x:c r="M52" s="565">
        <x:f>M48/12</x:f>
      </x:c>
      <x:c r="N52" s="431" t="s">
        <x:v>238</x:v>
      </x:c>
    </x:row>
    <x:row r="53" spans="1:16" ht="15" customHeight="1" x14ac:dyDescent="0.3">
      <x:c r="A53" s="499"/>
      <x:c r="G53" s="435"/>
      <x:c r="J53" s="565">
        <x:f>J52/12</x:f>
      </x:c>
      <x:c r="K53" s="429" t="s">
        <x:v>655</x:v>
      </x:c>
      <x:c r="M53" s="565">
        <x:f>M48/24</x:f>
      </x:c>
      <x:c r="N53" s="431" t="s">
        <x:v>238</x:v>
      </x:c>
    </x:row>
    <x:row r="54" spans="1:16" ht="15" customHeight="1" x14ac:dyDescent="0.3">
      <x:c r="A54" s="499"/>
      <x:c r="G54" s="435"/>
      <x:c r="J54" s="565">
        <x:f>J52/24</x:f>
      </x:c>
      <x:c r="K54" s="429" t="s">
        <x:v>655</x:v>
      </x:c>
    </x:row>
    <x:row r="55" spans="1:16" ht="15" customHeight="1" x14ac:dyDescent="0.3">
      <x:c r="A55" s="499"/>
      <x:c r="G55" s="435"/>
      <x:c r="J55" s="435"/>
      <x:c r="M55" s="435"/>
    </x:row>
    <x:row r="56" spans="1:16" ht="15" customHeight="1" x14ac:dyDescent="0.3">
      <x:c r="A56" s="499"/>
      <x:c r="G56" s="435"/>
      <x:c r="J56" s="435"/>
      <x:c r="M56" s="435"/>
    </x:row>
    <x:row r="57" spans="1:16" ht="15" customHeight="1" x14ac:dyDescent="0.3">
      <x:c r="A57" s="499"/>
      <x:c r="G57" s="435"/>
      <x:c r="J57" s="435"/>
      <x:c r="M57" s="435"/>
      <x:c r="O57" s="435"/>
    </x:row>
    <x:row r="58" spans="1:16" ht="15" customHeight="1" x14ac:dyDescent="0.3">
      <x:c r="A58" s="499"/>
      <x:c r="G58" s="435"/>
      <x:c r="J58" s="435"/>
      <x:c r="M58" s="435"/>
      <x:c r="O58" s="435"/>
    </x:row>
    <x:row r="59" spans="1:16" ht="15" customHeight="1" x14ac:dyDescent="0.3">
      <x:c r="A59" s="499"/>
      <x:c r="G59" s="435"/>
      <x:c r="J59" s="435"/>
      <x:c r="M59" s="435"/>
    </x:row>
    <x:row r="60" spans="1:16" ht="15" customHeight="1" x14ac:dyDescent="0.3">
      <x:c r="A60" s="499"/>
      <x:c r="G60" s="435"/>
      <x:c r="J60" s="435"/>
    </x:row>
    <x:row r="61" spans="1:16" ht="15" customHeight="1" x14ac:dyDescent="0.3">
      <x:c r="A61" s="499"/>
      <x:c r="G61" s="435"/>
      <x:c r="J61" s="435"/>
    </x:row>
    <x:row r="62" spans="1:16" ht="15" customHeight="1" x14ac:dyDescent="0.3">
      <x:c r="A62" s="499"/>
      <x:c r="G62" s="435"/>
      <x:c r="J62" s="435"/>
    </x:row>
    <x:row r="63" spans="1:16" ht="15" customHeight="1" x14ac:dyDescent="0.3">
      <x:c r="A63" s="499"/>
      <x:c r="G63" s="435"/>
      <x:c r="J63" s="435"/>
    </x:row>
    <x:row r="64" spans="1:16" ht="15" customHeight="1" x14ac:dyDescent="0.3">
      <x:c r="A64" s="499"/>
      <x:c r="G64" s="435"/>
      <x:c r="J64" s="435"/>
    </x:row>
    <x:row r="65" spans="1:16" ht="15" customHeight="1" x14ac:dyDescent="0.3">
      <x:c r="A65" s="520"/>
      <x:c r="J65" s="515"/>
      <x:c r="K65" s="515"/>
    </x:row>
  </x:sheetData>
  <x:sortState xmlns:xlrd2="http://schemas.microsoft.com/office/spreadsheetml/2017/richdata2" ref="A8:P32">
    <x:sortCondition ref="C8:C32"/>
  </x:sortState>
  <x:mergeCells count="2">
    <x:mergeCell ref="A3:F3"/>
    <x:mergeCell ref="A48:F48"/>
  </x:mergeCells>
  <x:printOptions horizontalCentered="0" verticalCentered="0" headings="0" gridLines="0"/>
  <x:pageMargins left="0.3937007874015748" right="0" top="0.3937007874015748" bottom="0" header="0" footer="0"/>
  <x:pageSetup paperSize="9" scale="75" pageOrder="downThenOver" orientation="landscape" blackAndWhite="0" draft="0" cellComments="none" errors="displayed" r:id="rId1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87D47C-BED2-417A-BE29-7811BD356AD9}" mc:Ignorable="x14ac xr xr2 xr3">
  <x:sheetPr>
    <x:outlinePr summaryBelow="1" summaryRight="1"/>
  </x:sheetPr>
  <x:dimension ref="A1:O64"/>
  <x:sheetViews>
    <x:sheetView topLeftCell="I41" workbookViewId="0">
      <x:selection activeCell="J48" sqref="J48 J48:N53"/>
    </x:sheetView>
  </x:sheetViews>
  <x:sheetFormatPr baseColWidth="10" defaultColWidth="11.441406" defaultRowHeight="13.2" x14ac:dyDescent="0.25"/>
  <x:cols>
    <x:col min="1" max="1" width="43.886719" style="429" customWidth="1"/>
    <x:col min="2" max="2" width="27.332031" style="429" customWidth="1"/>
    <x:col min="3" max="3" width="25.332031" style="497" customWidth="1"/>
    <x:col min="4" max="4" width="10.332031" style="498" customWidth="1"/>
    <x:col min="5" max="5" width="12.664062" style="429" customWidth="1"/>
    <x:col min="6" max="6" width="9.441406" style="429" customWidth="1"/>
    <x:col min="7" max="7" width="11.886719" style="429" customWidth="1"/>
    <x:col min="8" max="8" width="8.886719" style="429" customWidth="1"/>
    <x:col min="9" max="9" width="11.886719" style="498" customWidth="1"/>
    <x:col min="10" max="10" width="11.441406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921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461" t="s">
        <x:v>491</x:v>
      </x:c>
      <x:c r="B8" s="505" t="s">
        <x:v>492</x:v>
      </x:c>
      <x:c r="C8" s="618" t="s">
        <x:v>881</x:v>
      </x:c>
      <x:c r="D8" s="464">
        <x:v>45524</x:v>
      </x:c>
      <x:c r="E8" s="465">
        <x:v>102</x:v>
      </x:c>
      <x:c r="F8" s="465">
        <x:v>20.4</x:v>
      </x:c>
      <x:c r="G8" s="466">
        <x:v>38.9</x:v>
      </x:c>
      <x:c r="H8" s="465">
        <x:v>12.24</x:v>
      </x:c>
      <x:c r="I8" s="467">
        <x:v>45554</x:v>
      </x:c>
      <x:c r="J8" s="433">
        <x:f>38.9/1.15</x:f>
      </x:c>
      <x:c r="K8" s="468">
        <x:f>+I8-D8</x:f>
      </x:c>
      <x:c r="L8" s="503">
        <x:v>0.035</x:v>
      </x:c>
      <x:c r="M8" s="504">
        <x:f>+J8*L8</x:f>
      </x:c>
      <x:c r="O8" s="432"/>
    </x:row>
    <x:row r="9" spans="1:16" ht="15" customHeight="1" x14ac:dyDescent="0.25">
      <x:c r="A9" s="461" t="s">
        <x:v>491</x:v>
      </x:c>
      <x:c r="B9" s="573" t="s">
        <x:v>492</x:v>
      </x:c>
      <x:c r="C9" s="618" t="s">
        <x:v>922</x:v>
      </x:c>
      <x:c r="D9" s="464">
        <x:v>45586</x:v>
      </x:c>
      <x:c r="E9" s="465">
        <x:v>310.2</x:v>
      </x:c>
      <x:c r="F9" s="465">
        <x:v>62.04</x:v>
      </x:c>
      <x:c r="G9" s="466">
        <x:v>285.38</x:v>
      </x:c>
      <x:c r="H9" s="465">
        <x:v>37.22</x:v>
      </x:c>
      <x:c r="I9" s="467">
        <x:v>45731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606" t="s">
        <x:v>57</x:v>
      </x:c>
      <x:c r="B10" s="462" t="s">
        <x:v>26</x:v>
      </x:c>
      <x:c r="C10" s="611" t="s">
        <x:v>923</x:v>
      </x:c>
      <x:c r="D10" s="607">
        <x:v>45618</x:v>
      </x:c>
      <x:c r="E10" s="569">
        <x:v>41.876</x:v>
      </x:c>
      <x:c r="F10" s="569">
        <x:v>8.376</x:v>
      </x:c>
      <x:c r="G10" s="466">
        <x:v>36.68</x:v>
      </x:c>
      <x:c r="H10" s="569">
        <x:v>5.03</x:v>
      </x:c>
      <x:c r="I10" s="467">
        <x:v>45744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606" t="s">
        <x:v>924</x:v>
      </x:c>
      <x:c r="B11" s="573" t="s">
        <x:v>110</x:v>
      </x:c>
      <x:c r="C11" s="611" t="s">
        <x:v>925</x:v>
      </x:c>
      <x:c r="D11" s="607">
        <x:v>45628</x:v>
      </x:c>
      <x:c r="E11" s="569">
        <x:v>236.28</x:v>
      </x:c>
      <x:c r="F11" s="569">
        <x:v>35.44</x:v>
      </x:c>
      <x:c r="G11" s="466">
        <x:v>218.42</x:v>
      </x:c>
      <x:c r="H11" s="569">
        <x:v>30.13</x:v>
      </x:c>
      <x:c r="I11" s="467">
        <x:v>45734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606" t="s">
        <x:v>104</x:v>
      </x:c>
      <x:c r="B12" s="573" t="s">
        <x:v>105</x:v>
      </x:c>
      <x:c r="C12" s="611" t="s">
        <x:v>926</x:v>
      </x:c>
      <x:c r="D12" s="607">
        <x:v>45632</x:v>
      </x:c>
      <x:c r="E12" s="569">
        <x:v>513.72</x:v>
      </x:c>
      <x:c r="F12" s="569">
        <x:v>77.06</x:v>
      </x:c>
      <x:c r="G12" s="466">
        <x:v>478.15</x:v>
      </x:c>
      <x:c r="H12" s="569">
        <x:v>65.5</x:v>
      </x:c>
      <x:c r="I12" s="467">
        <x:v>45729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606" t="s">
        <x:v>79</x:v>
      </x:c>
      <x:c r="B13" s="573" t="s">
        <x:v>80</x:v>
      </x:c>
      <x:c r="C13" s="611" t="s">
        <x:v>927</x:v>
      </x:c>
      <x:c r="D13" s="607">
        <x:v>45636</x:v>
      </x:c>
      <x:c r="E13" s="569">
        <x:v>398.64</x:v>
      </x:c>
      <x:c r="F13" s="569">
        <x:v>79.73</x:v>
      </x:c>
      <x:c r="G13" s="466">
        <x:v>349.22</x:v>
      </x:c>
      <x:c r="H13" s="569">
        <x:v>47.84</x:v>
      </x:c>
      <x:c r="I13" s="467">
        <x:v>45721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606" t="s">
        <x:v>49</x:v>
      </x:c>
      <x:c r="B14" s="573" t="s">
        <x:v>26</x:v>
      </x:c>
      <x:c r="C14" s="611" t="s">
        <x:v>928</x:v>
      </x:c>
      <x:c r="D14" s="607">
        <x:v>45644</x:v>
      </x:c>
      <x:c r="E14" s="569">
        <x:v>73.92</x:v>
      </x:c>
      <x:c r="F14" s="569">
        <x:v>11.09</x:v>
      </x:c>
      <x:c r="G14" s="466">
        <x:v>68.79</x:v>
      </x:c>
      <x:c r="H14" s="569">
        <x:v>9.42</x:v>
      </x:c>
      <x:c r="I14" s="467">
        <x:v>45734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606" t="s">
        <x:v>114</x:v>
      </x:c>
      <x:c r="B15" s="573" t="s">
        <x:v>26</x:v>
      </x:c>
      <x:c r="C15" s="611" t="s">
        <x:v>929</x:v>
      </x:c>
      <x:c r="D15" s="607">
        <x:v>45665</x:v>
      </x:c>
      <x:c r="E15" s="569">
        <x:v>552.96</x:v>
      </x:c>
      <x:c r="F15" s="569">
        <x:v>110.59</x:v>
      </x:c>
      <x:c r="G15" s="466">
        <x:v>484.39</x:v>
      </x:c>
      <x:c r="H15" s="569">
        <x:v>66.36</x:v>
      </x:c>
      <x:c r="I15" s="467">
        <x:v>45729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606" t="s">
        <x:v>25</x:v>
      </x:c>
      <x:c r="B16" s="573" t="s">
        <x:v>26</x:v>
      </x:c>
      <x:c r="C16" s="611" t="s">
        <x:v>930</x:v>
      </x:c>
      <x:c r="D16" s="607">
        <x:v>45671</x:v>
      </x:c>
      <x:c r="E16" s="569">
        <x:v>204</x:v>
      </x:c>
      <x:c r="F16" s="569">
        <x:v>40.8</x:v>
      </x:c>
      <x:c r="G16" s="466">
        <x:v>177.48</x:v>
      </x:c>
      <x:c r="H16" s="569">
        <x:v>24.48</x:v>
      </x:c>
      <x:c r="I16" s="467">
        <x:v>45741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606" t="s">
        <x:v>822</x:v>
      </x:c>
      <x:c r="B17" s="573" t="s">
        <x:v>26</x:v>
      </x:c>
      <x:c r="C17" s="611" t="s">
        <x:v>931</x:v>
      </x:c>
      <x:c r="D17" s="607">
        <x:v>45672</x:v>
      </x:c>
      <x:c r="E17" s="569">
        <x:v>106.8</x:v>
      </x:c>
      <x:c r="F17" s="569">
        <x:v>16.02</x:v>
      </x:c>
      <x:c r="G17" s="466">
        <x:v>98.72</x:v>
      </x:c>
      <x:c r="H17" s="569">
        <x:v>13.62</x:v>
      </x:c>
      <x:c r="I17" s="467">
        <x:v>45735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487" t="s">
        <x:v>822</x:v>
      </x:c>
      <x:c r="B18" s="573" t="s">
        <x:v>26</x:v>
      </x:c>
      <x:c r="C18" s="462" t="s">
        <x:v>932</x:v>
      </x:c>
      <x:c r="D18" s="492">
        <x:v>45674</x:v>
      </x:c>
      <x:c r="E18" s="610">
        <x:v>91.8</x:v>
      </x:c>
      <x:c r="F18" s="610">
        <x:v>13.77</x:v>
      </x:c>
      <x:c r="G18" s="502">
        <x:v>84.85</x:v>
      </x:c>
      <x:c r="H18" s="616">
        <x:v>11.7</x:v>
      </x:c>
      <x:c r="I18" s="467">
        <x:v>45735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487" t="s">
        <x:v>25</x:v>
      </x:c>
      <x:c r="B19" s="573" t="s">
        <x:v>26</x:v>
      </x:c>
      <x:c r="C19" s="462" t="s">
        <x:v>933</x:v>
      </x:c>
      <x:c r="D19" s="492">
        <x:v>45674</x:v>
      </x:c>
      <x:c r="E19" s="610">
        <x:v>510</x:v>
      </x:c>
      <x:c r="F19" s="610">
        <x:v>102</x:v>
      </x:c>
      <x:c r="G19" s="502">
        <x:v>443.7</x:v>
      </x:c>
      <x:c r="H19" s="616">
        <x:v>61.2</x:v>
      </x:c>
      <x:c r="I19" s="467">
        <x:v>45741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606" t="s">
        <x:v>114</x:v>
      </x:c>
      <x:c r="B20" s="573" t="s">
        <x:v>26</x:v>
      </x:c>
      <x:c r="C20" s="611" t="s">
        <x:v>934</x:v>
      </x:c>
      <x:c r="D20" s="607">
        <x:v>45680</x:v>
      </x:c>
      <x:c r="E20" s="569">
        <x:v>306</x:v>
      </x:c>
      <x:c r="F20" s="569">
        <x:v>61.2</x:v>
      </x:c>
      <x:c r="G20" s="466">
        <x:v>268.05</x:v>
      </x:c>
      <x:c r="H20" s="615">
        <x:v>36.72</x:v>
      </x:c>
      <x:c r="I20" s="467">
        <x:v>45737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606" t="s">
        <x:v>164</x:v>
      </x:c>
      <x:c r="B21" s="573" t="s">
        <x:v>26</x:v>
      </x:c>
      <x:c r="C21" s="611" t="s">
        <x:v>935</x:v>
      </x:c>
      <x:c r="D21" s="607">
        <x:v>45687</x:v>
      </x:c>
      <x:c r="E21" s="569">
        <x:v>82.08</x:v>
      </x:c>
      <x:c r="F21" s="569">
        <x:v>12.31</x:v>
      </x:c>
      <x:c r="G21" s="466">
        <x:v>80.24</x:v>
      </x:c>
      <x:c r="H21" s="615">
        <x:v>10.47</x:v>
      </x:c>
      <x:c r="I21" s="467">
        <x:v>45726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606" t="s">
        <x:v>176</x:v>
      </x:c>
      <x:c r="B22" s="573" t="s">
        <x:v>177</x:v>
      </x:c>
      <x:c r="C22" s="611" t="s">
        <x:v>936</x:v>
      </x:c>
      <x:c r="D22" s="607">
        <x:v>45687</x:v>
      </x:c>
      <x:c r="E22" s="569">
        <x:v>358.92</x:v>
      </x:c>
      <x:c r="F22" s="569">
        <x:v>53.84</x:v>
      </x:c>
      <x:c r="G22" s="466">
        <x:v>350.84</x:v>
      </x:c>
      <x:c r="H22" s="615">
        <x:v>45.76</x:v>
      </x:c>
      <x:c r="I22" s="467">
        <x:v>45741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606" t="s">
        <x:v>25</x:v>
      </x:c>
      <x:c r="B23" s="573" t="s">
        <x:v>26</x:v>
      </x:c>
      <x:c r="C23" s="611" t="s">
        <x:v>937</x:v>
      </x:c>
      <x:c r="D23" s="607">
        <x:v>45691</x:v>
      </x:c>
      <x:c r="E23" s="569">
        <x:v>163.2</x:v>
      </x:c>
      <x:c r="F23" s="569">
        <x:v>32.64</x:v>
      </x:c>
      <x:c r="G23" s="466">
        <x:v>141.99</x:v>
      </x:c>
      <x:c r="H23" s="615">
        <x:v>19.58</x:v>
      </x:c>
      <x:c r="I23" s="467">
        <x:v>45730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606" t="s">
        <x:v>822</x:v>
      </x:c>
      <x:c r="B24" s="573" t="s">
        <x:v>26</x:v>
      </x:c>
      <x:c r="C24" s="611" t="s">
        <x:v>938</x:v>
      </x:c>
      <x:c r="D24" s="607">
        <x:v>45700</x:v>
      </x:c>
      <x:c r="E24" s="569">
        <x:v>263.52</x:v>
      </x:c>
      <x:c r="F24" s="569">
        <x:v>39.53</x:v>
      </x:c>
      <x:c r="G24" s="466">
        <x:v>243.59</x:v>
      </x:c>
      <x:c r="H24" s="621">
        <x:v>33.6</x:v>
      </x:c>
      <x:c r="I24" s="467">
        <x:v>45745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606" t="s">
        <x:v>335</x:v>
      </x:c>
      <x:c r="B25" s="573" t="s">
        <x:v>336</x:v>
      </x:c>
      <x:c r="C25" s="611" t="s">
        <x:v>939</x:v>
      </x:c>
      <x:c r="D25" s="607">
        <x:v>45705</x:v>
      </x:c>
      <x:c r="E25" s="569">
        <x:v>878.4</x:v>
      </x:c>
      <x:c r="F25" s="569">
        <x:v>149.33</x:v>
      </x:c>
      <x:c r="G25" s="466">
        <x:v>792.86</x:v>
      </x:c>
      <x:c r="H25" s="621">
        <x:v>109.36</x:v>
      </x:c>
      <x:c r="I25" s="467">
        <x:v>45743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606" t="s">
        <x:v>170</x:v>
      </x:c>
      <x:c r="B26" s="573" t="s">
        <x:v>105</x:v>
      </x:c>
      <x:c r="C26" s="611" t="s">
        <x:v>940</x:v>
      </x:c>
      <x:c r="D26" s="607">
        <x:v>45707</x:v>
      </x:c>
      <x:c r="E26" s="569">
        <x:v>85.68</x:v>
      </x:c>
      <x:c r="F26" s="569">
        <x:v>17.14</x:v>
      </x:c>
      <x:c r="G26" s="466">
        <x:v>78.82</x:v>
      </x:c>
      <x:c r="H26" s="621">
        <x:v>10.28</x:v>
      </x:c>
      <x:c r="I26" s="467">
        <x:v>45721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25">
      <x:c r="A27" s="606" t="s">
        <x:v>941</x:v>
      </x:c>
      <x:c r="B27" s="573" t="s">
        <x:v>478</x:v>
      </x:c>
      <x:c r="C27" s="611" t="s">
        <x:v>942</x:v>
      </x:c>
      <x:c r="D27" s="607">
        <x:v>45723</x:v>
      </x:c>
      <x:c r="E27" s="569">
        <x:v>885</x:v>
      </x:c>
      <x:c r="F27" s="569">
        <x:v>132.75</x:v>
      </x:c>
      <x:c r="G27" s="569">
        <x:v>865.09</x:v>
      </x:c>
      <x:c r="H27" s="569">
        <x:v>112.84</x:v>
      </x:c>
      <x:c r="I27" s="467">
        <x:v>45723</x:v>
      </x:c>
      <x:c r="J27" s="433">
        <x:f>+E27-F27</x:f>
      </x:c>
      <x:c r="K27" s="468">
        <x:f>+I27-D27</x:f>
      </x:c>
      <x:c r="L27" s="503">
        <x:v>0.04</x:v>
      </x:c>
      <x:c r="M27" s="504">
        <x:f>+J27*L27</x:f>
      </x:c>
      <x:c r="O27" s="432"/>
    </x:row>
    <x:row r="28" spans="1:16" ht="15" customHeight="1" x14ac:dyDescent="0.25">
      <x:c r="A28" s="606" t="s">
        <x:v>127</x:v>
      </x:c>
      <x:c r="B28" s="573" t="s">
        <x:v>26</x:v>
      </x:c>
      <x:c r="C28" s="611" t="s">
        <x:v>943</x:v>
      </x:c>
      <x:c r="D28" s="607">
        <x:v>45726</x:v>
      </x:c>
      <x:c r="E28" s="569">
        <x:f>81.6+20.4</x:f>
      </x:c>
      <x:c r="F28" s="569">
        <x:v>20.4</x:v>
      </x:c>
      <x:c r="G28" s="466">
        <x:f>93.84-1.43-3.67</x:f>
      </x:c>
      <x:c r="H28" s="569">
        <x:v>12.24</x:v>
      </x:c>
      <x:c r="I28" s="607">
        <x:v>45728</x:v>
      </x:c>
      <x:c r="J28" s="433">
        <x:f>+E28-F28</x:f>
      </x:c>
      <x:c r="K28" s="468">
        <x:f>+I28-D28</x:f>
      </x:c>
      <x:c r="L28" s="503">
        <x:v>0.035</x:v>
      </x:c>
      <x:c r="M28" s="504">
        <x:f>+J28*L28</x:f>
      </x:c>
      <x:c r="O28" s="432"/>
    </x:row>
    <x:row r="29" spans="1:16" ht="15" customHeight="1" x14ac:dyDescent="0.25">
      <x:c r="A29" s="606" t="s">
        <x:v>205</x:v>
      </x:c>
      <x:c r="B29" s="573" t="s">
        <x:v>26</x:v>
      </x:c>
      <x:c r="C29" s="611" t="s">
        <x:v>944</x:v>
      </x:c>
      <x:c r="D29" s="607">
        <x:v>45729</x:v>
      </x:c>
      <x:c r="E29" s="569">
        <x:v>62.4</x:v>
      </x:c>
      <x:c r="F29" s="569">
        <x:v>0</x:v>
      </x:c>
      <x:c r="G29" s="466">
        <x:f>71.76-0.36</x:f>
      </x:c>
      <x:c r="H29" s="569">
        <x:v>9.36</x:v>
      </x:c>
      <x:c r="I29" s="607">
        <x:v>45734</x:v>
      </x:c>
      <x:c r="J29" s="433">
        <x:f>+E29-F29</x:f>
      </x:c>
      <x:c r="K29" s="468">
        <x:f>+I29-D29</x:f>
      </x:c>
      <x:c r="L29" s="503">
        <x:v>0.035</x:v>
      </x:c>
      <x:c r="M29" s="504">
        <x:f>+J29*L29</x:f>
      </x:c>
      <x:c r="O29" s="432"/>
    </x:row>
    <x:row r="30" spans="1:16" ht="15" customHeight="1" x14ac:dyDescent="0.25">
      <x:c r="A30" s="606" t="s">
        <x:v>114</x:v>
      </x:c>
      <x:c r="B30" s="573" t="s">
        <x:v>26</x:v>
      </x:c>
      <x:c r="C30" s="611" t="s">
        <x:v>945</x:v>
      </x:c>
      <x:c r="D30" s="607">
        <x:v>45735</x:v>
      </x:c>
      <x:c r="E30" s="569">
        <x:f>84.48+21.12</x:f>
      </x:c>
      <x:c r="F30" s="569">
        <x:v>21.12</x:v>
      </x:c>
      <x:c r="G30" s="466">
        <x:f>97.15-1.48-3.8</x:f>
      </x:c>
      <x:c r="H30" s="569">
        <x:v>12.67</x:v>
      </x:c>
      <x:c r="I30" s="607">
        <x:v>45736</x:v>
      </x:c>
      <x:c r="J30" s="433">
        <x:f>+E30-F30</x:f>
      </x:c>
      <x:c r="K30" s="468">
        <x:f>+I30-D30</x:f>
      </x:c>
      <x:c r="L30" s="503">
        <x:v>0.04</x:v>
      </x:c>
      <x:c r="M30" s="504">
        <x:f>+J30*L30</x:f>
      </x:c>
      <x:c r="O30" s="432"/>
    </x:row>
    <x:row r="31" spans="1:16" ht="15" customHeight="1" x14ac:dyDescent="0.25">
      <x:c r="A31" s="606" t="s">
        <x:v>946</x:v>
      </x:c>
      <x:c r="B31" s="573" t="s">
        <x:v>26</x:v>
      </x:c>
      <x:c r="C31" s="611" t="s">
        <x:v>947</x:v>
      </x:c>
      <x:c r="D31" s="607">
        <x:v>45744</x:v>
      </x:c>
      <x:c r="E31" s="569">
        <x:f>42.12+4.68</x:f>
      </x:c>
      <x:c r="F31" s="569">
        <x:v>4.68</x:v>
      </x:c>
      <x:c r="G31" s="466">
        <x:f>48.44-0.74-1.9</x:f>
      </x:c>
      <x:c r="H31" s="626">
        <x:v>6.32</x:v>
      </x:c>
      <x:c r="I31" s="607">
        <x:v>45744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16" ht="15" customHeight="1" x14ac:dyDescent="0.25">
      <x:c r="A32" s="549"/>
      <x:c r="B32" s="543"/>
      <x:c r="C32" s="525"/>
      <x:c r="D32" s="526"/>
      <x:c r="E32" s="527"/>
      <x:c r="F32" s="527"/>
      <x:c r="G32" s="528"/>
      <x:c r="H32" s="527"/>
      <x:c r="I32" s="529"/>
      <x:c r="J32" s="433"/>
      <x:c r="K32" s="468"/>
      <x:c r="L32" s="503"/>
      <x:c r="M32" s="504"/>
      <x:c r="O32" s="432"/>
    </x:row>
    <x:row r="33" spans="1:16" ht="15" customHeight="1" x14ac:dyDescent="0.3">
      <x:c r="G33" s="516">
        <x:f>SUM(G8:G32)</x:f>
      </x:c>
      <x:c r="J33" s="516">
        <x:f>SUM(J8:J32)</x:f>
      </x:c>
      <x:c r="M33" s="516">
        <x:f>SUM(M8:M32)</x:f>
      </x:c>
    </x:row>
    <x:row r="34" spans="1:16" ht="15" customHeight="1" x14ac:dyDescent="0.25">
      <x:c r="G34" s="435"/>
      <x:c r="H34" s="435"/>
    </x:row>
    <x:row r="35" spans="1:16" ht="15" customHeight="1" x14ac:dyDescent="0.25">
      <x:c r="A35" s="517" t="s">
        <x:v>30</x:v>
      </x:c>
      <x:c r="B35" s="517" t="s">
        <x:v>31</x:v>
      </x:c>
      <x:c r="C35" s="518" t="s">
        <x:v>32</x:v>
      </x:c>
      <x:c r="I35" s="608"/>
      <x:c r="J35" s="435"/>
    </x:row>
    <x:row r="36" spans="1:16" ht="15" customHeight="1" s="434" customFormat="1" x14ac:dyDescent="0.25">
      <x:c r="A36" s="487" t="s">
        <x:v>482</x:v>
      </x:c>
      <x:c r="B36" s="487" t="s">
        <x:v>948</x:v>
      </x:c>
      <x:c r="C36" s="462" t="s">
        <x:v>949</x:v>
      </x:c>
      <x:c r="D36" s="492">
        <x:v>45723</x:v>
      </x:c>
      <x:c r="E36" s="490">
        <x:f>1485.63+304.29</x:f>
      </x:c>
      <x:c r="F36" s="490">
        <x:v>304.29</x:v>
      </x:c>
      <x:c r="G36" s="491">
        <x:f>1708.48</x:f>
      </x:c>
      <x:c r="H36" s="490">
        <x:v>222.85</x:v>
      </x:c>
      <x:c r="I36" s="492">
        <x:v>45797</x:v>
      </x:c>
      <x:c r="J36" s="433">
        <x:f>+E36-F36</x:f>
      </x:c>
      <x:c r="K36" s="468">
        <x:f>+I36-D36</x:f>
      </x:c>
      <x:c r="L36" s="469">
        <x:v>0.03</x:v>
      </x:c>
      <x:c r="M36" s="433">
        <x:f>+J36*L36</x:f>
      </x:c>
      <x:c r="N36" s="470"/>
      <x:c r="O36" s="432"/>
    </x:row>
    <x:row r="37" spans="1:16" ht="15" customHeight="1" s="434" customFormat="1" x14ac:dyDescent="0.25">
      <x:c r="A37" s="487" t="s">
        <x:v>101</x:v>
      </x:c>
      <x:c r="B37" s="487" t="s">
        <x:v>950</x:v>
      </x:c>
      <x:c r="C37" s="462" t="s">
        <x:v>951</x:v>
      </x:c>
      <x:c r="D37" s="492">
        <x:v>45726</x:v>
      </x:c>
      <x:c r="E37" s="610">
        <x:f>129.03+22.77</x:f>
      </x:c>
      <x:c r="F37" s="610">
        <x:v>22.77</x:v>
      </x:c>
      <x:c r="G37" s="502">
        <x:f>148.38-2.26-5.81</x:f>
      </x:c>
      <x:c r="H37" s="610">
        <x:v>19.35</x:v>
      </x:c>
      <x:c r="I37" s="467">
        <x:v>45771</x:v>
      </x:c>
      <x:c r="J37" s="433">
        <x:f>+E37-F37</x:f>
      </x:c>
      <x:c r="K37" s="468">
        <x:f>+I37-D37</x:f>
      </x:c>
      <x:c r="L37" s="469">
        <x:v>0.03</x:v>
      </x:c>
      <x:c r="M37" s="433">
        <x:f>+J37*L37</x:f>
      </x:c>
      <x:c r="N37" s="470"/>
      <x:c r="O37" s="432"/>
    </x:row>
    <x:row r="38" spans="1:16" ht="15" customHeight="1" s="434" customFormat="1" x14ac:dyDescent="0.25">
      <x:c r="A38" s="487" t="s">
        <x:v>36</x:v>
      </x:c>
      <x:c r="B38" s="487" t="s">
        <x:v>952</x:v>
      </x:c>
      <x:c r="C38" s="462" t="s">
        <x:v>953</x:v>
      </x:c>
      <x:c r="D38" s="492">
        <x:v>45726</x:v>
      </x:c>
      <x:c r="E38" s="610">
        <x:v>1359.6</x:v>
      </x:c>
      <x:c r="F38" s="610">
        <x:v>339.9</x:v>
      </x:c>
      <x:c r="G38" s="502">
        <x:v>1116.57</x:v>
      </x:c>
      <x:c r="H38" s="610">
        <x:v>152.96</x:v>
      </x:c>
      <x:c r="I38" s="467">
        <x:v>45808</x:v>
      </x:c>
      <x:c r="J38" s="433">
        <x:f>+E38-F38</x:f>
      </x:c>
      <x:c r="K38" s="468">
        <x:f>+I38-D38</x:f>
      </x:c>
      <x:c r="L38" s="469">
        <x:v>0.03</x:v>
      </x:c>
      <x:c r="M38" s="433">
        <x:f>+J38*L38</x:f>
      </x:c>
      <x:c r="N38" s="470"/>
      <x:c r="O38" s="432"/>
    </x:row>
    <x:row r="39" spans="1:16" ht="15" customHeight="1" s="434" customFormat="1" x14ac:dyDescent="0.25">
      <x:c r="A39" s="487" t="s">
        <x:v>482</x:v>
      </x:c>
      <x:c r="B39" s="487" t="s">
        <x:v>954</x:v>
      </x:c>
      <x:c r="C39" s="462" t="s">
        <x:v>955</x:v>
      </x:c>
      <x:c r="D39" s="492">
        <x:v>45674</x:v>
      </x:c>
      <x:c r="E39" s="610">
        <x:v>117</x:v>
      </x:c>
      <x:c r="F39" s="610">
        <x:v>17.55</x:v>
      </x:c>
      <x:c r="G39" s="502">
        <x:v>114.37</x:v>
      </x:c>
      <x:c r="H39" s="616">
        <x:v>14.92</x:v>
      </x:c>
      <x:c r="I39" s="467">
        <x:v>45754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16" ht="15" customHeight="1" s="434" customFormat="1" x14ac:dyDescent="0.25">
      <x:c r="A40" s="487" t="s">
        <x:v>36</x:v>
      </x:c>
      <x:c r="B40" s="487" t="s">
        <x:v>956</x:v>
      </x:c>
      <x:c r="C40" s="462" t="s">
        <x:v>957</x:v>
      </x:c>
      <x:c r="D40" s="492">
        <x:v>45687</x:v>
      </x:c>
      <x:c r="E40" s="610">
        <x:v>182.16</x:v>
      </x:c>
      <x:c r="F40" s="610">
        <x:v>45.54</x:v>
      </x:c>
      <x:c r="G40" s="502">
        <x:f>157.11-1.37-6.15</x:f>
      </x:c>
      <x:c r="H40" s="616">
        <x:v>20.49</x:v>
      </x:c>
      <x:c r="I40" s="467">
        <x:v>45757</x:v>
      </x:c>
      <x:c r="J40" s="433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16" ht="15" customHeight="1" s="434" customFormat="1" x14ac:dyDescent="0.25">
      <x:c r="A41" s="487" t="s">
        <x:v>70</x:v>
      </x:c>
      <x:c r="B41" s="487" t="s">
        <x:v>958</x:v>
      </x:c>
      <x:c r="C41" s="462" t="s">
        <x:v>959</x:v>
      </x:c>
      <x:c r="D41" s="492">
        <x:v>45743</x:v>
      </x:c>
      <x:c r="E41" s="610">
        <x:v>898.56</x:v>
      </x:c>
      <x:c r="F41" s="610">
        <x:v>224.64</x:v>
      </x:c>
      <x:c r="G41" s="502">
        <x:f>775.01-11.79-30.33</x:f>
      </x:c>
      <x:c r="H41" s="627">
        <x:v>101.09</x:v>
      </x:c>
      <x:c r="I41" s="467">
        <x:v>45761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ht="15" customHeight="1" s="434" customFormat="1" x14ac:dyDescent="0.25">
      <x:c r="A42" s="487" t="s">
        <x:v>136</x:v>
      </x:c>
      <x:c r="B42" s="487" t="s">
        <x:v>960</x:v>
      </x:c>
      <x:c r="C42" s="462" t="s">
        <x:v>961</x:v>
      </x:c>
      <x:c r="D42" s="492">
        <x:v>45727</x:v>
      </x:c>
      <x:c r="E42" s="610">
        <x:v>1003.2</x:v>
      </x:c>
      <x:c r="F42" s="610">
        <x:v>250.8</x:v>
      </x:c>
      <x:c r="G42" s="502">
        <x:v>823.88</x:v>
      </x:c>
      <x:c r="H42" s="610">
        <x:v>112.86</x:v>
      </x:c>
      <x:c r="I42" s="467">
        <x:v>45758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ht="15" customHeight="1" s="434" customFormat="1" x14ac:dyDescent="0.25">
      <x:c r="A43" s="487" t="s">
        <x:v>136</x:v>
      </x:c>
      <x:c r="B43" s="487" t="s">
        <x:v>962</x:v>
      </x:c>
      <x:c r="C43" s="462" t="s">
        <x:v>963</x:v>
      </x:c>
      <x:c r="D43" s="492">
        <x:v>45729</x:v>
      </x:c>
      <x:c r="E43" s="610">
        <x:v>1108.8</x:v>
      </x:c>
      <x:c r="F43" s="610">
        <x:v>277.2</x:v>
      </x:c>
      <x:c r="G43" s="502">
        <x:v>910.6</x:v>
      </x:c>
      <x:c r="H43" s="610">
        <x:v>124.74</x:v>
      </x:c>
      <x:c r="I43" s="467">
        <x:v>45760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470"/>
      <x:c r="O43" s="432"/>
    </x:row>
    <x:row r="44" spans="1:16" ht="15" customHeight="1" s="434" customFormat="1" x14ac:dyDescent="0.25">
      <x:c r="A44" s="487" t="s">
        <x:v>136</x:v>
      </x:c>
      <x:c r="B44" s="487" t="s">
        <x:v>964</x:v>
      </x:c>
      <x:c r="C44" s="462" t="s">
        <x:v>965</x:v>
      </x:c>
      <x:c r="D44" s="492">
        <x:v>45741</x:v>
      </x:c>
      <x:c r="E44" s="610">
        <x:v>489.6</x:v>
      </x:c>
      <x:c r="F44" s="610">
        <x:v>122.4</x:v>
      </x:c>
      <x:c r="G44" s="502">
        <x:v>402.09</x:v>
      </x:c>
      <x:c r="H44" s="627">
        <x:v>55.08</x:v>
      </x:c>
      <x:c r="I44" s="467">
        <x:v>45772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ht="15" customHeight="1" s="434" customFormat="1" x14ac:dyDescent="0.25">
      <x:c r="A45" s="487" t="s">
        <x:v>101</x:v>
      </x:c>
      <x:c r="B45" s="487" t="s">
        <x:v>966</x:v>
      </x:c>
      <x:c r="C45" s="462" t="s">
        <x:v>967</x:v>
      </x:c>
      <x:c r="D45" s="492">
        <x:v>45744</x:v>
      </x:c>
      <x:c r="E45" s="610">
        <x:v>235.8</x:v>
      </x:c>
      <x:c r="F45" s="610">
        <x:v>35.37</x:v>
      </x:c>
      <x:c r="G45" s="502">
        <x:v>217.96</x:v>
      </x:c>
      <x:c r="H45" s="627">
        <x:v>30.06</x:v>
      </x:c>
      <x:c r="I45" s="467">
        <x:v>45792</x:v>
      </x:c>
      <x:c r="J45" s="433">
        <x:f>+E45-F45</x:f>
      </x:c>
      <x:c r="K45" s="468">
        <x:f>+I45-D45</x:f>
      </x:c>
      <x:c r="L45" s="469">
        <x:v>0.03</x:v>
      </x:c>
      <x:c r="M45" s="433">
        <x:f>+J45*L45</x:f>
      </x:c>
      <x:c r="N45" s="470"/>
      <x:c r="O45" s="432"/>
    </x:row>
    <x:row r="46" spans="1:16" ht="15" customHeight="1" s="432" customFormat="1" x14ac:dyDescent="0.3">
      <x:c r="A46" s="558"/>
      <x:c r="B46" s="559"/>
      <x:c r="C46" s="560"/>
      <x:c r="D46" s="561"/>
      <x:c r="E46" s="562"/>
      <x:c r="F46" s="562"/>
      <x:c r="G46" s="491"/>
      <x:c r="H46" s="490"/>
      <x:c r="I46" s="492"/>
      <x:c r="J46" s="433"/>
      <x:c r="K46" s="468"/>
      <x:c r="L46" s="469"/>
      <x:c r="M46" s="563"/>
      <x:c r="N46" s="470"/>
    </x:row>
    <x:row r="47" spans="1:16" ht="15" customHeight="1" x14ac:dyDescent="0.35">
      <x:c r="A47" s="493" t="s">
        <x:v>43</x:v>
      </x:c>
      <x:c r="B47" s="493"/>
      <x:c r="C47" s="493"/>
      <x:c r="D47" s="493"/>
      <x:c r="E47" s="493"/>
      <x:c r="F47" s="493"/>
      <x:c r="G47" s="516">
        <x:f>SUM(G33:G46)</x:f>
      </x:c>
      <x:c r="J47" s="516">
        <x:f>SUM(J33:J46)</x:f>
      </x:c>
      <x:c r="L47" s="495"/>
      <x:c r="M47" s="564">
        <x:f>SUM(M33:M46)</x:f>
      </x:c>
    </x:row>
    <x:row r="48" spans="1:16" ht="15" customHeight="1" x14ac:dyDescent="0.3">
      <x:c r="A48" s="520"/>
      <x:c r="G48" s="435"/>
    </x:row>
    <x:row r="49" spans="1:16" ht="15" customHeight="1" x14ac:dyDescent="0.3">
      <x:c r="A49" s="499"/>
      <x:c r="G49" s="435"/>
      <x:c r="J49" s="435"/>
    </x:row>
    <x:row r="50" spans="1:16" ht="15" customHeight="1" x14ac:dyDescent="0.3">
      <x:c r="A50" s="499"/>
      <x:c r="G50" s="435"/>
      <x:c r="J50" s="435"/>
    </x:row>
    <x:row r="51" spans="1:16" ht="15" customHeight="1" x14ac:dyDescent="0.3">
      <x:c r="A51" s="499"/>
      <x:c r="G51" s="435"/>
      <x:c r="J51" s="435">
        <x:f>J47*2%</x:f>
      </x:c>
      <x:c r="M51" s="565">
        <x:f>M47/12</x:f>
      </x:c>
      <x:c r="N51" s="431" t="s">
        <x:v>238</x:v>
      </x:c>
    </x:row>
    <x:row r="52" spans="1:16" ht="15" customHeight="1" x14ac:dyDescent="0.3">
      <x:c r="A52" s="499"/>
      <x:c r="G52" s="435"/>
      <x:c r="J52" s="565">
        <x:f>J51/12</x:f>
      </x:c>
      <x:c r="K52" s="429" t="s">
        <x:v>655</x:v>
      </x:c>
      <x:c r="M52" s="565">
        <x:f>M47/24</x:f>
      </x:c>
      <x:c r="N52" s="431" t="s">
        <x:v>238</x:v>
      </x:c>
    </x:row>
    <x:row r="53" spans="1:16" ht="15" customHeight="1" x14ac:dyDescent="0.3">
      <x:c r="A53" s="499"/>
      <x:c r="G53" s="435"/>
      <x:c r="J53" s="565">
        <x:f>J51/24</x:f>
      </x:c>
      <x:c r="K53" s="429" t="s">
        <x:v>655</x:v>
      </x:c>
    </x:row>
    <x:row r="54" spans="1:16" ht="15" customHeight="1" x14ac:dyDescent="0.3">
      <x:c r="A54" s="499"/>
      <x:c r="G54" s="435"/>
      <x:c r="J54" s="435"/>
      <x:c r="M54" s="435"/>
    </x:row>
    <x:row r="55" spans="1:16" ht="15" customHeight="1" x14ac:dyDescent="0.3">
      <x:c r="A55" s="499"/>
      <x:c r="G55" s="435"/>
      <x:c r="J55" s="435"/>
      <x:c r="M55" s="435"/>
    </x:row>
    <x:row r="56" spans="1:16" ht="15" customHeight="1" x14ac:dyDescent="0.3">
      <x:c r="A56" s="499"/>
      <x:c r="G56" s="435"/>
      <x:c r="J56" s="435"/>
      <x:c r="M56" s="435"/>
      <x:c r="O56" s="435"/>
    </x:row>
    <x:row r="57" spans="1:16" ht="15" customHeight="1" x14ac:dyDescent="0.3">
      <x:c r="A57" s="499"/>
      <x:c r="G57" s="435"/>
      <x:c r="J57" s="435"/>
      <x:c r="M57" s="435"/>
      <x:c r="O57" s="435"/>
    </x:row>
    <x:row r="58" spans="1:16" ht="15" customHeight="1" x14ac:dyDescent="0.3">
      <x:c r="A58" s="499"/>
      <x:c r="G58" s="435"/>
      <x:c r="J58" s="435"/>
      <x:c r="M58" s="435"/>
    </x:row>
    <x:row r="59" spans="1:16" ht="15" customHeight="1" x14ac:dyDescent="0.3">
      <x:c r="A59" s="499"/>
      <x:c r="G59" s="435"/>
      <x:c r="J59" s="435"/>
    </x:row>
    <x:row r="60" spans="1:16" ht="15" customHeight="1" x14ac:dyDescent="0.3">
      <x:c r="A60" s="499"/>
      <x:c r="G60" s="435"/>
      <x:c r="J60" s="435"/>
    </x:row>
    <x:row r="61" spans="1:16" ht="15" customHeight="1" x14ac:dyDescent="0.3">
      <x:c r="A61" s="499"/>
      <x:c r="G61" s="435"/>
      <x:c r="J61" s="435"/>
    </x:row>
    <x:row r="62" spans="1:16" ht="15" customHeight="1" x14ac:dyDescent="0.3">
      <x:c r="A62" s="499"/>
      <x:c r="G62" s="435"/>
      <x:c r="J62" s="435"/>
    </x:row>
    <x:row r="63" spans="1:16" ht="15" customHeight="1" x14ac:dyDescent="0.3">
      <x:c r="A63" s="499"/>
      <x:c r="G63" s="435"/>
      <x:c r="J63" s="435"/>
    </x:row>
    <x:row r="64" spans="1:16" ht="15" customHeight="1" x14ac:dyDescent="0.3">
      <x:c r="A64" s="520"/>
      <x:c r="J64" s="515"/>
      <x:c r="K64" s="515"/>
    </x:row>
  </x:sheetData>
  <x:sortState xmlns:xlrd2="http://schemas.microsoft.com/office/spreadsheetml/2017/richdata2" ref="A8:P31">
    <x:sortCondition ref="D8:D31"/>
  </x:sortState>
  <x:mergeCells count="2">
    <x:mergeCell ref="A3:F3"/>
    <x:mergeCell ref="A47:F47"/>
  </x:mergeCells>
  <x:printOptions horizontalCentered="0" verticalCentered="0" headings="0" gridLines="0"/>
  <x:pageMargins left="0.1968503937007874" right="0" top="0.1968503937007874" bottom="0" header="0" footer="0"/>
  <x:pageSetup paperSize="9" scale="74" pageOrder="downThenOver" orientation="landscape" blackAndWhite="0" draft="0" cellComments="none" errors="displayed" r:id="rId1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B712015-F4A4-4AA8-A691-2B2FF8CAA155}" mc:Ignorable="x14ac xr xr2 xr3">
  <x:sheetPr>
    <x:outlinePr summaryBelow="1" summaryRight="1"/>
  </x:sheetPr>
  <x:dimension ref="A1:O80"/>
  <x:sheetViews>
    <x:sheetView topLeftCell="H59" workbookViewId="0">
      <x:selection activeCell="M67" sqref="M67"/>
    </x:sheetView>
  </x:sheetViews>
  <x:sheetFormatPr baseColWidth="10" defaultColWidth="11.441406" defaultRowHeight="13.2" x14ac:dyDescent="0.25"/>
  <x:cols>
    <x:col min="1" max="1" width="46" style="429" customWidth="1"/>
    <x:col min="2" max="2" width="28.664062" style="429" customWidth="1"/>
    <x:col min="3" max="3" width="25.332031" style="497" customWidth="1"/>
    <x:col min="4" max="4" width="10.332031" style="498" customWidth="1"/>
    <x:col min="5" max="5" width="11" style="429" customWidth="1"/>
    <x:col min="6" max="6" width="9.441406" style="429" customWidth="1"/>
    <x:col min="7" max="7" width="11.886719" style="429" customWidth="1"/>
    <x:col min="8" max="8" width="8.886719" style="429" customWidth="1"/>
    <x:col min="9" max="9" width="10.664062" style="498" customWidth="1"/>
    <x:col min="10" max="10" width="11.441406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968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606" t="s">
        <x:v>49</x:v>
      </x:c>
      <x:c r="B8" s="506" t="s">
        <x:v>26</x:v>
      </x:c>
      <x:c r="C8" s="611" t="s">
        <x:v>969</x:v>
      </x:c>
      <x:c r="D8" s="607">
        <x:v>45629</x:v>
      </x:c>
      <x:c r="E8" s="569">
        <x:v>210.6</x:v>
      </x:c>
      <x:c r="F8" s="569">
        <x:v>0</x:v>
      </x:c>
      <x:c r="G8" s="466">
        <x:v>230.6</x:v>
      </x:c>
      <x:c r="H8" s="569">
        <x:v>31.59</x:v>
      </x:c>
      <x:c r="I8" s="467">
        <x:v>45772</x:v>
      </x:c>
      <x:c r="J8" s="433">
        <x:f>+E8-F8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606" t="s">
        <x:v>49</x:v>
      </x:c>
      <x:c r="B9" s="573" t="s">
        <x:v>26</x:v>
      </x:c>
      <x:c r="C9" s="611" t="s">
        <x:v>970</x:v>
      </x:c>
      <x:c r="D9" s="607">
        <x:v>45637</x:v>
      </x:c>
      <x:c r="E9" s="569">
        <x:v>140.4</x:v>
      </x:c>
      <x:c r="F9" s="569">
        <x:v>21.06</x:v>
      </x:c>
      <x:c r="G9" s="466">
        <x:v>130.68</x:v>
      </x:c>
      <x:c r="H9" s="569">
        <x:v>17.9</x:v>
      </x:c>
      <x:c r="I9" s="467">
        <x:v>45772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606" t="s">
        <x:v>49</x:v>
      </x:c>
      <x:c r="B10" s="573" t="s">
        <x:v>26</x:v>
      </x:c>
      <x:c r="C10" s="611" t="s">
        <x:v>971</x:v>
      </x:c>
      <x:c r="D10" s="607">
        <x:v>45644</x:v>
      </x:c>
      <x:c r="E10" s="569">
        <x:v>163.8</x:v>
      </x:c>
      <x:c r="F10" s="569">
        <x:v>24.57</x:v>
      </x:c>
      <x:c r="G10" s="466">
        <x:v>152.46</x:v>
      </x:c>
      <x:c r="H10" s="569">
        <x:v>20.88</x:v>
      </x:c>
      <x:c r="I10" s="467">
        <x:v>45772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606" t="s">
        <x:v>49</x:v>
      </x:c>
      <x:c r="B11" s="573" t="s">
        <x:v>26</x:v>
      </x:c>
      <x:c r="C11" s="611" t="s">
        <x:v>972</x:v>
      </x:c>
      <x:c r="D11" s="607">
        <x:v>45652</x:v>
      </x:c>
      <x:c r="E11" s="569">
        <x:v>187.2</x:v>
      </x:c>
      <x:c r="F11" s="569">
        <x:v>28.08</x:v>
      </x:c>
      <x:c r="G11" s="466">
        <x:v>174.24</x:v>
      </x:c>
      <x:c r="H11" s="569">
        <x:v>23.87</x:v>
      </x:c>
      <x:c r="I11" s="467">
        <x:v>45772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606" t="s">
        <x:v>49</x:v>
      </x:c>
      <x:c r="B12" s="573" t="s">
        <x:v>26</x:v>
      </x:c>
      <x:c r="C12" s="611" t="s">
        <x:v>973</x:v>
      </x:c>
      <x:c r="D12" s="607">
        <x:v>45672</x:v>
      </x:c>
      <x:c r="E12" s="569">
        <x:v>74.4</x:v>
      </x:c>
      <x:c r="F12" s="569">
        <x:v>0</x:v>
      </x:c>
      <x:c r="G12" s="466">
        <x:v>81.47</x:v>
      </x:c>
      <x:c r="H12" s="569">
        <x:v>11.16</x:v>
      </x:c>
      <x:c r="I12" s="467">
        <x:v>45754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606" t="s">
        <x:v>49</x:v>
      </x:c>
      <x:c r="B13" s="573" t="s">
        <x:v>26</x:v>
      </x:c>
      <x:c r="C13" s="611" t="s">
        <x:v>974</x:v>
      </x:c>
      <x:c r="D13" s="607">
        <x:v>45679</x:v>
      </x:c>
      <x:c r="E13" s="569">
        <x:v>10.2</x:v>
      </x:c>
      <x:c r="F13" s="569">
        <x:v>1.53</x:v>
      </x:c>
      <x:c r="G13" s="466">
        <x:v>9.49</x:v>
      </x:c>
      <x:c r="H13" s="615">
        <x:v>1.3</x:v>
      </x:c>
      <x:c r="I13" s="467">
        <x:v>45754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606" t="s">
        <x:v>975</x:v>
      </x:c>
      <x:c r="B14" s="573" t="s">
        <x:v>492</x:v>
      </x:c>
      <x:c r="C14" s="611" t="s">
        <x:v>976</x:v>
      </x:c>
      <x:c r="D14" s="607">
        <x:v>45687</x:v>
      </x:c>
      <x:c r="E14" s="569">
        <x:v>342</x:v>
      </x:c>
      <x:c r="F14" s="569">
        <x:v>51.3</x:v>
      </x:c>
      <x:c r="G14" s="466">
        <x:v>334.31</x:v>
      </x:c>
      <x:c r="H14" s="615">
        <x:v>43.61</x:v>
      </x:c>
      <x:c r="I14" s="467">
        <x:v>45777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606" t="s">
        <x:v>67</x:v>
      </x:c>
      <x:c r="B15" s="573" t="s">
        <x:v>26</x:v>
      </x:c>
      <x:c r="C15" s="611" t="s">
        <x:v>977</x:v>
      </x:c>
      <x:c r="D15" s="607">
        <x:v>45691</x:v>
      </x:c>
      <x:c r="E15" s="569">
        <x:v>412.2</x:v>
      </x:c>
      <x:c r="F15" s="569">
        <x:v>82.44</x:v>
      </x:c>
      <x:c r="G15" s="466">
        <x:v>379.22</x:v>
      </x:c>
      <x:c r="H15" s="615">
        <x:v>49.46</x:v>
      </x:c>
      <x:c r="I15" s="467">
        <x:v>45751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621" t="s">
        <x:v>79</x:v>
      </x:c>
      <x:c r="B16" s="573" t="s">
        <x:v>80</x:v>
      </x:c>
      <x:c r="C16" s="628" t="s">
        <x:v>978</x:v>
      </x:c>
      <x:c r="D16" s="607">
        <x:v>45694</x:v>
      </x:c>
      <x:c r="E16" s="569">
        <x:v>228</x:v>
      </x:c>
      <x:c r="F16" s="569">
        <x:v>45.6</x:v>
      </x:c>
      <x:c r="G16" s="466">
        <x:v>198.36</x:v>
      </x:c>
      <x:c r="H16" s="621">
        <x:v>27.36</x:v>
      </x:c>
      <x:c r="I16" s="467">
        <x:v>45751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621" t="s">
        <x:v>79</x:v>
      </x:c>
      <x:c r="B17" s="573" t="s">
        <x:v>80</x:v>
      </x:c>
      <x:c r="C17" s="628" t="s">
        <x:v>979</x:v>
      </x:c>
      <x:c r="D17" s="607">
        <x:v>45694</x:v>
      </x:c>
      <x:c r="E17" s="569">
        <x:v>212.52</x:v>
      </x:c>
      <x:c r="F17" s="569">
        <x:v>42.5</x:v>
      </x:c>
      <x:c r="G17" s="466">
        <x:v>184.89</x:v>
      </x:c>
      <x:c r="H17" s="621">
        <x:v>25.5</x:v>
      </x:c>
      <x:c r="I17" s="467">
        <x:v>45751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621" t="s">
        <x:v>114</x:v>
      </x:c>
      <x:c r="B18" s="573" t="s">
        <x:v>26</x:v>
      </x:c>
      <x:c r="C18" s="628" t="s">
        <x:v>980</x:v>
      </x:c>
      <x:c r="D18" s="607">
        <x:v>45694</x:v>
      </x:c>
      <x:c r="E18" s="569">
        <x:v>322.32</x:v>
      </x:c>
      <x:c r="F18" s="569">
        <x:v>64.46</x:v>
      </x:c>
      <x:c r="G18" s="466">
        <x:v>282.36</x:v>
      </x:c>
      <x:c r="H18" s="621">
        <x:v>38.68</x:v>
      </x:c>
      <x:c r="I18" s="467">
        <x:v>45757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606" t="s">
        <x:v>287</x:v>
      </x:c>
      <x:c r="B19" s="573" t="s">
        <x:v>288</x:v>
      </x:c>
      <x:c r="C19" s="611" t="s">
        <x:v>981</x:v>
      </x:c>
      <x:c r="D19" s="607">
        <x:v>45695</x:v>
      </x:c>
      <x:c r="E19" s="569">
        <x:v>409.2</x:v>
      </x:c>
      <x:c r="F19" s="569">
        <x:v>61.38</x:v>
      </x:c>
      <x:c r="G19" s="466">
        <x:v>399.99</x:v>
      </x:c>
      <x:c r="H19" s="621">
        <x:v>52.17</x:v>
      </x:c>
      <x:c r="I19" s="467">
        <x:v>45755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606" t="s">
        <x:v>228</x:v>
      </x:c>
      <x:c r="B20" s="573" t="s">
        <x:v>155</x:v>
      </x:c>
      <x:c r="C20" s="611" t="s">
        <x:v>982</x:v>
      </x:c>
      <x:c r="D20" s="607">
        <x:v>45705</x:v>
      </x:c>
      <x:c r="E20" s="569">
        <x:v>995.76</x:v>
      </x:c>
      <x:c r="F20" s="569">
        <x:v>199.15</x:v>
      </x:c>
      <x:c r="G20" s="466">
        <x:v>872.28</x:v>
      </x:c>
      <x:c r="H20" s="621">
        <x:v>119.49</x:v>
      </x:c>
      <x:c r="I20" s="467">
        <x:v>45775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606" t="s">
        <x:v>523</x:v>
      </x:c>
      <x:c r="B21" s="573" t="s">
        <x:v>26</x:v>
      </x:c>
      <x:c r="C21" s="611" t="s">
        <x:v>983</x:v>
      </x:c>
      <x:c r="D21" s="607">
        <x:v>45721</x:v>
      </x:c>
      <x:c r="E21" s="569">
        <x:v>1203.6</x:v>
      </x:c>
      <x:c r="F21" s="569">
        <x:v>240.72</x:v>
      </x:c>
      <x:c r="G21" s="466">
        <x:v>953.25</x:v>
      </x:c>
      <x:c r="H21" s="569">
        <x:v>144.43</x:v>
      </x:c>
      <x:c r="I21" s="467">
        <x:v>45770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606" t="s">
        <x:v>164</x:v>
      </x:c>
      <x:c r="B22" s="573" t="s">
        <x:v>26</x:v>
      </x:c>
      <x:c r="C22" s="611" t="s">
        <x:v>984</x:v>
      </x:c>
      <x:c r="D22" s="607">
        <x:v>45726</x:v>
      </x:c>
      <x:c r="E22" s="569">
        <x:v>79.95</x:v>
      </x:c>
      <x:c r="F22" s="569">
        <x:v>11.99</x:v>
      </x:c>
      <x:c r="G22" s="466">
        <x:v>78.15</x:v>
      </x:c>
      <x:c r="H22" s="569">
        <x:v>10.19</x:v>
      </x:c>
      <x:c r="I22" s="467">
        <x:v>45757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606" t="s">
        <x:v>52</x:v>
      </x:c>
      <x:c r="B23" s="573" t="s">
        <x:v>53</x:v>
      </x:c>
      <x:c r="C23" s="611" t="s">
        <x:v>985</x:v>
      </x:c>
      <x:c r="D23" s="607">
        <x:v>45728</x:v>
      </x:c>
      <x:c r="E23" s="569">
        <x:v>403.92</x:v>
      </x:c>
      <x:c r="F23" s="569">
        <x:v>100.98</x:v>
      </x:c>
      <x:c r="G23" s="466">
        <x:v>348.38</x:v>
      </x:c>
      <x:c r="H23" s="569">
        <x:v>45.44</x:v>
      </x:c>
      <x:c r="I23" s="629">
        <x:v>45758</x:v>
      </x:c>
      <x:c r="J23" s="433">
        <x:f>+E23-F23</x:f>
      </x:c>
      <x:c r="K23" s="468">
        <x:f>+I23-D23</x:f>
      </x:c>
      <x:c r="L23" s="503">
        <x:v>0.035</x:v>
      </x:c>
      <x:c r="M23" s="504">
        <x:f>+J23*L23</x:f>
      </x:c>
      <x:c r="O23" s="432"/>
    </x:row>
    <x:row r="24" spans="1:16" ht="15" customHeight="1" x14ac:dyDescent="0.25">
      <x:c r="A24" s="606" t="s">
        <x:v>164</x:v>
      </x:c>
      <x:c r="B24" s="573" t="s">
        <x:v>26</x:v>
      </x:c>
      <x:c r="C24" s="611" t="s">
        <x:v>986</x:v>
      </x:c>
      <x:c r="D24" s="607">
        <x:v>45728</x:v>
      </x:c>
      <x:c r="E24" s="569">
        <x:v>30.6</x:v>
      </x:c>
      <x:c r="F24" s="569">
        <x:v>4.59</x:v>
      </x:c>
      <x:c r="G24" s="466">
        <x:v>29.91</x:v>
      </x:c>
      <x:c r="H24" s="569">
        <x:v>3.9</x:v>
      </x:c>
      <x:c r="I24" s="467">
        <x:v>45757</x:v>
      </x:c>
      <x:c r="J24" s="433">
        <x:f>+E24-F24</x:f>
      </x:c>
      <x:c r="K24" s="468">
        <x:f>+I24-D24</x:f>
      </x:c>
      <x:c r="L24" s="503">
        <x:v>0.035</x:v>
      </x:c>
      <x:c r="M24" s="504">
        <x:f>+J24*L24</x:f>
      </x:c>
      <x:c r="O24" s="432"/>
    </x:row>
    <x:row r="25" spans="1:16" ht="15" customHeight="1" x14ac:dyDescent="0.25">
      <x:c r="A25" s="606" t="s">
        <x:v>25</x:v>
      </x:c>
      <x:c r="B25" s="573" t="s">
        <x:v>26</x:v>
      </x:c>
      <x:c r="C25" s="611" t="s">
        <x:v>987</x:v>
      </x:c>
      <x:c r="D25" s="607">
        <x:v>45737</x:v>
      </x:c>
      <x:c r="E25" s="569">
        <x:v>1224</x:v>
      </x:c>
      <x:c r="F25" s="569">
        <x:v>244.8</x:v>
      </x:c>
      <x:c r="G25" s="466">
        <x:v>1064.88</x:v>
      </x:c>
      <x:c r="H25" s="569">
        <x:v>146.88</x:v>
      </x:c>
      <x:c r="I25" s="467">
        <x:v>45775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606" t="s">
        <x:v>52</x:v>
      </x:c>
      <x:c r="B26" s="573" t="s">
        <x:v>53</x:v>
      </x:c>
      <x:c r="C26" s="611" t="s">
        <x:v>988</x:v>
      </x:c>
      <x:c r="D26" s="607">
        <x:v>45741</x:v>
      </x:c>
      <x:c r="E26" s="569">
        <x:v>663</x:v>
      </x:c>
      <x:c r="F26" s="569">
        <x:v>165.75</x:v>
      </x:c>
      <x:c r="G26" s="466">
        <x:v>571.84</x:v>
      </x:c>
      <x:c r="H26" s="626">
        <x:v>74.59</x:v>
      </x:c>
      <x:c r="I26" s="607">
        <x:v>45758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25">
      <x:c r="A27" s="606" t="s">
        <x:v>25</x:v>
      </x:c>
      <x:c r="B27" s="573" t="s">
        <x:v>26</x:v>
      </x:c>
      <x:c r="C27" s="611" t="s">
        <x:v>989</x:v>
      </x:c>
      <x:c r="D27" s="607">
        <x:v>45741</x:v>
      </x:c>
      <x:c r="E27" s="569">
        <x:v>306</x:v>
      </x:c>
      <x:c r="F27" s="569">
        <x:v>61.2</x:v>
      </x:c>
      <x:c r="G27" s="466">
        <x:v>266.22</x:v>
      </x:c>
      <x:c r="H27" s="626">
        <x:v>36.72</x:v>
      </x:c>
      <x:c r="I27" s="467">
        <x:v>45775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25">
      <x:c r="A28" s="606" t="s">
        <x:v>52</x:v>
      </x:c>
      <x:c r="B28" s="573" t="s">
        <x:v>53</x:v>
      </x:c>
      <x:c r="C28" s="611" t="s">
        <x:v>990</x:v>
      </x:c>
      <x:c r="D28" s="607">
        <x:v>45747</x:v>
      </x:c>
      <x:c r="E28" s="569">
        <x:v>944.4</x:v>
      </x:c>
      <x:c r="F28" s="569">
        <x:v>236.1</x:v>
      </x:c>
      <x:c r="G28" s="466">
        <x:v>814.55</x:v>
      </x:c>
      <x:c r="H28" s="626">
        <x:v>106.25</x:v>
      </x:c>
      <x:c r="I28" s="607">
        <x:v>45758</x:v>
      </x:c>
      <x:c r="J28" s="433">
        <x:f>+E28-F28</x:f>
      </x:c>
      <x:c r="K28" s="468">
        <x:f>+I28-D28</x:f>
      </x:c>
      <x:c r="L28" s="503">
        <x:v>0.035</x:v>
      </x:c>
      <x:c r="M28" s="504">
        <x:f>+J28*L28</x:f>
      </x:c>
      <x:c r="O28" s="432"/>
    </x:row>
    <x:row r="29" spans="1:16" ht="15" customHeight="1" x14ac:dyDescent="0.25">
      <x:c r="A29" s="606" t="s">
        <x:v>697</x:v>
      </x:c>
      <x:c r="B29" s="573" t="s">
        <x:v>53</x:v>
      </x:c>
      <x:c r="C29" s="611" t="s">
        <x:v>991</x:v>
      </x:c>
      <x:c r="D29" s="607">
        <x:v>45748</x:v>
      </x:c>
      <x:c r="E29" s="569">
        <x:v>1282.56</x:v>
      </x:c>
      <x:c r="F29" s="569">
        <x:v>320.64</x:v>
      </x:c>
      <x:c r="G29" s="466">
        <x:v>1106.21</x:v>
      </x:c>
      <x:c r="H29" s="569">
        <x:v>144.29</x:v>
      </x:c>
      <x:c r="I29" s="607">
        <x:v>45758</x:v>
      </x:c>
      <x:c r="J29" s="433">
        <x:f>+E29-F29</x:f>
      </x:c>
      <x:c r="K29" s="468">
        <x:f>+I29-D29</x:f>
      </x:c>
      <x:c r="L29" s="503">
        <x:v>0.035</x:v>
      </x:c>
      <x:c r="M29" s="504">
        <x:f>+J29*L29</x:f>
      </x:c>
      <x:c r="O29" s="432"/>
    </x:row>
    <x:row r="30" spans="1:16" ht="15" customHeight="1" x14ac:dyDescent="0.25">
      <x:c r="A30" s="606" t="s">
        <x:v>127</x:v>
      </x:c>
      <x:c r="B30" s="573" t="s">
        <x:v>26</x:v>
      </x:c>
      <x:c r="C30" s="611" t="s">
        <x:v>992</x:v>
      </x:c>
      <x:c r="D30" s="607">
        <x:v>45749</x:v>
      </x:c>
      <x:c r="E30" s="569">
        <x:v>23.4</x:v>
      </x:c>
      <x:c r="F30" s="569">
        <x:v>0</x:v>
      </x:c>
      <x:c r="G30" s="466">
        <x:v>25.45</x:v>
      </x:c>
      <x:c r="H30" s="569">
        <x:v>3.51</x:v>
      </x:c>
      <x:c r="I30" s="607">
        <x:v>45750</x:v>
      </x:c>
      <x:c r="J30" s="433">
        <x:f>+E30-F30</x:f>
      </x:c>
      <x:c r="K30" s="468">
        <x:f>+I30-D30</x:f>
      </x:c>
      <x:c r="L30" s="503">
        <x:v>0.04</x:v>
      </x:c>
      <x:c r="M30" s="504">
        <x:f>+J30*L30</x:f>
      </x:c>
      <x:c r="O30" s="432"/>
    </x:row>
    <x:row r="31" spans="1:16" ht="15" customHeight="1" x14ac:dyDescent="0.25">
      <x:c r="A31" s="606" t="s">
        <x:v>941</x:v>
      </x:c>
      <x:c r="B31" s="573" t="s">
        <x:v>478</x:v>
      </x:c>
      <x:c r="C31" s="611" t="s">
        <x:v>993</x:v>
      </x:c>
      <x:c r="D31" s="607">
        <x:v>45750</x:v>
      </x:c>
      <x:c r="E31" s="569">
        <x:v>360</x:v>
      </x:c>
      <x:c r="F31" s="569">
        <x:v>54</x:v>
      </x:c>
      <x:c r="G31" s="466">
        <x:v>351.9</x:v>
      </x:c>
      <x:c r="H31" s="466">
        <x:v>45.9</x:v>
      </x:c>
      <x:c r="I31" s="607">
        <x:v>45751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16" ht="15" customHeight="1" x14ac:dyDescent="0.25">
      <x:c r="A32" s="606" t="s">
        <x:v>904</x:v>
      </x:c>
      <x:c r="B32" s="573" t="s">
        <x:v>478</x:v>
      </x:c>
      <x:c r="C32" s="611" t="s">
        <x:v>994</x:v>
      </x:c>
      <x:c r="D32" s="607">
        <x:v>45750</x:v>
      </x:c>
      <x:c r="E32" s="569">
        <x:f>95.04+12.96</x:f>
      </x:c>
      <x:c r="F32" s="569">
        <x:v>12.96</x:v>
      </x:c>
      <x:c r="G32" s="466">
        <x:f>109.3</x:f>
      </x:c>
      <x:c r="H32" s="569">
        <x:v>14.26</x:v>
      </x:c>
      <x:c r="I32" s="607">
        <x:v>45750</x:v>
      </x:c>
      <x:c r="J32" s="433">
        <x:f>+E32-F32</x:f>
      </x:c>
      <x:c r="K32" s="468">
        <x:f>+I32-D32</x:f>
      </x:c>
      <x:c r="L32" s="503">
        <x:v>0.04</x:v>
      </x:c>
      <x:c r="M32" s="504">
        <x:f>+J32*L32</x:f>
      </x:c>
      <x:c r="O32" s="432"/>
    </x:row>
    <x:row r="33" spans="1:16" ht="15" customHeight="1" x14ac:dyDescent="0.25">
      <x:c r="A33" s="606" t="s">
        <x:v>995</x:v>
      </x:c>
      <x:c r="B33" s="573" t="s">
        <x:v>478</x:v>
      </x:c>
      <x:c r="C33" s="611" t="s">
        <x:v>996</x:v>
      </x:c>
      <x:c r="D33" s="607">
        <x:v>45750</x:v>
      </x:c>
      <x:c r="E33" s="569">
        <x:v>185.52</x:v>
      </x:c>
      <x:c r="F33" s="569">
        <x:v>27.83</x:v>
      </x:c>
      <x:c r="G33" s="466">
        <x:v>181.34</x:v>
      </x:c>
      <x:c r="H33" s="569">
        <x:v>23.65</x:v>
      </x:c>
      <x:c r="I33" s="467">
        <x:v>45777</x:v>
      </x:c>
      <x:c r="J33" s="433">
        <x:f>+E33-F33</x:f>
      </x:c>
      <x:c r="K33" s="468">
        <x:f>+I33-D33</x:f>
      </x:c>
      <x:c r="L33" s="503">
        <x:v>0.035</x:v>
      </x:c>
      <x:c r="M33" s="504">
        <x:f>+J33*L33</x:f>
      </x:c>
      <x:c r="O33" s="432"/>
    </x:row>
    <x:row r="34" spans="1:16" ht="15" customHeight="1" x14ac:dyDescent="0.25">
      <x:c r="A34" s="606" t="s">
        <x:v>205</x:v>
      </x:c>
      <x:c r="B34" s="573" t="s">
        <x:v>26</x:v>
      </x:c>
      <x:c r="C34" s="611" t="s">
        <x:v>997</x:v>
      </x:c>
      <x:c r="D34" s="607">
        <x:v>45750</x:v>
      </x:c>
      <x:c r="E34" s="569">
        <x:v>81.6</x:v>
      </x:c>
      <x:c r="F34" s="569">
        <x:v>0</x:v>
      </x:c>
      <x:c r="G34" s="466">
        <x:v>93.84</x:v>
      </x:c>
      <x:c r="H34" s="569">
        <x:v>12.24</x:v>
      </x:c>
      <x:c r="I34" s="607">
        <x:v>45756</x:v>
      </x:c>
      <x:c r="J34" s="433">
        <x:f>+E34-F34</x:f>
      </x:c>
      <x:c r="K34" s="468">
        <x:f>+I34-D34</x:f>
      </x:c>
      <x:c r="L34" s="503">
        <x:v>0.035</x:v>
      </x:c>
      <x:c r="M34" s="504">
        <x:f>+J34*L34</x:f>
      </x:c>
      <x:c r="O34" s="432"/>
    </x:row>
    <x:row r="35" spans="1:16" ht="15" customHeight="1" x14ac:dyDescent="0.25">
      <x:c r="A35" s="606" t="s">
        <x:v>998</x:v>
      </x:c>
      <x:c r="B35" s="573" t="s">
        <x:v>478</x:v>
      </x:c>
      <x:c r="C35" s="611" t="s">
        <x:v>999</x:v>
      </x:c>
      <x:c r="D35" s="607">
        <x:v>45751</x:v>
      </x:c>
      <x:c r="E35" s="569">
        <x:v>334.8</x:v>
      </x:c>
      <x:c r="F35" s="569">
        <x:v>16.74</x:v>
      </x:c>
      <x:c r="G35" s="466">
        <x:v>345.89</x:v>
      </x:c>
      <x:c r="H35" s="569">
        <x:v>47.71</x:v>
      </x:c>
      <x:c r="I35" s="607">
        <x:v>45756</x:v>
      </x:c>
      <x:c r="J35" s="433">
        <x:f>+E35-F35</x:f>
      </x:c>
      <x:c r="K35" s="468">
        <x:f>+I35-D35</x:f>
      </x:c>
      <x:c r="L35" s="503">
        <x:v>0.035</x:v>
      </x:c>
      <x:c r="M35" s="504">
        <x:f>+J35*L35</x:f>
      </x:c>
      <x:c r="O35" s="432"/>
    </x:row>
    <x:row r="36" spans="1:16" ht="15" customHeight="1" x14ac:dyDescent="0.25">
      <x:c r="A36" s="606" t="s">
        <x:v>225</x:v>
      </x:c>
      <x:c r="B36" s="573" t="s">
        <x:v>105</x:v>
      </x:c>
      <x:c r="C36" s="611" t="s">
        <x:v>1000</x:v>
      </x:c>
      <x:c r="D36" s="607">
        <x:v>45754</x:v>
      </x:c>
      <x:c r="E36" s="569">
        <x:v>928.8</x:v>
      </x:c>
      <x:c r="F36" s="569">
        <x:v>232.2</x:v>
      </x:c>
      <x:c r="G36" s="466">
        <x:v>757.55</x:v>
      </x:c>
      <x:c r="H36" s="569">
        <x:v>104.49</x:v>
      </x:c>
      <x:c r="I36" s="607">
        <x:v>45756</x:v>
      </x:c>
      <x:c r="J36" s="433">
        <x:f>+E36-F36</x:f>
      </x:c>
      <x:c r="K36" s="468">
        <x:f>+I36-D36</x:f>
      </x:c>
      <x:c r="L36" s="503">
        <x:v>0.04</x:v>
      </x:c>
      <x:c r="M36" s="504">
        <x:f>+J36*L36</x:f>
      </x:c>
      <x:c r="O36" s="432"/>
    </x:row>
    <x:row r="37" spans="1:16" ht="15" customHeight="1" x14ac:dyDescent="0.25">
      <x:c r="A37" s="606" t="s">
        <x:v>167</x:v>
      </x:c>
      <x:c r="B37" s="573" t="s">
        <x:v>26</x:v>
      </x:c>
      <x:c r="C37" s="611" t="s">
        <x:v>1001</x:v>
      </x:c>
      <x:c r="D37" s="607">
        <x:v>45757</x:v>
      </x:c>
      <x:c r="E37" s="569">
        <x:v>81.6</x:v>
      </x:c>
      <x:c r="F37" s="569">
        <x:v>12.24</x:v>
      </x:c>
      <x:c r="G37" s="466">
        <x:v>79.76</x:v>
      </x:c>
      <x:c r="H37" s="569">
        <x:v>10.4</x:v>
      </x:c>
      <x:c r="I37" s="607">
        <x:v>45758</x:v>
      </x:c>
      <x:c r="J37" s="433">
        <x:f>+E37-F37</x:f>
      </x:c>
      <x:c r="K37" s="468">
        <x:f>+I37-D37</x:f>
      </x:c>
      <x:c r="L37" s="503">
        <x:v>0.04</x:v>
      </x:c>
      <x:c r="M37" s="504">
        <x:f>+J37*L37</x:f>
      </x:c>
      <x:c r="O37" s="432"/>
    </x:row>
    <x:row r="38" spans="1:16" ht="15" customHeight="1" x14ac:dyDescent="0.25">
      <x:c r="A38" s="606" t="s">
        <x:v>360</x:v>
      </x:c>
      <x:c r="B38" s="573" t="s">
        <x:v>26</x:v>
      </x:c>
      <x:c r="C38" s="611" t="s">
        <x:v>1002</x:v>
      </x:c>
      <x:c r="D38" s="607">
        <x:v>45762</x:v>
      </x:c>
      <x:c r="E38" s="569">
        <x:v>765.2</x:v>
      </x:c>
      <x:c r="F38" s="569">
        <x:v>91.82</x:v>
      </x:c>
      <x:c r="G38" s="466">
        <x:v>732.31</x:v>
      </x:c>
      <x:c r="H38" s="569">
        <x:v>101.01</x:v>
      </x:c>
      <x:c r="I38" s="607">
        <x:v>45770</x:v>
      </x:c>
      <x:c r="J38" s="433">
        <x:f>+E38-F38</x:f>
      </x:c>
      <x:c r="K38" s="468">
        <x:f>+I38-D38</x:f>
      </x:c>
      <x:c r="L38" s="503">
        <x:v>0.035</x:v>
      </x:c>
      <x:c r="M38" s="504">
        <x:f>+J38*L38</x:f>
      </x:c>
      <x:c r="O38" s="432"/>
    </x:row>
    <x:row r="39" spans="1:16" ht="15" customHeight="1" x14ac:dyDescent="0.25">
      <x:c r="A39" s="606" t="s">
        <x:v>625</x:v>
      </x:c>
      <x:c r="B39" s="573" t="s">
        <x:v>105</x:v>
      </x:c>
      <x:c r="C39" s="611" t="s">
        <x:v>1003</x:v>
      </x:c>
      <x:c r="D39" s="607">
        <x:v>45763</x:v>
      </x:c>
      <x:c r="E39" s="569">
        <x:v>121.44</x:v>
      </x:c>
      <x:c r="F39" s="569">
        <x:v>14.57</x:v>
      </x:c>
      <x:c r="G39" s="466">
        <x:v>116.22</x:v>
      </x:c>
      <x:c r="H39" s="569">
        <x:v>16.03</x:v>
      </x:c>
      <x:c r="I39" s="607">
        <x:v>45768</x:v>
      </x:c>
      <x:c r="J39" s="433">
        <x:f>+E39-F39</x:f>
      </x:c>
      <x:c r="K39" s="468">
        <x:f>+I39-D39</x:f>
      </x:c>
      <x:c r="L39" s="503">
        <x:v>0.035</x:v>
      </x:c>
      <x:c r="M39" s="504">
        <x:f>+J39*L39</x:f>
      </x:c>
      <x:c r="O39" s="432"/>
    </x:row>
    <x:row r="40" spans="1:16" ht="15" customHeight="1" x14ac:dyDescent="0.25">
      <x:c r="A40" s="549"/>
      <x:c r="B40" s="543"/>
      <x:c r="C40" s="525"/>
      <x:c r="D40" s="526"/>
      <x:c r="E40" s="527"/>
      <x:c r="F40" s="527"/>
      <x:c r="G40" s="528"/>
      <x:c r="H40" s="527"/>
      <x:c r="I40" s="529"/>
      <x:c r="J40" s="433"/>
      <x:c r="K40" s="468"/>
      <x:c r="L40" s="503"/>
      <x:c r="M40" s="504"/>
      <x:c r="O40" s="432"/>
    </x:row>
    <x:row r="41" spans="1:16" ht="15" customHeight="1" x14ac:dyDescent="0.3">
      <x:c r="G41" s="516">
        <x:f>SUM(G8:G40)</x:f>
      </x:c>
      <x:c r="J41" s="516">
        <x:f>SUM(J8:J40)</x:f>
      </x:c>
      <x:c r="M41" s="516">
        <x:f>SUM(M8:M40)</x:f>
      </x:c>
    </x:row>
    <x:row r="42" spans="1:16" ht="15" customHeight="1" x14ac:dyDescent="0.25">
      <x:c r="G42" s="435"/>
      <x:c r="H42" s="435"/>
    </x:row>
    <x:row r="43" spans="1:16" ht="15" customHeight="1" x14ac:dyDescent="0.25">
      <x:c r="A43" s="517" t="s">
        <x:v>30</x:v>
      </x:c>
      <x:c r="B43" s="517" t="s">
        <x:v>31</x:v>
      </x:c>
      <x:c r="C43" s="518" t="s">
        <x:v>32</x:v>
      </x:c>
      <x:c r="I43" s="608"/>
      <x:c r="J43" s="435"/>
    </x:row>
    <x:row r="44" spans="1:16" ht="15" customHeight="1" s="434" customFormat="1" x14ac:dyDescent="0.25">
      <x:c r="A44" s="487" t="s">
        <x:v>498</x:v>
      </x:c>
      <x:c r="B44" s="487" t="s">
        <x:v>1004</x:v>
      </x:c>
      <x:c r="C44" s="462" t="s">
        <x:v>1005</x:v>
      </x:c>
      <x:c r="D44" s="492">
        <x:v>45624</x:v>
      </x:c>
      <x:c r="E44" s="490">
        <x:v>441.836</x:v>
      </x:c>
      <x:c r="F44" s="490">
        <x:v>66.276</x:v>
      </x:c>
      <x:c r="G44" s="491">
        <x:v>431.89</x:v>
      </x:c>
      <x:c r="H44" s="490">
        <x:v>56.33</x:v>
      </x:c>
      <x:c r="I44" s="492">
        <x:v>45793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ht="15" customHeight="1" s="434" customFormat="1" x14ac:dyDescent="0.25">
      <x:c r="A45" s="487" t="s">
        <x:v>59</x:v>
      </x:c>
      <x:c r="B45" s="487" t="s">
        <x:v>1006</x:v>
      </x:c>
      <x:c r="C45" s="462" t="s">
        <x:v>1007</x:v>
      </x:c>
      <x:c r="D45" s="492">
        <x:v>45721</x:v>
      </x:c>
      <x:c r="E45" s="490">
        <x:v>2025.96</x:v>
      </x:c>
      <x:c r="F45" s="490">
        <x:v>405.19</x:v>
      </x:c>
      <x:c r="G45" s="502">
        <x:v>663.89</x:v>
      </x:c>
      <x:c r="H45" s="490">
        <x:v>243.12</x:v>
      </x:c>
      <x:c r="I45" s="492">
        <x:v>45797</x:v>
      </x:c>
      <x:c r="J45" s="433">
        <x:f>663.89/1.15</x:f>
      </x:c>
      <x:c r="K45" s="468">
        <x:f>+I45-D45</x:f>
      </x:c>
      <x:c r="L45" s="469">
        <x:v>0.03</x:v>
      </x:c>
      <x:c r="M45" s="433">
        <x:f>+J45*L45</x:f>
      </x:c>
      <x:c r="N45" s="470"/>
      <x:c r="O45" s="432"/>
    </x:row>
    <x:row r="46" spans="1:16" ht="15" customHeight="1" s="434" customFormat="1" x14ac:dyDescent="0.25">
      <x:c r="A46" s="487" t="s">
        <x:v>59</x:v>
      </x:c>
      <x:c r="B46" s="487" t="s">
        <x:v>1006</x:v>
      </x:c>
      <x:c r="C46" s="462" t="s">
        <x:v>1007</x:v>
      </x:c>
      <x:c r="D46" s="492">
        <x:v>45721</x:v>
      </x:c>
      <x:c r="E46" s="490">
        <x:v>2025.96</x:v>
      </x:c>
      <x:c r="F46" s="490">
        <x:v>405.19</x:v>
      </x:c>
      <x:c r="G46" s="502">
        <x:v>600</x:v>
      </x:c>
      <x:c r="H46" s="490">
        <x:v>243.12</x:v>
      </x:c>
      <x:c r="I46" s="492">
        <x:v>45818</x:v>
      </x:c>
      <x:c r="J46" s="433">
        <x:f>600/1.15</x:f>
      </x:c>
      <x:c r="K46" s="468">
        <x:f>+I46-D46</x:f>
      </x:c>
      <x:c r="L46" s="469">
        <x:v>0.03</x:v>
      </x:c>
      <x:c r="M46" s="433">
        <x:f>+J46*L46</x:f>
      </x:c>
      <x:c r="N46" s="470"/>
      <x:c r="O46" s="432"/>
    </x:row>
    <x:row r="47" spans="1:16" ht="15" customHeight="1" s="434" customFormat="1" x14ac:dyDescent="0.25">
      <x:c r="A47" s="487" t="s">
        <x:v>59</x:v>
      </x:c>
      <x:c r="B47" s="487" t="s">
        <x:v>1006</x:v>
      </x:c>
      <x:c r="C47" s="462" t="s">
        <x:v>1007</x:v>
      </x:c>
      <x:c r="D47" s="492">
        <x:v>45721</x:v>
      </x:c>
      <x:c r="E47" s="490">
        <x:v>2025.96</x:v>
      </x:c>
      <x:c r="F47" s="490">
        <x:v>405.19</x:v>
      </x:c>
      <x:c r="G47" s="502">
        <x:v>600</x:v>
      </x:c>
      <x:c r="H47" s="490">
        <x:v>243.12</x:v>
      </x:c>
      <x:c r="I47" s="492">
        <x:v>45828</x:v>
      </x:c>
      <x:c r="J47" s="433">
        <x:f>600/1.15</x:f>
      </x:c>
      <x:c r="K47" s="468">
        <x:f>+I47-D47</x:f>
      </x:c>
      <x:c r="L47" s="469">
        <x:v>0.03</x:v>
      </x:c>
      <x:c r="M47" s="433">
        <x:f>+J47*L47</x:f>
      </x:c>
      <x:c r="N47" s="470"/>
      <x:c r="O47" s="432"/>
    </x:row>
    <x:row r="48" spans="1:16" ht="15" customHeight="1" s="434" customFormat="1" x14ac:dyDescent="0.25">
      <x:c r="A48" s="487" t="s">
        <x:v>477</x:v>
      </x:c>
      <x:c r="B48" s="487" t="s">
        <x:v>1008</x:v>
      </x:c>
      <x:c r="C48" s="462" t="s">
        <x:v>1009</x:v>
      </x:c>
      <x:c r="D48" s="492">
        <x:v>45729</x:v>
      </x:c>
      <x:c r="E48" s="490">
        <x:v>1924.56</x:v>
      </x:c>
      <x:c r="F48" s="490">
        <x:v>327.18</x:v>
      </x:c>
      <x:c r="G48" s="491">
        <x:v>1737.16</x:v>
      </x:c>
      <x:c r="H48" s="490">
        <x:v>239.61</x:v>
      </x:c>
      <x:c r="I48" s="492">
        <x:v>45792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  <x:c r="N48" s="470"/>
      <x:c r="O48" s="432"/>
    </x:row>
    <x:row r="49" spans="1:16" ht="15" customHeight="1" s="434" customFormat="1" x14ac:dyDescent="0.25">
      <x:c r="A49" s="487" t="s">
        <x:v>324</x:v>
      </x:c>
      <x:c r="B49" s="487" t="s">
        <x:v>1010</x:v>
      </x:c>
      <x:c r="C49" s="462" t="s">
        <x:v>1011</x:v>
      </x:c>
      <x:c r="D49" s="492">
        <x:v>45742</x:v>
      </x:c>
      <x:c r="E49" s="490">
        <x:v>620.64</x:v>
      </x:c>
      <x:c r="F49" s="490">
        <x:v>93.1</x:v>
      </x:c>
      <x:c r="G49" s="491">
        <x:v>597.45</x:v>
      </x:c>
      <x:c r="H49" s="627">
        <x:v>79.13</x:v>
      </x:c>
      <x:c r="I49" s="492">
        <x:v>45823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  <x:c r="O49" s="432"/>
    </x:row>
    <x:row r="50" spans="1:16" ht="15" customHeight="1" s="434" customFormat="1" x14ac:dyDescent="0.25">
      <x:c r="A50" s="487" t="s">
        <x:v>477</x:v>
      </x:c>
      <x:c r="B50" s="487" t="s">
        <x:v>1012</x:v>
      </x:c>
      <x:c r="C50" s="462" t="s">
        <x:v>1013</x:v>
      </x:c>
      <x:c r="D50" s="492">
        <x:v>45747</x:v>
      </x:c>
      <x:c r="E50" s="490">
        <x:v>2376</x:v>
      </x:c>
      <x:c r="F50" s="490">
        <x:v>403.92</x:v>
      </x:c>
      <x:c r="G50" s="491">
        <x:v>1881.8</x:v>
      </x:c>
      <x:c r="H50" s="627">
        <x:v>295.81</x:v>
      </x:c>
      <x:c r="I50" s="492">
        <x:v>45823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  <x:c r="O50" s="432"/>
    </x:row>
    <x:row r="51" spans="1:16" ht="15" customHeight="1" s="434" customFormat="1" x14ac:dyDescent="0.25">
      <x:c r="A51" s="487" t="s">
        <x:v>118</x:v>
      </x:c>
      <x:c r="B51" s="487" t="s">
        <x:v>1014</x:v>
      </x:c>
      <x:c r="C51" s="462" t="s">
        <x:v>1015</x:v>
      </x:c>
      <x:c r="D51" s="492">
        <x:v>45748</x:v>
      </x:c>
      <x:c r="E51" s="490">
        <x:v>1108.8</x:v>
      </x:c>
      <x:c r="F51" s="490">
        <x:v>243.94</x:v>
      </x:c>
      <x:c r="G51" s="491">
        <x:v>947.02</x:v>
      </x:c>
      <x:c r="H51" s="490">
        <x:v>129.73</x:v>
      </x:c>
      <x:c r="I51" s="492">
        <x:v>45778</x:v>
      </x:c>
      <x:c r="J51" s="433">
        <x:f>+E51-F51</x:f>
      </x:c>
      <x:c r="K51" s="468">
        <x:f>+I51-D51</x:f>
      </x:c>
      <x:c r="L51" s="469">
        <x:v>0.03</x:v>
      </x:c>
      <x:c r="M51" s="433">
        <x:f>+J51*L51</x:f>
      </x:c>
      <x:c r="N51" s="470"/>
      <x:c r="O51" s="432"/>
    </x:row>
    <x:row r="52" spans="1:16" ht="15" customHeight="1" s="434" customFormat="1" x14ac:dyDescent="0.25">
      <x:c r="A52" s="487" t="s">
        <x:v>101</x:v>
      </x:c>
      <x:c r="B52" s="487" t="s">
        <x:v>1016</x:v>
      </x:c>
      <x:c r="C52" s="462" t="s">
        <x:v>1017</x:v>
      </x:c>
      <x:c r="D52" s="492">
        <x:v>45750</x:v>
      </x:c>
      <x:c r="E52" s="490">
        <x:v>153</x:v>
      </x:c>
      <x:c r="F52" s="490">
        <x:v>22.95</x:v>
      </x:c>
      <x:c r="G52" s="491">
        <x:v>141.43</x:v>
      </x:c>
      <x:c r="H52" s="490">
        <x:v>19.51</x:v>
      </x:c>
      <x:c r="I52" s="492">
        <x:v>45802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470"/>
      <x:c r="O52" s="432"/>
    </x:row>
    <x:row r="53" spans="1:16" ht="15" customHeight="1" s="434" customFormat="1" x14ac:dyDescent="0.25">
      <x:c r="A53" s="487" t="s">
        <x:v>101</x:v>
      </x:c>
      <x:c r="B53" s="487" t="s">
        <x:v>1016</x:v>
      </x:c>
      <x:c r="C53" s="462" t="s">
        <x:v>1018</x:v>
      </x:c>
      <x:c r="D53" s="492">
        <x:v>45755</x:v>
      </x:c>
      <x:c r="E53" s="490">
        <x:v>726.6</x:v>
      </x:c>
      <x:c r="F53" s="490">
        <x:v>108.99</x:v>
      </x:c>
      <x:c r="G53" s="491">
        <x:v>671.65</x:v>
      </x:c>
      <x:c r="H53" s="490">
        <x:v>92.64</x:v>
      </x:c>
      <x:c r="I53" s="492">
        <x:v>45802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16" ht="15" customHeight="1" s="434" customFormat="1" x14ac:dyDescent="0.25">
      <x:c r="A54" s="487" t="s">
        <x:v>136</x:v>
      </x:c>
      <x:c r="B54" s="487" t="s">
        <x:v>1019</x:v>
      </x:c>
      <x:c r="C54" s="462" t="s">
        <x:v>1020</x:v>
      </x:c>
      <x:c r="D54" s="492">
        <x:v>45756</x:v>
      </x:c>
      <x:c r="E54" s="490">
        <x:v>458.16</x:v>
      </x:c>
      <x:c r="F54" s="490">
        <x:v>91.63</x:v>
      </x:c>
      <x:c r="G54" s="491">
        <x:v>401.35</x:v>
      </x:c>
      <x:c r="H54" s="490">
        <x:v>54.98</x:v>
      </x:c>
      <x:c r="I54" s="492">
        <x:v>45786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16" ht="15" customHeight="1" s="434" customFormat="1" x14ac:dyDescent="0.25">
      <x:c r="A55" s="487" t="s">
        <x:v>136</x:v>
      </x:c>
      <x:c r="B55" s="487" t="s">
        <x:v>1021</x:v>
      </x:c>
      <x:c r="C55" s="462" t="s">
        <x:v>1022</x:v>
      </x:c>
      <x:c r="D55" s="492">
        <x:v>45762</x:v>
      </x:c>
      <x:c r="E55" s="490">
        <x:v>1231.2</x:v>
      </x:c>
      <x:c r="F55" s="490">
        <x:v>307.8</x:v>
      </x:c>
      <x:c r="G55" s="491">
        <x:v>1011.13</x:v>
      </x:c>
      <x:c r="H55" s="490">
        <x:v>138.51</x:v>
      </x:c>
      <x:c r="I55" s="492">
        <x:v>45793</x:v>
      </x:c>
      <x:c r="J55" s="433">
        <x:f>+E55-F55</x:f>
      </x:c>
      <x:c r="K55" s="468">
        <x:f>+I55-D55</x:f>
      </x:c>
      <x:c r="L55" s="469">
        <x:v>0.03</x:v>
      </x:c>
      <x:c r="M55" s="433">
        <x:f>+J55*L55</x:f>
      </x:c>
      <x:c r="N55" s="470"/>
      <x:c r="O55" s="432"/>
    </x:row>
    <x:row r="56" spans="1:16" ht="15" customHeight="1" s="434" customFormat="1" x14ac:dyDescent="0.25">
      <x:c r="A56" s="487" t="s">
        <x:v>1023</x:v>
      </x:c>
      <x:c r="B56" s="487" t="s">
        <x:v>1024</x:v>
      </x:c>
      <x:c r="C56" s="462" t="s">
        <x:v>1025</x:v>
      </x:c>
      <x:c r="D56" s="492">
        <x:v>45763</x:v>
      </x:c>
      <x:c r="E56" s="490">
        <x:v>316.8</x:v>
      </x:c>
      <x:c r="F56" s="490">
        <x:v>47.52</x:v>
      </x:c>
      <x:c r="G56" s="491">
        <x:v>309.67</x:v>
      </x:c>
      <x:c r="H56" s="490">
        <x:v>40.39</x:v>
      </x:c>
      <x:c r="I56" s="492">
        <x:v>45778</x:v>
      </x:c>
      <x:c r="J56" s="433">
        <x:f>+E56-F56</x:f>
      </x:c>
      <x:c r="K56" s="468">
        <x:f>+I56-D56</x:f>
      </x:c>
      <x:c r="L56" s="469">
        <x:v>0.03</x:v>
      </x:c>
      <x:c r="M56" s="433">
        <x:f>+J56*L56</x:f>
      </x:c>
      <x:c r="N56" s="470"/>
      <x:c r="O56" s="432"/>
    </x:row>
    <x:row r="57" spans="1:16" ht="15" customHeight="1" s="434" customFormat="1" x14ac:dyDescent="0.25">
      <x:c r="A57" s="487" t="s">
        <x:v>118</x:v>
      </x:c>
      <x:c r="B57" s="487" t="s">
        <x:v>1026</x:v>
      </x:c>
      <x:c r="C57" s="462" t="s">
        <x:v>1027</x:v>
      </x:c>
      <x:c r="D57" s="492">
        <x:v>45768</x:v>
      </x:c>
      <x:c r="E57" s="490">
        <x:v>3876.72</x:v>
      </x:c>
      <x:c r="F57" s="490">
        <x:v>969.18</x:v>
      </x:c>
      <x:c r="G57" s="491">
        <x:v>3161.95</x:v>
      </x:c>
      <x:c r="H57" s="490">
        <x:v>436.13</x:v>
      </x:c>
      <x:c r="I57" s="492">
        <x:v>45815</x:v>
      </x:c>
      <x:c r="J57" s="433">
        <x:f>+E57-F57</x:f>
      </x:c>
      <x:c r="K57" s="468">
        <x:f>+I57-D57</x:f>
      </x:c>
      <x:c r="L57" s="469">
        <x:v>0.03</x:v>
      </x:c>
      <x:c r="M57" s="433">
        <x:f>+J57*L57</x:f>
      </x:c>
      <x:c r="N57" s="470"/>
      <x:c r="O57" s="432"/>
    </x:row>
    <x:row r="58" spans="1:16" ht="15" customHeight="1" s="434" customFormat="1" x14ac:dyDescent="0.25">
      <x:c r="A58" s="487" t="s">
        <x:v>457</x:v>
      </x:c>
      <x:c r="B58" s="487" t="s">
        <x:v>1028</x:v>
      </x:c>
      <x:c r="C58" s="462" t="s">
        <x:v>1029</x:v>
      </x:c>
      <x:c r="D58" s="492">
        <x:v>45770</x:v>
      </x:c>
      <x:c r="E58" s="490">
        <x:v>276.36</x:v>
      </x:c>
      <x:c r="F58" s="490">
        <x:v>35.93</x:v>
      </x:c>
      <x:c r="G58" s="491">
        <x:v>276.49</x:v>
      </x:c>
      <x:c r="H58" s="490">
        <x:v>36.06</x:v>
      </x:c>
      <x:c r="I58" s="492">
        <x:v>45804</x:v>
      </x:c>
      <x:c r="J58" s="433">
        <x:f>+E58-F58</x:f>
      </x:c>
      <x:c r="K58" s="468">
        <x:f>+I58-D58</x:f>
      </x:c>
      <x:c r="L58" s="469">
        <x:v>0.03</x:v>
      </x:c>
      <x:c r="M58" s="433">
        <x:f>+J58*L58</x:f>
      </x:c>
      <x:c r="N58" s="470"/>
      <x:c r="O58" s="432"/>
    </x:row>
    <x:row r="59" spans="1:16" ht="15" customHeight="1" s="434" customFormat="1" x14ac:dyDescent="0.25">
      <x:c r="A59" s="487" t="s">
        <x:v>136</x:v>
      </x:c>
      <x:c r="B59" s="487" t="s">
        <x:v>1030</x:v>
      </x:c>
      <x:c r="C59" s="462" t="s">
        <x:v>1031</x:v>
      </x:c>
      <x:c r="D59" s="492">
        <x:v>45770</x:v>
      </x:c>
      <x:c r="E59" s="490">
        <x:v>1519.8</x:v>
      </x:c>
      <x:c r="F59" s="490">
        <x:v>379.95</x:v>
      </x:c>
      <x:c r="G59" s="491">
        <x:v>1248.14</x:v>
      </x:c>
      <x:c r="H59" s="490">
        <x:v>170.98</x:v>
      </x:c>
      <x:c r="I59" s="492">
        <x:v>45800</x:v>
      </x:c>
      <x:c r="J59" s="433">
        <x:f>+E59-F59</x:f>
      </x:c>
      <x:c r="K59" s="468">
        <x:f>+I59-D59</x:f>
      </x:c>
      <x:c r="L59" s="469">
        <x:v>0.03</x:v>
      </x:c>
      <x:c r="M59" s="433">
        <x:f>+J59*L59</x:f>
      </x:c>
      <x:c r="N59" s="470"/>
      <x:c r="O59" s="432"/>
    </x:row>
    <x:row r="60" spans="1:16" ht="15" customHeight="1" s="434" customFormat="1" x14ac:dyDescent="0.25">
      <x:c r="A60" s="487" t="s">
        <x:v>549</x:v>
      </x:c>
      <x:c r="B60" s="487" t="s">
        <x:v>1032</x:v>
      </x:c>
      <x:c r="C60" s="462" t="s">
        <x:v>1033</x:v>
      </x:c>
      <x:c r="D60" s="492">
        <x:v>45777</x:v>
      </x:c>
      <x:c r="E60" s="490">
        <x:v>1200</x:v>
      </x:c>
      <x:c r="F60" s="490">
        <x:v>300</x:v>
      </x:c>
      <x:c r="G60" s="491">
        <x:v>1035</x:v>
      </x:c>
      <x:c r="H60" s="490">
        <x:v>135</x:v>
      </x:c>
      <x:c r="I60" s="492">
        <x:v>45802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  <x:c r="N60" s="470"/>
      <x:c r="O60" s="432"/>
    </x:row>
    <x:row r="61" spans="1:16" ht="15" customHeight="1" s="434" customFormat="1" x14ac:dyDescent="0.25">
      <x:c r="A61" s="487" t="s">
        <x:v>75</x:v>
      </x:c>
      <x:c r="B61" s="522" t="s">
        <x:v>1034</x:v>
      </x:c>
      <x:c r="C61" s="462" t="s">
        <x:v>1035</x:v>
      </x:c>
      <x:c r="D61" s="492">
        <x:v>45771</x:v>
      </x:c>
      <x:c r="E61" s="610">
        <x:f>54.06+9.54</x:f>
      </x:c>
      <x:c r="F61" s="610">
        <x:v>9.54</x:v>
      </x:c>
      <x:c r="G61" s="502">
        <x:f>62.17</x:f>
      </x:c>
      <x:c r="H61" s="610">
        <x:v>8.11</x:v>
      </x:c>
      <x:c r="I61" s="467">
        <x:v>45782</x:v>
      </x:c>
      <x:c r="J61" s="433">
        <x:f>+E61-F61</x:f>
      </x:c>
      <x:c r="K61" s="468">
        <x:f>+I61-D61</x:f>
      </x:c>
      <x:c r="L61" s="469">
        <x:v>0.03</x:v>
      </x:c>
      <x:c r="M61" s="433">
        <x:f>+J61*L61</x:f>
      </x:c>
      <x:c r="N61" s="470"/>
      <x:c r="O61" s="432"/>
    </x:row>
    <x:row r="62" spans="1:16" ht="15" customHeight="1" s="432" customFormat="1" x14ac:dyDescent="0.3">
      <x:c r="A62" s="558"/>
      <x:c r="B62" s="559"/>
      <x:c r="C62" s="560"/>
      <x:c r="D62" s="561"/>
      <x:c r="E62" s="562"/>
      <x:c r="F62" s="562"/>
      <x:c r="G62" s="491"/>
      <x:c r="H62" s="490"/>
      <x:c r="I62" s="492"/>
      <x:c r="J62" s="433"/>
      <x:c r="K62" s="468"/>
      <x:c r="L62" s="469"/>
      <x:c r="M62" s="563"/>
      <x:c r="N62" s="470"/>
    </x:row>
    <x:row r="63" spans="1:16" ht="15" customHeight="1" x14ac:dyDescent="0.35">
      <x:c r="A63" s="493" t="s">
        <x:v>43</x:v>
      </x:c>
      <x:c r="B63" s="493"/>
      <x:c r="C63" s="493"/>
      <x:c r="D63" s="493"/>
      <x:c r="E63" s="493"/>
      <x:c r="F63" s="493"/>
      <x:c r="G63" s="516">
        <x:f>SUM(G41:G62)</x:f>
      </x:c>
      <x:c r="J63" s="516">
        <x:f>SUM(J41:J62)</x:f>
      </x:c>
      <x:c r="L63" s="495"/>
      <x:c r="M63" s="564">
        <x:f>SUM(M41:M62)</x:f>
      </x:c>
    </x:row>
    <x:row r="64" spans="1:16" ht="15" customHeight="1" x14ac:dyDescent="0.3">
      <x:c r="A64" s="520"/>
      <x:c r="G64" s="435"/>
    </x:row>
    <x:row r="65" spans="1:16" ht="15" customHeight="1" x14ac:dyDescent="0.3">
      <x:c r="A65" s="499"/>
      <x:c r="G65" s="435"/>
      <x:c r="J65" s="435"/>
    </x:row>
    <x:row r="66" spans="1:16" ht="15" customHeight="1" x14ac:dyDescent="0.3">
      <x:c r="A66" s="499"/>
      <x:c r="G66" s="435"/>
      <x:c r="J66" s="435"/>
    </x:row>
    <x:row r="67" spans="1:16" ht="15" customHeight="1" x14ac:dyDescent="0.3">
      <x:c r="A67" s="499"/>
      <x:c r="G67" s="435"/>
      <x:c r="J67" s="435">
        <x:f>J63*2%</x:f>
      </x:c>
      <x:c r="M67" s="565">
        <x:f>M63/12</x:f>
      </x:c>
      <x:c r="N67" s="431" t="s">
        <x:v>238</x:v>
      </x:c>
    </x:row>
    <x:row r="68" spans="1:16" ht="15" customHeight="1" x14ac:dyDescent="0.3">
      <x:c r="A68" s="499"/>
      <x:c r="G68" s="435"/>
      <x:c r="J68" s="565">
        <x:f>J67/12</x:f>
      </x:c>
      <x:c r="K68" s="429" t="s">
        <x:v>655</x:v>
      </x:c>
      <x:c r="M68" s="565">
        <x:f>M63/24</x:f>
      </x:c>
      <x:c r="N68" s="431" t="s">
        <x:v>238</x:v>
      </x:c>
    </x:row>
    <x:row r="69" spans="1:16" ht="15" customHeight="1" x14ac:dyDescent="0.3">
      <x:c r="A69" s="499"/>
      <x:c r="G69" s="435"/>
      <x:c r="J69" s="565">
        <x:f>J67/24</x:f>
      </x:c>
      <x:c r="K69" s="429" t="s">
        <x:v>655</x:v>
      </x:c>
    </x:row>
    <x:row r="70" spans="1:16" ht="15" customHeight="1" x14ac:dyDescent="0.3">
      <x:c r="A70" s="499"/>
      <x:c r="G70" s="435"/>
      <x:c r="J70" s="435"/>
      <x:c r="M70" s="435"/>
    </x:row>
    <x:row r="71" spans="1:16" ht="15" customHeight="1" x14ac:dyDescent="0.3">
      <x:c r="A71" s="499"/>
      <x:c r="G71" s="435"/>
      <x:c r="J71" s="435"/>
      <x:c r="M71" s="435"/>
    </x:row>
    <x:row r="72" spans="1:16" ht="15" customHeight="1" x14ac:dyDescent="0.3">
      <x:c r="A72" s="499"/>
      <x:c r="G72" s="435"/>
      <x:c r="J72" s="435"/>
      <x:c r="M72" s="435"/>
      <x:c r="O72" s="435"/>
    </x:row>
    <x:row r="73" spans="1:16" ht="15" customHeight="1" x14ac:dyDescent="0.3">
      <x:c r="A73" s="499"/>
      <x:c r="G73" s="435"/>
      <x:c r="J73" s="435"/>
      <x:c r="M73" s="435"/>
      <x:c r="O73" s="435"/>
    </x:row>
    <x:row r="74" spans="1:16" ht="15" customHeight="1" x14ac:dyDescent="0.3">
      <x:c r="A74" s="499"/>
      <x:c r="G74" s="435"/>
      <x:c r="J74" s="435"/>
      <x:c r="M74" s="435"/>
    </x:row>
    <x:row r="75" spans="1:16" ht="15" customHeight="1" x14ac:dyDescent="0.3">
      <x:c r="A75" s="499"/>
      <x:c r="G75" s="435"/>
      <x:c r="J75" s="435"/>
    </x:row>
    <x:row r="76" spans="1:16" ht="15" customHeight="1" x14ac:dyDescent="0.3">
      <x:c r="A76" s="499"/>
      <x:c r="G76" s="435"/>
      <x:c r="J76" s="435"/>
    </x:row>
    <x:row r="77" spans="1:16" ht="15" customHeight="1" x14ac:dyDescent="0.3">
      <x:c r="A77" s="499"/>
      <x:c r="G77" s="435"/>
      <x:c r="J77" s="435"/>
    </x:row>
    <x:row r="78" spans="1:16" ht="15" customHeight="1" x14ac:dyDescent="0.3">
      <x:c r="A78" s="499"/>
      <x:c r="G78" s="435"/>
      <x:c r="J78" s="435"/>
    </x:row>
    <x:row r="79" spans="1:16" ht="15" customHeight="1" x14ac:dyDescent="0.3">
      <x:c r="A79" s="499"/>
      <x:c r="G79" s="435"/>
      <x:c r="J79" s="435"/>
    </x:row>
    <x:row r="80" spans="1:16" ht="15" customHeight="1" x14ac:dyDescent="0.3">
      <x:c r="A80" s="520"/>
      <x:c r="J80" s="515"/>
      <x:c r="K80" s="515"/>
    </x:row>
  </x:sheetData>
  <x:sortState xmlns:xlrd2="http://schemas.microsoft.com/office/spreadsheetml/2017/richdata2" ref="A8:P39">
    <x:sortCondition ref="C8:C39"/>
  </x:sortState>
  <x:mergeCells count="2">
    <x:mergeCell ref="A3:F3"/>
    <x:mergeCell ref="A63:F63"/>
  </x:mergeCells>
  <x:printOptions horizontalCentered="0" verticalCentered="0" headings="0" gridLines="0"/>
  <x:pageMargins left="0.1968503937007874" right="0" top="0.5905511811023623" bottom="0" header="0" footer="0"/>
  <x:pageSetup paperSize="9" scale="74" pageOrder="downThenOver" orientation="landscape" blackAndWhite="0" draft="0" cellComments="none" errors="displayed" r:id="rId1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87EAF4F-804A-47DD-990E-6D8D1EB92B12}" mc:Ignorable="x14ac xr xr2 xr3">
  <x:sheetPr>
    <x:outlinePr summaryBelow="1" summaryRight="1"/>
  </x:sheetPr>
  <x:dimension ref="A1:O72"/>
  <x:sheetViews>
    <x:sheetView topLeftCell="A34" workbookViewId="0">
      <x:selection activeCell="X59" sqref="X59"/>
    </x:sheetView>
  </x:sheetViews>
  <x:sheetFormatPr baseColWidth="10" defaultColWidth="11.441406" defaultRowHeight="13.2" x14ac:dyDescent="0.25"/>
  <x:cols>
    <x:col min="1" max="1" width="39.441406" style="429" customWidth="1"/>
    <x:col min="2" max="2" width="28.664062" style="429" customWidth="1"/>
    <x:col min="3" max="3" width="25.332031" style="497" customWidth="1"/>
    <x:col min="4" max="4" width="10.332031" style="498" customWidth="1"/>
    <x:col min="5" max="5" width="11.664062" style="429" customWidth="1"/>
    <x:col min="6" max="6" width="10.109375" style="429" customWidth="1"/>
    <x:col min="7" max="7" width="11.886719" style="429" customWidth="1"/>
    <x:col min="8" max="8" width="9.886719" style="429" customWidth="1"/>
    <x:col min="9" max="9" width="10.664062" style="498" customWidth="1"/>
    <x:col min="10" max="10" width="11.441406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1036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461" t="s">
        <x:v>22</x:v>
      </x:c>
      <x:c r="B8" s="462" t="s">
        <x:v>23</x:v>
      </x:c>
      <x:c r="C8" s="463" t="s">
        <x:v>526</x:v>
      </x:c>
      <x:c r="D8" s="464">
        <x:v>45446</x:v>
      </x:c>
      <x:c r="E8" s="465">
        <x:v>6974.4</x:v>
      </x:c>
      <x:c r="F8" s="465">
        <x:v>2092.32</x:v>
      </x:c>
      <x:c r="G8" s="466">
        <x:v>250</x:v>
      </x:c>
      <x:c r="H8" s="465">
        <x:v>732.31</x:v>
      </x:c>
      <x:c r="I8" s="467">
        <x:v>45785</x:v>
      </x:c>
      <x:c r="J8" s="433">
        <x:f>250/1.15</x:f>
      </x:c>
      <x:c r="K8" s="468">
        <x:f>+I8-D8</x:f>
      </x:c>
      <x:c r="L8" s="503">
        <x:v>0</x:v>
      </x:c>
      <x:c r="M8" s="504">
        <x:f>+J8*L8</x:f>
      </x:c>
      <x:c r="O8" s="432"/>
    </x:row>
    <x:row r="9" spans="1:16" ht="15" customHeight="1" x14ac:dyDescent="0.25">
      <x:c r="A9" s="606" t="s">
        <x:v>1037</x:v>
      </x:c>
      <x:c r="B9" s="573" t="s">
        <x:v>320</x:v>
      </x:c>
      <x:c r="C9" s="611" t="s">
        <x:v>1038</x:v>
      </x:c>
      <x:c r="D9" s="607">
        <x:v>45630</x:v>
      </x:c>
      <x:c r="E9" s="569">
        <x:v>515.16</x:v>
      </x:c>
      <x:c r="F9" s="569">
        <x:v>77.27</x:v>
      </x:c>
      <x:c r="G9" s="466">
        <x:f>503.57-4.38-19.7</x:f>
      </x:c>
      <x:c r="H9" s="569">
        <x:v>65.68</x:v>
      </x:c>
      <x:c r="I9" s="467">
        <x:v>45807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606" t="s">
        <x:v>1037</x:v>
      </x:c>
      <x:c r="B10" s="573" t="s">
        <x:v>320</x:v>
      </x:c>
      <x:c r="C10" s="611" t="s">
        <x:v>1039</x:v>
      </x:c>
      <x:c r="D10" s="607">
        <x:v>45630</x:v>
      </x:c>
      <x:c r="E10" s="569">
        <x:v>1181.4</x:v>
      </x:c>
      <x:c r="F10" s="569">
        <x:v>177.21</x:v>
      </x:c>
      <x:c r="G10" s="466">
        <x:f>1154.82-10.04-45.19</x:f>
      </x:c>
      <x:c r="H10" s="569">
        <x:v>150.63</x:v>
      </x:c>
      <x:c r="I10" s="467">
        <x:v>45807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606" t="s">
        <x:v>1037</x:v>
      </x:c>
      <x:c r="B11" s="573" t="s">
        <x:v>320</x:v>
      </x:c>
      <x:c r="C11" s="611" t="s">
        <x:v>1040</x:v>
      </x:c>
      <x:c r="D11" s="607">
        <x:v>45631</x:v>
      </x:c>
      <x:c r="E11" s="569">
        <x:v>831.6</x:v>
      </x:c>
      <x:c r="F11" s="569">
        <x:v>124.74</x:v>
      </x:c>
      <x:c r="G11" s="466">
        <x:f>812.89-7.07-31.81</x:f>
      </x:c>
      <x:c r="H11" s="569">
        <x:v>106.03</x:v>
      </x:c>
      <x:c r="I11" s="467">
        <x:v>45804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606" t="s">
        <x:v>1037</x:v>
      </x:c>
      <x:c r="B12" s="573" t="s">
        <x:v>320</x:v>
      </x:c>
      <x:c r="C12" s="611" t="s">
        <x:v>1041</x:v>
      </x:c>
      <x:c r="D12" s="607">
        <x:v>45631</x:v>
      </x:c>
      <x:c r="E12" s="569">
        <x:v>611.88</x:v>
      </x:c>
      <x:c r="F12" s="569">
        <x:v>91.78</x:v>
      </x:c>
      <x:c r="G12" s="466">
        <x:f>598.11-5.2-23.4</x:f>
      </x:c>
      <x:c r="H12" s="569">
        <x:v>78.01</x:v>
      </x:c>
      <x:c r="I12" s="467">
        <x:v>45804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606" t="s">
        <x:v>49</x:v>
      </x:c>
      <x:c r="B13" s="573" t="s">
        <x:v>26</x:v>
      </x:c>
      <x:c r="C13" s="611" t="s">
        <x:v>1042</x:v>
      </x:c>
      <x:c r="D13" s="607">
        <x:v>45667</x:v>
      </x:c>
      <x:c r="E13" s="569">
        <x:v>46.8</x:v>
      </x:c>
      <x:c r="F13" s="569">
        <x:v>7.02</x:v>
      </x:c>
      <x:c r="G13" s="466">
        <x:v>43.56</x:v>
      </x:c>
      <x:c r="H13" s="569">
        <x:v>5.97</x:v>
      </x:c>
      <x:c r="I13" s="467">
        <x:v>45789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606" t="s">
        <x:v>49</x:v>
      </x:c>
      <x:c r="B14" s="573" t="s">
        <x:v>26</x:v>
      </x:c>
      <x:c r="C14" s="611" t="s">
        <x:v>1043</x:v>
      </x:c>
      <x:c r="D14" s="607">
        <x:v>45667</x:v>
      </x:c>
      <x:c r="E14" s="569">
        <x:v>918</x:v>
      </x:c>
      <x:c r="F14" s="569">
        <x:v>137.7</x:v>
      </x:c>
      <x:c r="G14" s="466">
        <x:v>854.43</x:v>
      </x:c>
      <x:c r="H14" s="569">
        <x:v>117.05</x:v>
      </x:c>
      <x:c r="I14" s="467">
        <x:v>45789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621" t="s">
        <x:v>1044</x:v>
      </x:c>
      <x:c r="B15" s="573" t="s">
        <x:v>26</x:v>
      </x:c>
      <x:c r="C15" s="628" t="s">
        <x:v>1045</x:v>
      </x:c>
      <x:c r="D15" s="607">
        <x:v>45694</x:v>
      </x:c>
      <x:c r="E15" s="569">
        <x:v>6916.92</x:v>
      </x:c>
      <x:c r="F15" s="569">
        <x:v>1383.38</x:v>
      </x:c>
      <x:c r="G15" s="466">
        <x:v>6017.72</x:v>
      </x:c>
      <x:c r="H15" s="621">
        <x:v>830.03</x:v>
      </x:c>
      <x:c r="I15" s="467">
        <x:v>45804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621" t="s">
        <x:v>1044</x:v>
      </x:c>
      <x:c r="B16" s="573" t="s">
        <x:v>26</x:v>
      </x:c>
      <x:c r="C16" s="628" t="s">
        <x:v>1046</x:v>
      </x:c>
      <x:c r="D16" s="607">
        <x:v>45694</x:v>
      </x:c>
      <x:c r="E16" s="569">
        <x:v>10085.28</x:v>
      </x:c>
      <x:c r="F16" s="569">
        <x:v>2017.06</x:v>
      </x:c>
      <x:c r="G16" s="466">
        <x:v>8774.19</x:v>
      </x:c>
      <x:c r="H16" s="621">
        <x:v>1210.23</x:v>
      </x:c>
      <x:c r="I16" s="467">
        <x:v>45804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606" t="s">
        <x:v>462</x:v>
      </x:c>
      <x:c r="B17" s="573" t="s">
        <x:v>463</x:v>
      </x:c>
      <x:c r="C17" s="611" t="s">
        <x:v>1047</x:v>
      </x:c>
      <x:c r="D17" s="607">
        <x:v>45706</x:v>
      </x:c>
      <x:c r="E17" s="569">
        <x:v>410.4</x:v>
      </x:c>
      <x:c r="F17" s="569">
        <x:v>61.56</x:v>
      </x:c>
      <x:c r="G17" s="466">
        <x:v>401.17</x:v>
      </x:c>
      <x:c r="H17" s="621">
        <x:v>52.33</x:v>
      </x:c>
      <x:c r="I17" s="467">
        <x:v>45786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606" t="s">
        <x:v>329</x:v>
      </x:c>
      <x:c r="B18" s="573" t="s">
        <x:v>330</x:v>
      </x:c>
      <x:c r="C18" s="611" t="s">
        <x:v>1048</x:v>
      </x:c>
      <x:c r="D18" s="607">
        <x:v>45708</x:v>
      </x:c>
      <x:c r="E18" s="569">
        <x:v>169.44</x:v>
      </x:c>
      <x:c r="F18" s="569">
        <x:v>25.42</x:v>
      </x:c>
      <x:c r="G18" s="466">
        <x:v>157.7</x:v>
      </x:c>
      <x:c r="H18" s="621">
        <x:v>21.6</x:v>
      </x:c>
      <x:c r="I18" s="467">
        <x:v>45798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606" t="s">
        <x:v>1049</x:v>
      </x:c>
      <x:c r="B19" s="573" t="s">
        <x:v>463</x:v>
      </x:c>
      <x:c r="C19" s="611" t="s">
        <x:v>1050</x:v>
      </x:c>
      <x:c r="D19" s="607">
        <x:v>45708</x:v>
      </x:c>
      <x:c r="E19" s="569">
        <x:v>255.24</x:v>
      </x:c>
      <x:c r="F19" s="569">
        <x:v>38.29</x:v>
      </x:c>
      <x:c r="G19" s="466">
        <x:v>249.49</x:v>
      </x:c>
      <x:c r="H19" s="621">
        <x:v>32.54</x:v>
      </x:c>
      <x:c r="I19" s="467">
        <x:v>45785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606" t="s">
        <x:v>114</x:v>
      </x:c>
      <x:c r="B20" s="573" t="s">
        <x:v>26</x:v>
      </x:c>
      <x:c r="C20" s="611" t="s">
        <x:v>1051</x:v>
      </x:c>
      <x:c r="D20" s="607">
        <x:v>45712</x:v>
      </x:c>
      <x:c r="E20" s="569">
        <x:v>429.6</x:v>
      </x:c>
      <x:c r="F20" s="569">
        <x:v>85.92</x:v>
      </x:c>
      <x:c r="G20" s="466">
        <x:v>376.32</x:v>
      </x:c>
      <x:c r="H20" s="621">
        <x:v>51.55</x:v>
      </x:c>
      <x:c r="I20" s="467">
        <x:v>45799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606" t="s">
        <x:v>1052</x:v>
      </x:c>
      <x:c r="B21" s="573" t="s">
        <x:v>333</x:v>
      </x:c>
      <x:c r="C21" s="611" t="s">
        <x:v>1053</x:v>
      </x:c>
      <x:c r="D21" s="622">
        <x:v>45716</x:v>
      </x:c>
      <x:c r="E21" s="569">
        <x:v>277.56</x:v>
      </x:c>
      <x:c r="F21" s="569">
        <x:v>41.63</x:v>
      </x:c>
      <x:c r="G21" s="466">
        <x:v>271.32</x:v>
      </x:c>
      <x:c r="H21" s="569">
        <x:v>35.39</x:v>
      </x:c>
      <x:c r="I21" s="467">
        <x:v>45786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606" t="s">
        <x:v>757</x:v>
      </x:c>
      <x:c r="B22" s="573" t="s">
        <x:v>401</x:v>
      </x:c>
      <x:c r="C22" s="611" t="s">
        <x:v>1054</x:v>
      </x:c>
      <x:c r="D22" s="607">
        <x:v>45726</x:v>
      </x:c>
      <x:c r="E22" s="569">
        <x:v>232.32</x:v>
      </x:c>
      <x:c r="F22" s="569">
        <x:v>34.85</x:v>
      </x:c>
      <x:c r="G22" s="466">
        <x:v>227.09</x:v>
      </x:c>
      <x:c r="H22" s="569">
        <x:v>29.62</x:v>
      </x:c>
      <x:c r="I22" s="467">
        <x:v>45798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606" t="s">
        <x:v>67</x:v>
      </x:c>
      <x:c r="B23" s="573" t="s">
        <x:v>26</x:v>
      </x:c>
      <x:c r="C23" s="611" t="s">
        <x:v>1055</x:v>
      </x:c>
      <x:c r="D23" s="607">
        <x:v>45729</x:v>
      </x:c>
      <x:c r="E23" s="569">
        <x:v>389.4</x:v>
      </x:c>
      <x:c r="F23" s="569">
        <x:v>77.88</x:v>
      </x:c>
      <x:c r="G23" s="466">
        <x:v>358.25</x:v>
      </x:c>
      <x:c r="H23" s="569">
        <x:v>46.73</x:v>
      </x:c>
      <x:c r="I23" s="467">
        <x:v>45804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606" t="s">
        <x:v>25</x:v>
      </x:c>
      <x:c r="B24" s="573" t="s">
        <x:v>26</x:v>
      </x:c>
      <x:c r="C24" s="611" t="s">
        <x:v>989</x:v>
      </x:c>
      <x:c r="D24" s="607">
        <x:v>45741</x:v>
      </x:c>
      <x:c r="E24" s="569">
        <x:v>306</x:v>
      </x:c>
      <x:c r="F24" s="569">
        <x:v>61.2</x:v>
      </x:c>
      <x:c r="G24" s="466">
        <x:v>266.22</x:v>
      </x:c>
      <x:c r="H24" s="626">
        <x:v>36.72</x:v>
      </x:c>
      <x:c r="I24" s="467">
        <x:v>45786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606" t="s">
        <x:v>924</x:v>
      </x:c>
      <x:c r="B25" s="573" t="s">
        <x:v>110</x:v>
      </x:c>
      <x:c r="C25" s="611" t="s">
        <x:v>1056</x:v>
      </x:c>
      <x:c r="D25" s="607">
        <x:v>45742</x:v>
      </x:c>
      <x:c r="E25" s="569">
        <x:v>291</x:v>
      </x:c>
      <x:c r="F25" s="569">
        <x:v>43.65</x:v>
      </x:c>
      <x:c r="G25" s="466">
        <x:v>268.99</x:v>
      </x:c>
      <x:c r="H25" s="626">
        <x:v>37.1</x:v>
      </x:c>
      <x:c r="I25" s="467">
        <x:v>45793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606" t="s">
        <x:v>343</x:v>
      </x:c>
      <x:c r="B26" s="573" t="s">
        <x:v>344</x:v>
      </x:c>
      <x:c r="C26" s="611" t="s">
        <x:v>1057</x:v>
      </x:c>
      <x:c r="D26" s="607">
        <x:v>45742</x:v>
      </x:c>
      <x:c r="E26" s="569">
        <x:v>360.91</x:v>
      </x:c>
      <x:c r="F26" s="569">
        <x:v>54.14</x:v>
      </x:c>
      <x:c r="G26" s="466">
        <x:v>352.78</x:v>
      </x:c>
      <x:c r="H26" s="626">
        <x:v>46.01</x:v>
      </x:c>
      <x:c r="I26" s="467">
        <x:v>45784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25">
      <x:c r="A27" s="606" t="s">
        <x:v>322</x:v>
      </x:c>
      <x:c r="B27" s="573" t="s">
        <x:v>320</x:v>
      </x:c>
      <x:c r="C27" s="611" t="s">
        <x:v>1058</x:v>
      </x:c>
      <x:c r="D27" s="607">
        <x:v>45742</x:v>
      </x:c>
      <x:c r="E27" s="569">
        <x:v>543.6</x:v>
      </x:c>
      <x:c r="F27" s="569">
        <x:v>81.54</x:v>
      </x:c>
      <x:c r="G27" s="466">
        <x:v>531.37</x:v>
      </x:c>
      <x:c r="H27" s="626">
        <x:v>69.31</x:v>
      </x:c>
      <x:c r="I27" s="467">
        <x:v>45807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25">
      <x:c r="A28" s="606" t="s">
        <x:v>25</x:v>
      </x:c>
      <x:c r="B28" s="573" t="s">
        <x:v>26</x:v>
      </x:c>
      <x:c r="C28" s="611" t="s">
        <x:v>1059</x:v>
      </x:c>
      <x:c r="D28" s="607">
        <x:v>45743</x:v>
      </x:c>
      <x:c r="E28" s="569">
        <x:v>102</x:v>
      </x:c>
      <x:c r="F28" s="569">
        <x:v>20.4</x:v>
      </x:c>
      <x:c r="G28" s="466">
        <x:v>88.74</x:v>
      </x:c>
      <x:c r="H28" s="626">
        <x:v>12.24</x:v>
      </x:c>
      <x:c r="I28" s="467">
        <x:v>45778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16" ht="15" customHeight="1" x14ac:dyDescent="0.25">
      <x:c r="A29" s="606" t="s">
        <x:v>296</x:v>
      </x:c>
      <x:c r="B29" s="573" t="s">
        <x:v>26</x:v>
      </x:c>
      <x:c r="C29" s="611" t="s">
        <x:v>1060</x:v>
      </x:c>
      <x:c r="D29" s="607">
        <x:v>45747</x:v>
      </x:c>
      <x:c r="E29" s="569">
        <x:v>117</x:v>
      </x:c>
      <x:c r="F29" s="569">
        <x:v>17.55</x:v>
      </x:c>
      <x:c r="G29" s="466">
        <x:v>114.37</x:v>
      </x:c>
      <x:c r="H29" s="626">
        <x:v>14.92</x:v>
      </x:c>
      <x:c r="I29" s="467">
        <x:v>45793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25">
      <x:c r="A30" s="606" t="s">
        <x:v>308</x:v>
      </x:c>
      <x:c r="B30" s="573" t="s">
        <x:v>309</x:v>
      </x:c>
      <x:c r="C30" s="611" t="s">
        <x:v>1061</x:v>
      </x:c>
      <x:c r="D30" s="607">
        <x:v>45750</x:v>
      </x:c>
      <x:c r="E30" s="569">
        <x:v>142.56</x:v>
      </x:c>
      <x:c r="F30" s="569">
        <x:v>21.38</x:v>
      </x:c>
      <x:c r="G30" s="466">
        <x:v>139.36</x:v>
      </x:c>
      <x:c r="H30" s="569">
        <x:v>18.18</x:v>
      </x:c>
      <x:c r="I30" s="467">
        <x:v>45798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16" ht="15" customHeight="1" x14ac:dyDescent="0.25">
      <x:c r="A31" s="606" t="s">
        <x:v>1037</x:v>
      </x:c>
      <x:c r="B31" s="573" t="s">
        <x:v>320</x:v>
      </x:c>
      <x:c r="C31" s="611" t="s">
        <x:v>1062</x:v>
      </x:c>
      <x:c r="D31" s="607">
        <x:v>45756</x:v>
      </x:c>
      <x:c r="E31" s="569">
        <x:v>234</x:v>
      </x:c>
      <x:c r="F31" s="569">
        <x:v>0</x:v>
      </x:c>
      <x:c r="G31" s="466">
        <x:f>269.1-4.1-10.53</x:f>
      </x:c>
      <x:c r="H31" s="569">
        <x:v>35.1</x:v>
      </x:c>
      <x:c r="I31" s="467">
        <x:v>45856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16" ht="15" customHeight="1" x14ac:dyDescent="0.25">
      <x:c r="A32" s="606" t="s">
        <x:v>367</x:v>
      </x:c>
      <x:c r="B32" s="573" t="s">
        <x:v>336</x:v>
      </x:c>
      <x:c r="C32" s="611" t="s">
        <x:v>1063</x:v>
      </x:c>
      <x:c r="D32" s="607">
        <x:v>45757</x:v>
      </x:c>
      <x:c r="E32" s="569">
        <x:v>601.8</x:v>
      </x:c>
      <x:c r="F32" s="569">
        <x:v>90.27</x:v>
      </x:c>
      <x:c r="G32" s="466">
        <x:v>588.26</x:v>
      </x:c>
      <x:c r="H32" s="569">
        <x:v>76.73</x:v>
      </x:c>
      <x:c r="I32" s="467">
        <x:v>45789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  <x:c r="O32" s="432"/>
    </x:row>
    <x:row r="33" spans="1:16" ht="15" customHeight="1" x14ac:dyDescent="0.25">
      <x:c r="A33" s="606" t="s">
        <x:v>1037</x:v>
      </x:c>
      <x:c r="B33" s="573" t="s">
        <x:v>320</x:v>
      </x:c>
      <x:c r="C33" s="611" t="s">
        <x:v>1064</x:v>
      </x:c>
      <x:c r="D33" s="607">
        <x:v>45764</x:v>
      </x:c>
      <x:c r="E33" s="569">
        <x:v>468</x:v>
      </x:c>
      <x:c r="F33" s="569">
        <x:v>70.2</x:v>
      </x:c>
      <x:c r="G33" s="466">
        <x:f>457.47-6.96-17.9</x:f>
      </x:c>
      <x:c r="H33" s="569">
        <x:v>59.67</x:v>
      </x:c>
      <x:c r="I33" s="467">
        <x:v>45856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16" ht="15" customHeight="1" x14ac:dyDescent="0.25">
      <x:c r="A34" s="606" t="s">
        <x:v>308</x:v>
      </x:c>
      <x:c r="B34" s="573" t="s">
        <x:v>309</x:v>
      </x:c>
      <x:c r="C34" s="611" t="s">
        <x:v>1065</x:v>
      </x:c>
      <x:c r="D34" s="607">
        <x:v>45771</x:v>
      </x:c>
      <x:c r="E34" s="569">
        <x:v>61.2</x:v>
      </x:c>
      <x:c r="F34" s="569">
        <x:v>9.18</x:v>
      </x:c>
      <x:c r="G34" s="466">
        <x:v>59.82</x:v>
      </x:c>
      <x:c r="H34" s="569">
        <x:v>7.8</x:v>
      </x:c>
      <x:c r="I34" s="467">
        <x:v>45798</x:v>
      </x:c>
      <x:c r="J34" s="433">
        <x:f>+E34-F34</x:f>
      </x:c>
      <x:c r="K34" s="468">
        <x:f>+I34-D34</x:f>
      </x:c>
      <x:c r="L34" s="503">
        <x:v>0.035</x:v>
      </x:c>
      <x:c r="M34" s="504">
        <x:f>+J34*L34</x:f>
      </x:c>
      <x:c r="O34" s="432"/>
    </x:row>
    <x:row r="35" spans="1:16" ht="15" customHeight="1" x14ac:dyDescent="0.25">
      <x:c r="A35" s="606" t="s">
        <x:v>52</x:v>
      </x:c>
      <x:c r="B35" s="573" t="s">
        <x:v>53</x:v>
      </x:c>
      <x:c r="C35" s="611" t="s">
        <x:v>1066</x:v>
      </x:c>
      <x:c r="D35" s="607">
        <x:v>45771</x:v>
      </x:c>
      <x:c r="E35" s="569">
        <x:v>1455.19</x:v>
      </x:c>
      <x:c r="F35" s="569">
        <x:v>363.8</x:v>
      </x:c>
      <x:c r="G35" s="466">
        <x:v>1186.89</x:v>
      </x:c>
      <x:c r="H35" s="569">
        <x:v>163.71</x:v>
      </x:c>
      <x:c r="I35" s="467">
        <x:v>45783</x:v>
      </x:c>
      <x:c r="J35" s="433">
        <x:f>+E35-F35</x:f>
      </x:c>
      <x:c r="K35" s="468">
        <x:f>+I35-D35</x:f>
      </x:c>
      <x:c r="L35" s="503">
        <x:v>0.035</x:v>
      </x:c>
      <x:c r="M35" s="504">
        <x:f>+J35*L35</x:f>
      </x:c>
      <x:c r="O35" s="432"/>
    </x:row>
    <x:row r="36" spans="1:16" ht="15" customHeight="1" x14ac:dyDescent="0.25">
      <x:c r="A36" s="606" t="s">
        <x:v>1037</x:v>
      </x:c>
      <x:c r="B36" s="573" t="s">
        <x:v>320</x:v>
      </x:c>
      <x:c r="C36" s="611" t="s">
        <x:v>1067</x:v>
      </x:c>
      <x:c r="D36" s="607">
        <x:v>45772</x:v>
      </x:c>
      <x:c r="E36" s="569">
        <x:v>1020</x:v>
      </x:c>
      <x:c r="F36" s="569">
        <x:v>153</x:v>
      </x:c>
      <x:c r="G36" s="466">
        <x:f>997.05-15.17-39.02-525</x:f>
      </x:c>
      <x:c r="H36" s="569">
        <x:v>130.05</x:v>
      </x:c>
      <x:c r="I36" s="467">
        <x:v>45856</x:v>
      </x:c>
      <x:c r="J36" s="433">
        <x:f>377.5/1.15</x:f>
      </x:c>
      <x:c r="K36" s="468">
        <x:f>+I36-D36</x:f>
      </x:c>
      <x:c r="L36" s="503">
        <x:v>0.03</x:v>
      </x:c>
      <x:c r="M36" s="504">
        <x:f>+J36*L36</x:f>
      </x:c>
      <x:c r="O36" s="432"/>
    </x:row>
    <x:row r="37" spans="1:16" ht="15" customHeight="1" x14ac:dyDescent="0.25">
      <x:c r="A37" s="606" t="s">
        <x:v>354</x:v>
      </x:c>
      <x:c r="B37" s="573" t="s">
        <x:v>110</x:v>
      </x:c>
      <x:c r="C37" s="611" t="s">
        <x:v>1068</x:v>
      </x:c>
      <x:c r="D37" s="607">
        <x:v>45775</x:v>
      </x:c>
      <x:c r="E37" s="569">
        <x:v>237.6</x:v>
      </x:c>
      <x:c r="F37" s="569">
        <x:v>35.64</x:v>
      </x:c>
      <x:c r="G37" s="466">
        <x:v>219.63</x:v>
      </x:c>
      <x:c r="H37" s="569">
        <x:v>30.29</x:v>
      </x:c>
      <x:c r="I37" s="467">
        <x:v>45798</x:v>
      </x:c>
      <x:c r="J37" s="433">
        <x:f>+E37-F37</x:f>
      </x:c>
      <x:c r="K37" s="468">
        <x:f>+I37-D37</x:f>
      </x:c>
      <x:c r="L37" s="503">
        <x:v>0.035</x:v>
      </x:c>
      <x:c r="M37" s="504">
        <x:f>+J37*L37</x:f>
      </x:c>
      <x:c r="O37" s="432"/>
    </x:row>
    <x:row r="38" spans="1:16" ht="15" customHeight="1" x14ac:dyDescent="0.25">
      <x:c r="A38" s="606" t="s">
        <x:v>523</x:v>
      </x:c>
      <x:c r="B38" s="573" t="s">
        <x:v>26</x:v>
      </x:c>
      <x:c r="C38" s="611" t="s">
        <x:v>1069</x:v>
      </x:c>
      <x:c r="D38" s="607">
        <x:v>45778.6755787037</x:v>
      </x:c>
      <x:c r="E38" s="569">
        <x:v>850</x:v>
      </x:c>
      <x:c r="F38" s="569">
        <x:v>170</x:v>
      </x:c>
      <x:c r="G38" s="466">
        <x:v>673.2</x:v>
      </x:c>
      <x:c r="H38" s="569">
        <x:v>102</x:v>
      </x:c>
      <x:c r="I38" s="467">
        <x:v>45804</x:v>
      </x:c>
      <x:c r="J38" s="433">
        <x:f>+E38-F38</x:f>
      </x:c>
      <x:c r="K38" s="468">
        <x:f>+I38-D38</x:f>
      </x:c>
      <x:c r="L38" s="503">
        <x:v>0.035</x:v>
      </x:c>
      <x:c r="M38" s="504">
        <x:f>+J38*L38</x:f>
      </x:c>
      <x:c r="O38" s="432"/>
    </x:row>
    <x:row r="39" spans="1:16" ht="15" customHeight="1" x14ac:dyDescent="0.25">
      <x:c r="A39" s="487" t="s">
        <x:v>946</x:v>
      </x:c>
      <x:c r="B39" s="573" t="s">
        <x:v>26</x:v>
      </x:c>
      <x:c r="C39" s="462" t="s">
        <x:v>1070</x:v>
      </x:c>
      <x:c r="D39" s="492">
        <x:v>45782.6470138889</x:v>
      </x:c>
      <x:c r="E39" s="610">
        <x:f>82.62+9.18</x:f>
      </x:c>
      <x:c r="F39" s="610">
        <x:v>9.18</x:v>
      </x:c>
      <x:c r="G39" s="502">
        <x:f>95.01-1.45-3.72</x:f>
      </x:c>
      <x:c r="H39" s="610">
        <x:v>12.39</x:v>
      </x:c>
      <x:c r="I39" s="467">
        <x:v>45792</x:v>
      </x:c>
      <x:c r="J39" s="433">
        <x:f>+E39-F39</x:f>
      </x:c>
      <x:c r="K39" s="468">
        <x:f>+I39-D39</x:f>
      </x:c>
      <x:c r="L39" s="503">
        <x:v>0.035</x:v>
      </x:c>
      <x:c r="M39" s="504">
        <x:f>+J39*L39</x:f>
      </x:c>
      <x:c r="O39" s="432"/>
    </x:row>
    <x:row r="40" spans="1:16" ht="15" customHeight="1" x14ac:dyDescent="0.25">
      <x:c r="A40" s="606" t="s">
        <x:v>205</x:v>
      </x:c>
      <x:c r="B40" s="573" t="s">
        <x:v>26</x:v>
      </x:c>
      <x:c r="C40" s="611" t="s">
        <x:v>1071</x:v>
      </x:c>
      <x:c r="D40" s="607">
        <x:v>45783.5295833333</x:v>
      </x:c>
      <x:c r="E40" s="569">
        <x:v>61.2</x:v>
      </x:c>
      <x:c r="F40" s="569">
        <x:v>0</x:v>
      </x:c>
      <x:c r="G40" s="466">
        <x:v>70.38</x:v>
      </x:c>
      <x:c r="H40" s="569">
        <x:v>9.18</x:v>
      </x:c>
      <x:c r="I40" s="607">
        <x:v>45785</x:v>
      </x:c>
      <x:c r="J40" s="433">
        <x:f>+E40-F40</x:f>
      </x:c>
      <x:c r="K40" s="468">
        <x:f>+I40-D40</x:f>
      </x:c>
      <x:c r="L40" s="503">
        <x:v>0.04</x:v>
      </x:c>
      <x:c r="M40" s="504">
        <x:f>+J40*L40</x:f>
      </x:c>
      <x:c r="O40" s="432"/>
    </x:row>
    <x:row r="41" spans="1:16" ht="15" customHeight="1" x14ac:dyDescent="0.25">
      <x:c r="A41" s="606" t="s">
        <x:v>322</x:v>
      </x:c>
      <x:c r="B41" s="573" t="s">
        <x:v>320</x:v>
      </x:c>
      <x:c r="C41" s="611" t="s">
        <x:v>1072</x:v>
      </x:c>
      <x:c r="D41" s="607">
        <x:v>45784.5470601852</x:v>
      </x:c>
      <x:c r="E41" s="569">
        <x:v>441.6</x:v>
      </x:c>
      <x:c r="F41" s="569">
        <x:v>66.24</x:v>
      </x:c>
      <x:c r="G41" s="466">
        <x:v>431.66</x:v>
      </x:c>
      <x:c r="H41" s="569">
        <x:v>56.3</x:v>
      </x:c>
      <x:c r="I41" s="467">
        <x:v>45807</x:v>
      </x:c>
      <x:c r="J41" s="433">
        <x:f>+E41-F41</x:f>
      </x:c>
      <x:c r="K41" s="468">
        <x:f>+I41-D41</x:f>
      </x:c>
      <x:c r="L41" s="503">
        <x:v>0.035</x:v>
      </x:c>
      <x:c r="M41" s="504">
        <x:f>+J41*L41</x:f>
      </x:c>
      <x:c r="O41" s="432"/>
    </x:row>
    <x:row r="42" spans="1:16" ht="15" customHeight="1" x14ac:dyDescent="0.25">
      <x:c r="A42" s="606" t="s">
        <x:v>114</x:v>
      </x:c>
      <x:c r="B42" s="573" t="s">
        <x:v>26</x:v>
      </x:c>
      <x:c r="C42" s="611" t="s">
        <x:v>1073</x:v>
      </x:c>
      <x:c r="D42" s="607">
        <x:v>45790.6250462963</x:v>
      </x:c>
      <x:c r="E42" s="569">
        <x:v>125.4</x:v>
      </x:c>
      <x:c r="F42" s="569">
        <x:v>25.08</x:v>
      </x:c>
      <x:c r="G42" s="615">
        <x:v>109.09</x:v>
      </x:c>
      <x:c r="H42" s="569">
        <x:v>15.05</x:v>
      </x:c>
      <x:c r="I42" s="607">
        <x:v>45791</x:v>
      </x:c>
      <x:c r="J42" s="433">
        <x:f>+E42-F42</x:f>
      </x:c>
      <x:c r="K42" s="468">
        <x:f>+I42-D42</x:f>
      </x:c>
      <x:c r="L42" s="503">
        <x:v>0.04</x:v>
      </x:c>
      <x:c r="M42" s="504">
        <x:f>+J42*L42</x:f>
      </x:c>
      <x:c r="O42" s="432"/>
    </x:row>
    <x:row r="43" spans="1:16" ht="15" customHeight="1" x14ac:dyDescent="0.25">
      <x:c r="A43" s="606" t="s">
        <x:v>225</x:v>
      </x:c>
      <x:c r="B43" s="573" t="s">
        <x:v>105</x:v>
      </x:c>
      <x:c r="C43" s="611" t="s">
        <x:v>1074</x:v>
      </x:c>
      <x:c r="D43" s="607">
        <x:v>45797.4318402778</x:v>
      </x:c>
      <x:c r="E43" s="569">
        <x:v>1492.08</x:v>
      </x:c>
      <x:c r="F43" s="569">
        <x:v>373.02</x:v>
      </x:c>
      <x:c r="G43" s="615">
        <x:v>1216.98</x:v>
      </x:c>
      <x:c r="H43" s="569">
        <x:v>167.86</x:v>
      </x:c>
      <x:c r="I43" s="467">
        <x:v>45803</x:v>
      </x:c>
      <x:c r="J43" s="433">
        <x:f>+E43-F43</x:f>
      </x:c>
      <x:c r="K43" s="468">
        <x:f>+I43-D43</x:f>
      </x:c>
      <x:c r="L43" s="503">
        <x:v>0.04</x:v>
      </x:c>
      <x:c r="M43" s="504">
        <x:f>+J43*L43</x:f>
      </x:c>
      <x:c r="O43" s="432"/>
    </x:row>
    <x:row r="44" spans="1:16" ht="15" customHeight="1" x14ac:dyDescent="0.25">
      <x:c r="A44" s="606" t="s">
        <x:v>167</x:v>
      </x:c>
      <x:c r="B44" s="573" t="s">
        <x:v>26</x:v>
      </x:c>
      <x:c r="C44" s="611" t="s">
        <x:v>1075</x:v>
      </x:c>
      <x:c r="D44" s="607">
        <x:v>45804.5989351852</x:v>
      </x:c>
      <x:c r="E44" s="569">
        <x:v>98.64</x:v>
      </x:c>
      <x:c r="F44" s="569">
        <x:v>14.8</x:v>
      </x:c>
      <x:c r="G44" s="615">
        <x:v>96.42</x:v>
      </x:c>
      <x:c r="H44" s="569">
        <x:v>12.58</x:v>
      </x:c>
      <x:c r="I44" s="607">
        <x:v>45806</x:v>
      </x:c>
      <x:c r="J44" s="433">
        <x:f>+E44-F44</x:f>
      </x:c>
      <x:c r="K44" s="468">
        <x:f>+I44-D44</x:f>
      </x:c>
      <x:c r="L44" s="503">
        <x:v>0.04</x:v>
      </x:c>
      <x:c r="M44" s="504">
        <x:f>+J44*L44</x:f>
      </x:c>
      <x:c r="O44" s="432"/>
    </x:row>
    <x:row r="45" spans="1:16" ht="15" customHeight="1" x14ac:dyDescent="0.25">
      <x:c r="A45" s="549"/>
      <x:c r="B45" s="543"/>
      <x:c r="C45" s="525"/>
      <x:c r="D45" s="526"/>
      <x:c r="E45" s="527"/>
      <x:c r="F45" s="527"/>
      <x:c r="G45" s="528"/>
      <x:c r="H45" s="527"/>
      <x:c r="I45" s="529"/>
      <x:c r="J45" s="433"/>
      <x:c r="K45" s="468"/>
      <x:c r="L45" s="503"/>
      <x:c r="M45" s="504"/>
      <x:c r="O45" s="432"/>
    </x:row>
    <x:row r="46" spans="1:16" ht="15" customHeight="1" x14ac:dyDescent="0.3">
      <x:c r="G46" s="516">
        <x:f>SUM(G8:G45)</x:f>
      </x:c>
      <x:c r="J46" s="516">
        <x:f>SUM(J8:J45)</x:f>
      </x:c>
      <x:c r="M46" s="516">
        <x:f>SUM(M8:M45)</x:f>
      </x:c>
    </x:row>
    <x:row r="47" spans="1:16" ht="15" customHeight="1" x14ac:dyDescent="0.25">
      <x:c r="G47" s="435"/>
      <x:c r="H47" s="435"/>
    </x:row>
    <x:row r="48" spans="1:16" ht="15" customHeight="1" x14ac:dyDescent="0.25">
      <x:c r="A48" s="517" t="s">
        <x:v>30</x:v>
      </x:c>
      <x:c r="B48" s="517" t="s">
        <x:v>31</x:v>
      </x:c>
      <x:c r="C48" s="518" t="s">
        <x:v>32</x:v>
      </x:c>
      <x:c r="I48" s="608"/>
      <x:c r="J48" s="435"/>
    </x:row>
    <x:row r="49" spans="1:16" ht="15" customHeight="1" s="434" customFormat="1" x14ac:dyDescent="0.25">
      <x:c r="A49" s="487" t="s">
        <x:v>1037</x:v>
      </x:c>
      <x:c r="B49" s="487" t="s">
        <x:v>1076</x:v>
      </x:c>
      <x:c r="C49" s="462" t="s">
        <x:v>1077</x:v>
      </x:c>
      <x:c r="D49" s="492">
        <x:v>45635</x:v>
      </x:c>
      <x:c r="E49" s="490">
        <x:v>468</x:v>
      </x:c>
      <x:c r="F49" s="490">
        <x:v>70.2</x:v>
      </x:c>
      <x:c r="G49" s="491">
        <x:f>457.47-3.98-17.9</x:f>
      </x:c>
      <x:c r="H49" s="490">
        <x:v>59.67</x:v>
      </x:c>
      <x:c r="I49" s="492">
        <x:v>45804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  <x:c r="O49" s="432"/>
    </x:row>
    <x:row r="50" spans="1:16" ht="15" customHeight="1" s="434" customFormat="1" x14ac:dyDescent="0.25">
      <x:c r="A50" s="487" t="s">
        <x:v>164</x:v>
      </x:c>
      <x:c r="B50" s="487" t="s">
        <x:v>1078</x:v>
      </x:c>
      <x:c r="C50" s="462" t="s">
        <x:v>1079</x:v>
      </x:c>
      <x:c r="D50" s="492">
        <x:v>45769</x:v>
      </x:c>
      <x:c r="E50" s="610">
        <x:f>219.91+38.81</x:f>
      </x:c>
      <x:c r="F50" s="610">
        <x:v>38.81</x:v>
      </x:c>
      <x:c r="G50" s="502">
        <x:f>252.9</x:f>
      </x:c>
      <x:c r="H50" s="610">
        <x:v>32.99</x:v>
      </x:c>
      <x:c r="I50" s="467">
        <x:v>45810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  <x:c r="O50" s="432"/>
    </x:row>
    <x:row r="51" spans="1:16" ht="15" customHeight="1" s="434" customFormat="1" x14ac:dyDescent="0.25">
      <x:c r="A51" s="487" t="s">
        <x:v>164</x:v>
      </x:c>
      <x:c r="B51" s="487" t="s">
        <x:v>1078</x:v>
      </x:c>
      <x:c r="C51" s="462" t="s">
        <x:v>1080</x:v>
      </x:c>
      <x:c r="D51" s="492">
        <x:v>45776</x:v>
      </x:c>
      <x:c r="E51" s="610">
        <x:f>276.73+48.83</x:f>
      </x:c>
      <x:c r="F51" s="610">
        <x:v>48.83</x:v>
      </x:c>
      <x:c r="G51" s="502">
        <x:f>318.24</x:f>
      </x:c>
      <x:c r="H51" s="610">
        <x:v>41.51</x:v>
      </x:c>
      <x:c r="I51" s="467">
        <x:v>45810</x:v>
      </x:c>
      <x:c r="J51" s="433">
        <x:f>+E51-F51</x:f>
      </x:c>
      <x:c r="K51" s="468">
        <x:f>+I51-D51</x:f>
      </x:c>
      <x:c r="L51" s="469">
        <x:v>0.03</x:v>
      </x:c>
      <x:c r="M51" s="433">
        <x:f>+J51*L51</x:f>
      </x:c>
      <x:c r="N51" s="470"/>
      <x:c r="O51" s="432"/>
    </x:row>
    <x:row r="52" spans="1:16" ht="15" customHeight="1" s="434" customFormat="1" x14ac:dyDescent="0.25">
      <x:c r="A52" s="487" t="s">
        <x:v>118</x:v>
      </x:c>
      <x:c r="B52" s="487" t="s">
        <x:v>1081</x:v>
      </x:c>
      <x:c r="C52" s="462" t="s">
        <x:v>1082</x:v>
      </x:c>
      <x:c r="D52" s="492">
        <x:v>45782.5275231482</x:v>
      </x:c>
      <x:c r="E52" s="610">
        <x:f>636.48+179.52</x:f>
      </x:c>
      <x:c r="F52" s="610">
        <x:v>179.52</x:v>
      </x:c>
      <x:c r="G52" s="502">
        <x:f>731.95-11.14-28.64</x:f>
      </x:c>
      <x:c r="H52" s="610">
        <x:v>95.47</x:v>
      </x:c>
      <x:c r="I52" s="467">
        <x:v>45815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470"/>
      <x:c r="O52" s="432"/>
    </x:row>
    <x:row r="53" spans="1:16" ht="15" customHeight="1" s="434" customFormat="1" x14ac:dyDescent="0.25">
      <x:c r="A53" s="487" t="s">
        <x:v>70</x:v>
      </x:c>
      <x:c r="B53" s="487" t="s">
        <x:v>1083</x:v>
      </x:c>
      <x:c r="C53" s="462" t="s">
        <x:v>1084</x:v>
      </x:c>
      <x:c r="D53" s="492">
        <x:v>45789.4130787037</x:v>
      </x:c>
      <x:c r="E53" s="610">
        <x:f>59.67+10.53</x:f>
      </x:c>
      <x:c r="F53" s="610">
        <x:v>10.53</x:v>
      </x:c>
      <x:c r="G53" s="502">
        <x:f>68.62-0.6-2.69</x:f>
      </x:c>
      <x:c r="H53" s="610">
        <x:v>8.95</x:v>
      </x:c>
      <x:c r="I53" s="467">
        <x:v>45820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16" ht="15" customHeight="1" s="432" customFormat="1" x14ac:dyDescent="0.3">
      <x:c r="A54" s="558"/>
      <x:c r="B54" s="559"/>
      <x:c r="C54" s="560"/>
      <x:c r="D54" s="561"/>
      <x:c r="E54" s="562"/>
      <x:c r="F54" s="562"/>
      <x:c r="G54" s="491"/>
      <x:c r="H54" s="490"/>
      <x:c r="I54" s="492"/>
      <x:c r="J54" s="433"/>
      <x:c r="K54" s="468"/>
      <x:c r="L54" s="469"/>
      <x:c r="M54" s="563"/>
      <x:c r="N54" s="470"/>
    </x:row>
    <x:row r="55" spans="1:16" ht="15" customHeight="1" x14ac:dyDescent="0.35">
      <x:c r="A55" s="493" t="s">
        <x:v>43</x:v>
      </x:c>
      <x:c r="B55" s="493"/>
      <x:c r="C55" s="493"/>
      <x:c r="D55" s="493"/>
      <x:c r="E55" s="493"/>
      <x:c r="F55" s="493"/>
      <x:c r="G55" s="516">
        <x:f>SUM(G46:G54)</x:f>
      </x:c>
      <x:c r="J55" s="516">
        <x:f>SUM(J46:J54)</x:f>
      </x:c>
      <x:c r="L55" s="495"/>
      <x:c r="M55" s="564">
        <x:f>SUM(M46:M54)</x:f>
      </x:c>
    </x:row>
    <x:row r="56" spans="1:16" ht="15" customHeight="1" x14ac:dyDescent="0.3">
      <x:c r="A56" s="520"/>
      <x:c r="G56" s="435"/>
    </x:row>
    <x:row r="57" spans="1:16" ht="15" customHeight="1" x14ac:dyDescent="0.3">
      <x:c r="A57" s="499"/>
      <x:c r="G57" s="435"/>
      <x:c r="J57" s="435"/>
    </x:row>
    <x:row r="58" spans="1:16" ht="15" customHeight="1" x14ac:dyDescent="0.3">
      <x:c r="A58" s="499"/>
      <x:c r="G58" s="435"/>
      <x:c r="J58" s="435"/>
    </x:row>
    <x:row r="59" spans="1:16" ht="15" customHeight="1" x14ac:dyDescent="0.3">
      <x:c r="A59" s="499"/>
      <x:c r="G59" s="435"/>
      <x:c r="J59" s="435">
        <x:f>J55*2%</x:f>
      </x:c>
      <x:c r="M59" s="565">
        <x:f>M55/12</x:f>
      </x:c>
      <x:c r="N59" s="431" t="s">
        <x:v>238</x:v>
      </x:c>
    </x:row>
    <x:row r="60" spans="1:16" ht="15" customHeight="1" x14ac:dyDescent="0.3">
      <x:c r="A60" s="499"/>
      <x:c r="G60" s="435"/>
      <x:c r="J60" s="565">
        <x:f>J59/12</x:f>
      </x:c>
      <x:c r="K60" s="429" t="s">
        <x:v>655</x:v>
      </x:c>
      <x:c r="M60" s="565">
        <x:f>M55/24</x:f>
      </x:c>
      <x:c r="N60" s="431" t="s">
        <x:v>238</x:v>
      </x:c>
    </x:row>
    <x:row r="61" spans="1:16" ht="15" customHeight="1" x14ac:dyDescent="0.3">
      <x:c r="A61" s="499"/>
      <x:c r="G61" s="435"/>
      <x:c r="J61" s="565">
        <x:f>J59/24</x:f>
      </x:c>
      <x:c r="K61" s="429" t="s">
        <x:v>655</x:v>
      </x:c>
    </x:row>
    <x:row r="62" spans="1:16" ht="15" customHeight="1" x14ac:dyDescent="0.3">
      <x:c r="A62" s="499"/>
      <x:c r="G62" s="435"/>
      <x:c r="J62" s="435"/>
      <x:c r="M62" s="435"/>
    </x:row>
    <x:row r="63" spans="1:16" ht="15" customHeight="1" x14ac:dyDescent="0.3">
      <x:c r="A63" s="499"/>
      <x:c r="G63" s="435"/>
      <x:c r="J63" s="435"/>
      <x:c r="M63" s="435"/>
    </x:row>
    <x:row r="64" spans="1:16" ht="15" customHeight="1" x14ac:dyDescent="0.3">
      <x:c r="A64" s="499"/>
      <x:c r="G64" s="435"/>
      <x:c r="J64" s="435"/>
      <x:c r="M64" s="435"/>
      <x:c r="O64" s="435"/>
    </x:row>
    <x:row r="65" spans="1:16" ht="15" customHeight="1" x14ac:dyDescent="0.3">
      <x:c r="A65" s="499"/>
      <x:c r="G65" s="435"/>
      <x:c r="J65" s="435"/>
      <x:c r="M65" s="435"/>
      <x:c r="O65" s="435"/>
    </x:row>
    <x:row r="66" spans="1:16" ht="15" customHeight="1" x14ac:dyDescent="0.3">
      <x:c r="A66" s="499"/>
      <x:c r="G66" s="435"/>
      <x:c r="J66" s="435"/>
      <x:c r="M66" s="435"/>
    </x:row>
    <x:row r="67" spans="1:16" ht="15" customHeight="1" x14ac:dyDescent="0.3">
      <x:c r="A67" s="499"/>
      <x:c r="G67" s="435"/>
      <x:c r="J67" s="435"/>
    </x:row>
    <x:row r="68" spans="1:16" ht="15" customHeight="1" x14ac:dyDescent="0.3">
      <x:c r="A68" s="499"/>
      <x:c r="G68" s="435"/>
      <x:c r="J68" s="435"/>
    </x:row>
    <x:row r="69" spans="1:16" ht="15" customHeight="1" x14ac:dyDescent="0.3">
      <x:c r="A69" s="499"/>
      <x:c r="G69" s="435"/>
      <x:c r="J69" s="435"/>
    </x:row>
    <x:row r="70" spans="1:16" ht="15" customHeight="1" x14ac:dyDescent="0.3">
      <x:c r="A70" s="499"/>
      <x:c r="G70" s="435"/>
      <x:c r="J70" s="435"/>
    </x:row>
    <x:row r="71" spans="1:16" ht="15" customHeight="1" x14ac:dyDescent="0.3">
      <x:c r="A71" s="499"/>
      <x:c r="G71" s="435"/>
      <x:c r="J71" s="435"/>
    </x:row>
    <x:row r="72" spans="1:16" ht="15" customHeight="1" x14ac:dyDescent="0.3">
      <x:c r="A72" s="520"/>
      <x:c r="J72" s="515"/>
      <x:c r="K72" s="515"/>
    </x:row>
  </x:sheetData>
  <x:sortState xmlns:xlrd2="http://schemas.microsoft.com/office/spreadsheetml/2017/richdata2" ref="A8:P44">
    <x:sortCondition ref="C8:C44"/>
  </x:sortState>
  <x:mergeCells count="2">
    <x:mergeCell ref="A3:F3"/>
    <x:mergeCell ref="A55:F55"/>
  </x:mergeCells>
  <x:printOptions horizontalCentered="0" verticalCentered="0" headings="0" gridLines="0"/>
  <x:pageMargins left="0.3937007874015748" right="0" top="0.1968503937007874" bottom="0" header="0" footer="0"/>
  <x:pageSetup paperSize="9" scale="70" pageOrder="downThenOver" orientation="landscape" blackAndWhite="0" draft="0" cellComments="none" errors="displayed" r:id="rId1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292E547-0ACC-4F22-A319-5990C71F2A6A}" mc:Ignorable="x14ac xr xr2 xr3">
  <x:sheetPr>
    <x:outlinePr summaryBelow="1" summaryRight="1"/>
  </x:sheetPr>
  <x:dimension ref="A1:O57"/>
  <x:sheetViews>
    <x:sheetView topLeftCell="A32" workbookViewId="0">
      <x:selection activeCell="J54" sqref="J54"/>
    </x:sheetView>
  </x:sheetViews>
  <x:sheetFormatPr baseColWidth="10" defaultColWidth="11.441406" defaultRowHeight="13.2" x14ac:dyDescent="0.25"/>
  <x:cols>
    <x:col min="1" max="1" width="33.554688" style="429" customWidth="1"/>
    <x:col min="2" max="2" width="28.664062" style="429" customWidth="1"/>
    <x:col min="3" max="3" width="24.886719" style="497" customWidth="1"/>
    <x:col min="4" max="4" width="10.332031" style="498" customWidth="1"/>
    <x:col min="5" max="5" width="11.664062" style="429" customWidth="1"/>
    <x:col min="6" max="6" width="9" style="429" customWidth="1"/>
    <x:col min="7" max="7" width="11.441406" style="429" customWidth="1"/>
    <x:col min="8" max="8" width="9.886719" style="429" customWidth="1"/>
    <x:col min="9" max="9" width="10.664062" style="498" customWidth="1"/>
    <x:col min="10" max="10" width="11.441406" style="429" customWidth="1"/>
    <x:col min="11" max="11" width="5.886719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1085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606" t="s">
        <x:v>49</x:v>
      </x:c>
      <x:c r="B8" s="573" t="s">
        <x:v>26</x:v>
      </x:c>
      <x:c r="C8" s="611" t="s">
        <x:v>1086</x:v>
      </x:c>
      <x:c r="D8" s="607">
        <x:v>45672</x:v>
      </x:c>
      <x:c r="E8" s="569">
        <x:v>70.2</x:v>
      </x:c>
      <x:c r="F8" s="569">
        <x:v>0</x:v>
      </x:c>
      <x:c r="G8" s="466">
        <x:v>76.87</x:v>
      </x:c>
      <x:c r="H8" s="569">
        <x:v>10.53</x:v>
      </x:c>
      <x:c r="I8" s="467">
        <x:v>45824</x:v>
      </x:c>
      <x:c r="J8" s="433">
        <x:f>+E8-F8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606" t="s">
        <x:v>49</x:v>
      </x:c>
      <x:c r="B9" s="573" t="s">
        <x:v>26</x:v>
      </x:c>
      <x:c r="C9" s="611" t="s">
        <x:v>1087</x:v>
      </x:c>
      <x:c r="D9" s="607">
        <x:v>45692</x:v>
      </x:c>
      <x:c r="E9" s="569">
        <x:v>246.36</x:v>
      </x:c>
      <x:c r="F9" s="569">
        <x:v>36.95</x:v>
      </x:c>
      <x:c r="G9" s="466">
        <x:v>227.74</x:v>
      </x:c>
      <x:c r="H9" s="569">
        <x:v>31.41</x:v>
      </x:c>
      <x:c r="I9" s="467">
        <x:v>45824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606" t="s">
        <x:v>790</x:v>
      </x:c>
      <x:c r="B10" s="573" t="s">
        <x:v>463</x:v>
      </x:c>
      <x:c r="C10" s="611" t="s">
        <x:v>1088</x:v>
      </x:c>
      <x:c r="D10" s="607">
        <x:v>45705</x:v>
      </x:c>
      <x:c r="E10" s="569">
        <x:v>418.2</x:v>
      </x:c>
      <x:c r="F10" s="569">
        <x:v>62.73</x:v>
      </x:c>
      <x:c r="G10" s="466">
        <x:v>389.24</x:v>
      </x:c>
      <x:c r="H10" s="621">
        <x:v>53.32</x:v>
      </x:c>
      <x:c r="I10" s="467">
        <x:v>45817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606" t="s">
        <x:v>790</x:v>
      </x:c>
      <x:c r="B11" s="573" t="s">
        <x:v>463</x:v>
      </x:c>
      <x:c r="C11" s="611" t="s">
        <x:v>1089</x:v>
      </x:c>
      <x:c r="D11" s="607">
        <x:v>45705</x:v>
      </x:c>
      <x:c r="E11" s="569">
        <x:v>858.96</x:v>
      </x:c>
      <x:c r="F11" s="569">
        <x:v>128.84</x:v>
      </x:c>
      <x:c r="G11" s="466">
        <x:v>799.48</x:v>
      </x:c>
      <x:c r="H11" s="621">
        <x:v>109.52</x:v>
      </x:c>
      <x:c r="I11" s="467">
        <x:v>45817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606" t="s">
        <x:v>49</x:v>
      </x:c>
      <x:c r="B12" s="573" t="s">
        <x:v>26</x:v>
      </x:c>
      <x:c r="C12" s="611" t="s">
        <x:v>1090</x:v>
      </x:c>
      <x:c r="D12" s="607">
        <x:v>45706</x:v>
      </x:c>
      <x:c r="E12" s="569">
        <x:v>40.8</x:v>
      </x:c>
      <x:c r="F12" s="569">
        <x:v>6.12</x:v>
      </x:c>
      <x:c r="G12" s="466">
        <x:v>37.71</x:v>
      </x:c>
      <x:c r="H12" s="621">
        <x:v>5.2</x:v>
      </x:c>
      <x:c r="I12" s="467">
        <x:v>45824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606" t="s">
        <x:v>57</x:v>
      </x:c>
      <x:c r="B13" s="573" t="s">
        <x:v>26</x:v>
      </x:c>
      <x:c r="C13" s="611" t="s">
        <x:v>1091</x:v>
      </x:c>
      <x:c r="D13" s="607">
        <x:v>45735</x:v>
      </x:c>
      <x:c r="E13" s="569">
        <x:v>1579.32</x:v>
      </x:c>
      <x:c r="F13" s="569">
        <x:v>315.86</x:v>
      </x:c>
      <x:c r="G13" s="466">
        <x:v>1374.01</x:v>
      </x:c>
      <x:c r="H13" s="569">
        <x:v>189.52</x:v>
      </x:c>
      <x:c r="I13" s="467">
        <x:v>45838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606" t="s">
        <x:v>57</x:v>
      </x:c>
      <x:c r="B14" s="573" t="s">
        <x:v>26</x:v>
      </x:c>
      <x:c r="C14" s="611" t="s">
        <x:v>1092</x:v>
      </x:c>
      <x:c r="D14" s="607">
        <x:v>45742</x:v>
      </x:c>
      <x:c r="E14" s="569">
        <x:v>2805</x:v>
      </x:c>
      <x:c r="F14" s="569">
        <x:v>561</x:v>
      </x:c>
      <x:c r="G14" s="466">
        <x:v>1758.52</x:v>
      </x:c>
      <x:c r="H14" s="626">
        <x:v>336.6</x:v>
      </x:c>
      <x:c r="I14" s="467">
        <x:v>45838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606" t="s">
        <x:v>1093</x:v>
      </x:c>
      <x:c r="B15" s="573" t="s">
        <x:v>47</x:v>
      </x:c>
      <x:c r="C15" s="611" t="s">
        <x:v>1094</x:v>
      </x:c>
      <x:c r="D15" s="607">
        <x:v>45742</x:v>
      </x:c>
      <x:c r="E15" s="569">
        <x:v>403.92</x:v>
      </x:c>
      <x:c r="F15" s="569">
        <x:v>60.59</x:v>
      </x:c>
      <x:c r="G15" s="466">
        <x:v>300</x:v>
      </x:c>
      <x:c r="H15" s="626">
        <x:v>51.5</x:v>
      </x:c>
      <x:c r="I15" s="467">
        <x:v>45838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606" t="s">
        <x:v>36</x:v>
      </x:c>
      <x:c r="B16" s="573" t="s">
        <x:v>26</x:v>
      </x:c>
      <x:c r="C16" s="611" t="s">
        <x:v>1095</x:v>
      </x:c>
      <x:c r="D16" s="607">
        <x:v>45748</x:v>
      </x:c>
      <x:c r="E16" s="569">
        <x:v>540.96</x:v>
      </x:c>
      <x:c r="F16" s="569">
        <x:v>135.24</x:v>
      </x:c>
      <x:c r="G16" s="466">
        <x:v>444.26</x:v>
      </x:c>
      <x:c r="H16" s="569">
        <x:v>60.86</x:v>
      </x:c>
      <x:c r="I16" s="467">
        <x:v>45824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606" t="s">
        <x:v>711</x:v>
      </x:c>
      <x:c r="B17" s="573" t="s">
        <x:v>26</x:v>
      </x:c>
      <x:c r="C17" s="611" t="s">
        <x:v>1096</x:v>
      </x:c>
      <x:c r="D17" s="607">
        <x:v>45755</x:v>
      </x:c>
      <x:c r="E17" s="569">
        <x:v>306.6</x:v>
      </x:c>
      <x:c r="F17" s="569">
        <x:v>45.99</x:v>
      </x:c>
      <x:c r="G17" s="466">
        <x:v>299.7</x:v>
      </x:c>
      <x:c r="H17" s="569">
        <x:v>39.09</x:v>
      </x:c>
      <x:c r="I17" s="467">
        <x:v>45825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606" t="s">
        <x:v>400</x:v>
      </x:c>
      <x:c r="B18" s="573" t="s">
        <x:v>401</x:v>
      </x:c>
      <x:c r="C18" s="611" t="s">
        <x:v>1097</x:v>
      </x:c>
      <x:c r="D18" s="607">
        <x:v>45757</x:v>
      </x:c>
      <x:c r="E18" s="569">
        <x:v>369</x:v>
      </x:c>
      <x:c r="F18" s="569">
        <x:v>55.35</x:v>
      </x:c>
      <x:c r="G18" s="466">
        <x:v>120.7</x:v>
      </x:c>
      <x:c r="H18" s="569">
        <x:v>47.05</x:v>
      </x:c>
      <x:c r="I18" s="467">
        <x:v>45831</x:v>
      </x:c>
      <x:c r="J18" s="433">
        <x:f>120.7/1.15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606" t="s">
        <x:v>49</x:v>
      </x:c>
      <x:c r="B19" s="573" t="s">
        <x:v>26</x:v>
      </x:c>
      <x:c r="C19" s="611" t="s">
        <x:v>1098</x:v>
      </x:c>
      <x:c r="D19" s="607">
        <x:v>45762</x:v>
      </x:c>
      <x:c r="E19" s="569">
        <x:v>216.96</x:v>
      </x:c>
      <x:c r="F19" s="569">
        <x:v>32.54</x:v>
      </x:c>
      <x:c r="G19" s="466">
        <x:v>200.55</x:v>
      </x:c>
      <x:c r="H19" s="569">
        <x:v>27.66</x:v>
      </x:c>
      <x:c r="I19" s="467">
        <x:v>45824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606" t="s">
        <x:v>67</x:v>
      </x:c>
      <x:c r="B20" s="573" t="s">
        <x:v>26</x:v>
      </x:c>
      <x:c r="C20" s="611" t="s">
        <x:v>1099</x:v>
      </x:c>
      <x:c r="D20" s="607">
        <x:v>45768</x:v>
      </x:c>
      <x:c r="E20" s="569">
        <x:v>390.6</x:v>
      </x:c>
      <x:c r="F20" s="569">
        <x:v>78.12</x:v>
      </x:c>
      <x:c r="G20" s="466">
        <x:f>359.35</x:f>
      </x:c>
      <x:c r="H20" s="569">
        <x:v>46.87</x:v>
      </x:c>
      <x:c r="I20" s="467">
        <x:v>45832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606" t="s">
        <x:v>57</x:v>
      </x:c>
      <x:c r="B21" s="573" t="s">
        <x:v>26</x:v>
      </x:c>
      <x:c r="C21" s="611" t="s">
        <x:v>1100</x:v>
      </x:c>
      <x:c r="D21" s="607">
        <x:v>45770</x:v>
      </x:c>
      <x:c r="E21" s="569">
        <x:v>855.36</x:v>
      </x:c>
      <x:c r="F21" s="569">
        <x:v>171.07</x:v>
      </x:c>
      <x:c r="G21" s="466">
        <x:v>744.16</x:v>
      </x:c>
      <x:c r="H21" s="569">
        <x:v>102.64</x:v>
      </x:c>
      <x:c r="I21" s="467">
        <x:v>45838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606" t="s">
        <x:v>228</x:v>
      </x:c>
      <x:c r="B22" s="573" t="s">
        <x:v>155</x:v>
      </x:c>
      <x:c r="C22" s="611" t="s">
        <x:v>1101</x:v>
      </x:c>
      <x:c r="D22" s="607">
        <x:v>45776</x:v>
      </x:c>
      <x:c r="E22" s="569">
        <x:v>105.6</x:v>
      </x:c>
      <x:c r="F22" s="569">
        <x:v>17.95</x:v>
      </x:c>
      <x:c r="G22" s="466">
        <x:v>95.97</x:v>
      </x:c>
      <x:c r="H22" s="569">
        <x:v>13.15</x:v>
      </x:c>
      <x:c r="I22" s="467">
        <x:v>45819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606" t="s">
        <x:v>101</x:v>
      </x:c>
      <x:c r="B23" s="573" t="s">
        <x:v>26</x:v>
      </x:c>
      <x:c r="C23" s="611" t="s">
        <x:v>1102</x:v>
      </x:c>
      <x:c r="D23" s="607">
        <x:v>45783.3356018519</x:v>
      </x:c>
      <x:c r="E23" s="569">
        <x:v>114</x:v>
      </x:c>
      <x:c r="F23" s="569">
        <x:v>17.1</x:v>
      </x:c>
      <x:c r="G23" s="466">
        <x:v>105.38</x:v>
      </x:c>
      <x:c r="H23" s="569">
        <x:v>14.54</x:v>
      </x:c>
      <x:c r="I23" s="467">
        <x:v>45828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606" t="s">
        <x:v>339</x:v>
      </x:c>
      <x:c r="B24" s="573" t="s">
        <x:v>333</x:v>
      </x:c>
      <x:c r="C24" s="611" t="s">
        <x:v>1103</x:v>
      </x:c>
      <x:c r="D24" s="607">
        <x:v>45785.677662037</x:v>
      </x:c>
      <x:c r="E24" s="569">
        <x:v>954.24</x:v>
      </x:c>
      <x:c r="F24" s="569">
        <x:v>143.14</x:v>
      </x:c>
      <x:c r="G24" s="466">
        <x:v>400</x:v>
      </x:c>
      <x:c r="H24" s="569">
        <x:v>121.67</x:v>
      </x:c>
      <x:c r="I24" s="467">
        <x:v>45828</x:v>
      </x:c>
      <x:c r="J24" s="433">
        <x:f>400/1.15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606" t="s">
        <x:v>1104</x:v>
      </x:c>
      <x:c r="B25" s="573" t="s">
        <x:v>333</x:v>
      </x:c>
      <x:c r="C25" s="611" t="s">
        <x:v>1105</x:v>
      </x:c>
      <x:c r="D25" s="607">
        <x:v>45786.3457175926</x:v>
      </x:c>
      <x:c r="E25" s="569">
        <x:v>200.88</x:v>
      </x:c>
      <x:c r="F25" s="569">
        <x:v>30.13</x:v>
      </x:c>
      <x:c r="G25" s="466">
        <x:v>196.36</x:v>
      </x:c>
      <x:c r="H25" s="569">
        <x:v>25.61</x:v>
      </x:c>
      <x:c r="I25" s="467">
        <x:v>45832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606" t="s">
        <x:v>422</x:v>
      </x:c>
      <x:c r="B26" s="573" t="s">
        <x:v>463</x:v>
      </x:c>
      <x:c r="C26" s="611" t="s">
        <x:v>1106</x:v>
      </x:c>
      <x:c r="D26" s="607">
        <x:v>45786.3457175926</x:v>
      </x:c>
      <x:c r="E26" s="569">
        <x:v>163.68</x:v>
      </x:c>
      <x:c r="F26" s="569">
        <x:v>24.55</x:v>
      </x:c>
      <x:c r="G26" s="466">
        <x:v>160</x:v>
      </x:c>
      <x:c r="H26" s="569">
        <x:v>20.87</x:v>
      </x:c>
      <x:c r="I26" s="467">
        <x:v>45828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25">
      <x:c r="A27" s="606" t="s">
        <x:v>335</x:v>
      </x:c>
      <x:c r="B27" s="573" t="s">
        <x:v>336</x:v>
      </x:c>
      <x:c r="C27" s="611" t="s">
        <x:v>1107</x:v>
      </x:c>
      <x:c r="D27" s="607">
        <x:v>45786.3457175926</x:v>
      </x:c>
      <x:c r="E27" s="569">
        <x:v>828.96</x:v>
      </x:c>
      <x:c r="F27" s="569">
        <x:v>140.92</x:v>
      </x:c>
      <x:c r="G27" s="466">
        <x:v>748.25</x:v>
      </x:c>
      <x:c r="H27" s="569">
        <x:v>103.21</x:v>
      </x:c>
      <x:c r="I27" s="467">
        <x:v>45825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25">
      <x:c r="A28" s="606" t="s">
        <x:v>25</x:v>
      </x:c>
      <x:c r="B28" s="573" t="s">
        <x:v>26</x:v>
      </x:c>
      <x:c r="C28" s="611" t="s">
        <x:v>1108</x:v>
      </x:c>
      <x:c r="D28" s="607">
        <x:v>45790.3812384259</x:v>
      </x:c>
      <x:c r="E28" s="569">
        <x:v>714</x:v>
      </x:c>
      <x:c r="F28" s="569">
        <x:v>142.8</x:v>
      </x:c>
      <x:c r="G28" s="466">
        <x:v>621.18</x:v>
      </x:c>
      <x:c r="H28" s="569">
        <x:v>85.68</x:v>
      </x:c>
      <x:c r="I28" s="467">
        <x:v>45814</x:v>
      </x:c>
      <x:c r="J28" s="433">
        <x:f>+E28-F28</x:f>
      </x:c>
      <x:c r="K28" s="468">
        <x:f>+I28-D28</x:f>
      </x:c>
      <x:c r="L28" s="503">
        <x:v>0.035</x:v>
      </x:c>
      <x:c r="M28" s="504">
        <x:f>+J28*L28</x:f>
      </x:c>
      <x:c r="O28" s="432"/>
    </x:row>
    <x:row r="29" spans="1:16" ht="15" customHeight="1" x14ac:dyDescent="0.25">
      <x:c r="A29" s="606" t="s">
        <x:v>52</x:v>
      </x:c>
      <x:c r="B29" s="573" t="s">
        <x:v>53</x:v>
      </x:c>
      <x:c r="C29" s="611" t="s">
        <x:v>1109</x:v>
      </x:c>
      <x:c r="D29" s="607">
        <x:v>45792.4553240741</x:v>
      </x:c>
      <x:c r="E29" s="569">
        <x:v>722.28</x:v>
      </x:c>
      <x:c r="F29" s="569">
        <x:v>180.57</x:v>
      </x:c>
      <x:c r="G29" s="466">
        <x:v>622.97</x:v>
      </x:c>
      <x:c r="H29" s="569">
        <x:v>81.26</x:v>
      </x:c>
      <x:c r="I29" s="607">
        <x:v>45824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25">
      <x:c r="A30" s="606" t="s">
        <x:v>460</x:v>
      </x:c>
      <x:c r="B30" s="573" t="s">
        <x:v>333</x:v>
      </x:c>
      <x:c r="C30" s="611" t="s">
        <x:v>1110</x:v>
      </x:c>
      <x:c r="D30" s="607">
        <x:v>45793.6016435185</x:v>
      </x:c>
      <x:c r="E30" s="569">
        <x:v>127.32</x:v>
      </x:c>
      <x:c r="F30" s="569">
        <x:v>19.1</x:v>
      </x:c>
      <x:c r="G30" s="466">
        <x:v>124.45</x:v>
      </x:c>
      <x:c r="H30" s="569">
        <x:v>16.23</x:v>
      </x:c>
      <x:c r="I30" s="607">
        <x:v>45832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16" ht="15" customHeight="1" x14ac:dyDescent="0.25">
      <x:c r="A31" s="606" t="s">
        <x:v>25</x:v>
      </x:c>
      <x:c r="B31" s="573" t="s">
        <x:v>26</x:v>
      </x:c>
      <x:c r="C31" s="611" t="s">
        <x:v>1111</x:v>
      </x:c>
      <x:c r="D31" s="607">
        <x:v>45798.3580092593</x:v>
      </x:c>
      <x:c r="E31" s="569">
        <x:v>367.2</x:v>
      </x:c>
      <x:c r="F31" s="569">
        <x:v>73.44</x:v>
      </x:c>
      <x:c r="G31" s="466">
        <x:v>319.46</x:v>
      </x:c>
      <x:c r="H31" s="569">
        <x:v>44.06</x:v>
      </x:c>
      <x:c r="I31" s="467">
        <x:v>45828</x:v>
      </x:c>
      <x:c r="J31" s="433">
        <x:f>+E31-F31</x:f>
      </x:c>
      <x:c r="K31" s="468">
        <x:f>+I31-D31</x:f>
      </x:c>
      <x:c r="L31" s="503">
        <x:v>0.035</x:v>
      </x:c>
      <x:c r="M31" s="504">
        <x:f>+J31*L31</x:f>
      </x:c>
      <x:c r="O31" s="432"/>
    </x:row>
    <x:row r="32" spans="1:16" ht="15" customHeight="1" x14ac:dyDescent="0.25">
      <x:c r="A32" s="606" t="s">
        <x:v>118</x:v>
      </x:c>
      <x:c r="B32" s="573" t="s">
        <x:v>26</x:v>
      </x:c>
      <x:c r="C32" s="611" t="s">
        <x:v>1112</x:v>
      </x:c>
      <x:c r="D32" s="607">
        <x:v>45807.4144328704</x:v>
      </x:c>
      <x:c r="E32" s="569">
        <x:v>456</x:v>
      </x:c>
      <x:c r="F32" s="569">
        <x:v>100.32</x:v>
      </x:c>
      <x:c r="G32" s="466">
        <x:v>386.8</x:v>
      </x:c>
      <x:c r="H32" s="569">
        <x:v>53.35</x:v>
      </x:c>
      <x:c r="I32" s="467">
        <x:v>45838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  <x:c r="O32" s="432"/>
    </x:row>
    <x:row r="33" spans="1:16" ht="15" customHeight="1" x14ac:dyDescent="0.25">
      <x:c r="A33" s="606" t="s">
        <x:v>114</x:v>
      </x:c>
      <x:c r="B33" s="573" t="s">
        <x:v>26</x:v>
      </x:c>
      <x:c r="C33" s="611" t="s">
        <x:v>1113</x:v>
      </x:c>
      <x:c r="D33" s="629">
        <x:v>45827.4055208333</x:v>
      </x:c>
      <x:c r="E33" s="569">
        <x:v>162.24</x:v>
      </x:c>
      <x:c r="F33" s="569">
        <x:v>32.45</x:v>
      </x:c>
      <x:c r="G33" s="466">
        <x:v>141.15</x:v>
      </x:c>
      <x:c r="H33" s="569">
        <x:v>19.47</x:v>
      </x:c>
      <x:c r="I33" s="467">
        <x:v>45828</x:v>
      </x:c>
      <x:c r="J33" s="433">
        <x:f>+E33-F33</x:f>
      </x:c>
      <x:c r="K33" s="468">
        <x:f>+I33-D33</x:f>
      </x:c>
      <x:c r="L33" s="503">
        <x:v>0.04</x:v>
      </x:c>
      <x:c r="M33" s="504">
        <x:f>+J33*L33</x:f>
      </x:c>
      <x:c r="O33" s="432"/>
    </x:row>
    <x:row r="34" spans="1:16" ht="15" customHeight="1" x14ac:dyDescent="0.25">
      <x:c r="A34" s="606" t="s">
        <x:v>941</x:v>
      </x:c>
      <x:c r="B34" s="573" t="s">
        <x:v>478</x:v>
      </x:c>
      <x:c r="C34" s="611" t="s">
        <x:v>1114</x:v>
      </x:c>
      <x:c r="D34" s="629">
        <x:v>45828.4675578704</x:v>
      </x:c>
      <x:c r="E34" s="569">
        <x:v>132</x:v>
      </x:c>
      <x:c r="F34" s="569">
        <x:v>19.8</x:v>
      </x:c>
      <x:c r="G34" s="466">
        <x:v>129.03</x:v>
      </x:c>
      <x:c r="H34" s="569">
        <x:v>16.83</x:v>
      </x:c>
      <x:c r="I34" s="467">
        <x:v>45831</x:v>
      </x:c>
      <x:c r="J34" s="433">
        <x:f>+E34-F34</x:f>
      </x:c>
      <x:c r="K34" s="468">
        <x:f>+I34-D34</x:f>
      </x:c>
      <x:c r="L34" s="503">
        <x:v>0.035</x:v>
      </x:c>
      <x:c r="M34" s="504">
        <x:f>+J34*L34</x:f>
      </x:c>
      <x:c r="O34" s="432"/>
    </x:row>
    <x:row r="35" spans="1:16" ht="15" customHeight="1" x14ac:dyDescent="0.25">
      <x:c r="A35" s="606" t="s">
        <x:v>1115</x:v>
      </x:c>
      <x:c r="B35" s="573" t="s">
        <x:v>401</x:v>
      </x:c>
      <x:c r="C35" s="611" t="s">
        <x:v>1116</x:v>
      </x:c>
      <x:c r="D35" s="629">
        <x:v>45838.4031712963</x:v>
      </x:c>
      <x:c r="E35" s="569">
        <x:v>93</x:v>
      </x:c>
      <x:c r="F35" s="569">
        <x:v>13.95</x:v>
      </x:c>
      <x:c r="G35" s="466">
        <x:v>90.91</x:v>
      </x:c>
      <x:c r="H35" s="569">
        <x:v>11.86</x:v>
      </x:c>
      <x:c r="I35" s="467">
        <x:v>45838</x:v>
      </x:c>
      <x:c r="J35" s="433">
        <x:f>+E35-F35</x:f>
      </x:c>
      <x:c r="K35" s="468">
        <x:f>+I35-D35</x:f>
      </x:c>
      <x:c r="L35" s="503">
        <x:v>0.04</x:v>
      </x:c>
      <x:c r="M35" s="504">
        <x:f>+J35*L35</x:f>
      </x:c>
      <x:c r="O35" s="432"/>
    </x:row>
    <x:row r="36" spans="1:16" ht="15" customHeight="1" x14ac:dyDescent="0.25">
      <x:c r="A36" s="606"/>
      <x:c r="B36" s="573"/>
      <x:c r="C36" s="611"/>
      <x:c r="D36" s="607"/>
      <x:c r="E36" s="569"/>
      <x:c r="F36" s="569"/>
      <x:c r="G36" s="615"/>
      <x:c r="H36" s="569"/>
      <x:c r="I36" s="607"/>
      <x:c r="J36" s="433"/>
      <x:c r="K36" s="468"/>
      <x:c r="L36" s="503"/>
      <x:c r="M36" s="504"/>
      <x:c r="O36" s="432"/>
    </x:row>
    <x:row r="37" spans="1:16" ht="15" customHeight="1" x14ac:dyDescent="0.25">
      <x:c r="A37" s="549"/>
      <x:c r="B37" s="543"/>
      <x:c r="C37" s="525"/>
      <x:c r="D37" s="526"/>
      <x:c r="E37" s="527"/>
      <x:c r="F37" s="527"/>
      <x:c r="G37" s="528"/>
      <x:c r="H37" s="527"/>
      <x:c r="I37" s="529"/>
      <x:c r="J37" s="433"/>
      <x:c r="K37" s="468"/>
      <x:c r="L37" s="503"/>
      <x:c r="M37" s="504"/>
      <x:c r="O37" s="432"/>
    </x:row>
    <x:row r="38" spans="1:16" ht="15" customHeight="1" x14ac:dyDescent="0.3">
      <x:c r="G38" s="516">
        <x:f>SUM(G8:G37)</x:f>
      </x:c>
      <x:c r="J38" s="516">
        <x:f>SUM(J8:J37)</x:f>
      </x:c>
      <x:c r="M38" s="516">
        <x:f>SUM(M8:M37)</x:f>
      </x:c>
    </x:row>
    <x:row r="39" spans="1:16" ht="15" customHeight="1" x14ac:dyDescent="0.25">
      <x:c r="G39" s="435"/>
      <x:c r="H39" s="435"/>
    </x:row>
    <x:row r="40" spans="1:16" ht="15" customHeight="1" x14ac:dyDescent="0.25">
      <x:c r="A40" s="517" t="s">
        <x:v>30</x:v>
      </x:c>
      <x:c r="B40" s="517" t="s">
        <x:v>31</x:v>
      </x:c>
      <x:c r="C40" s="518" t="s">
        <x:v>32</x:v>
      </x:c>
      <x:c r="I40" s="608"/>
      <x:c r="J40" s="435"/>
    </x:row>
    <x:row r="41" spans="1:16" ht="15" customHeight="1" s="434" customFormat="1" x14ac:dyDescent="0.25">
      <x:c r="A41" s="487" t="s">
        <x:v>494</x:v>
      </x:c>
      <x:c r="B41" s="487" t="s">
        <x:v>1117</x:v>
      </x:c>
      <x:c r="C41" s="462" t="s">
        <x:v>1118</x:v>
      </x:c>
      <x:c r="D41" s="492">
        <x:v>45742</x:v>
      </x:c>
      <x:c r="E41" s="490">
        <x:v>1115.16</x:v>
      </x:c>
      <x:c r="F41" s="490">
        <x:v>167.27</x:v>
      </x:c>
      <x:c r="G41" s="491">
        <x:v>1080.59</x:v>
      </x:c>
      <x:c r="H41" s="490">
        <x:v>142.18</x:v>
      </x:c>
      <x:c r="I41" s="492">
        <x:v>45869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ht="15" customHeight="1" s="434" customFormat="1" x14ac:dyDescent="0.25">
      <x:c r="A42" s="487" t="s">
        <x:v>101</x:v>
      </x:c>
      <x:c r="B42" s="487" t="s">
        <x:v>1119</x:v>
      </x:c>
      <x:c r="C42" s="462" t="s">
        <x:v>1120</x:v>
      </x:c>
      <x:c r="D42" s="492">
        <x:v>45784.2774421296</x:v>
      </x:c>
      <x:c r="E42" s="610">
        <x:v>22.8</x:v>
      </x:c>
      <x:c r="F42" s="610">
        <x:v>3.42</x:v>
      </x:c>
      <x:c r="G42" s="502">
        <x:v>21.08</x:v>
      </x:c>
      <x:c r="H42" s="610">
        <x:v>2.91</x:v>
      </x:c>
      <x:c r="I42" s="467">
        <x:v>45857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ht="15" customHeight="1" s="434" customFormat="1" x14ac:dyDescent="0.25">
      <x:c r="A43" s="487" t="s">
        <x:v>101</x:v>
      </x:c>
      <x:c r="B43" s="487" t="s">
        <x:v>1119</x:v>
      </x:c>
      <x:c r="C43" s="462" t="s">
        <x:v>1121</x:v>
      </x:c>
      <x:c r="D43" s="630">
        <x:v>45811.4605555556</x:v>
      </x:c>
      <x:c r="E43" s="610">
        <x:v>151.8</x:v>
      </x:c>
      <x:c r="F43" s="610">
        <x:v>22.77</x:v>
      </x:c>
      <x:c r="G43" s="502">
        <x:v>140.31</x:v>
      </x:c>
      <x:c r="H43" s="610">
        <x:v>19.35</x:v>
      </x:c>
      <x:c r="I43" s="467">
        <x:v>45857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470"/>
      <x:c r="O43" s="432"/>
    </x:row>
    <x:row r="44" spans="1:16" ht="15" customHeight="1" s="434" customFormat="1" x14ac:dyDescent="0.25">
      <x:c r="A44" s="487" t="s">
        <x:v>136</x:v>
      </x:c>
      <x:c r="B44" s="487" t="s">
        <x:v>1122</x:v>
      </x:c>
      <x:c r="C44" s="462" t="s">
        <x:v>1123</x:v>
      </x:c>
      <x:c r="D44" s="630">
        <x:v>45811.5639699074</x:v>
      </x:c>
      <x:c r="E44" s="610">
        <x:v>744.6</x:v>
      </x:c>
      <x:c r="F44" s="610">
        <x:v>186.15</x:v>
      </x:c>
      <x:c r="G44" s="502">
        <x:v>607.32</x:v>
      </x:c>
      <x:c r="H44" s="610">
        <x:v>83.77</x:v>
      </x:c>
      <x:c r="I44" s="467">
        <x:v>45841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ht="15" customHeight="1" s="434" customFormat="1" x14ac:dyDescent="0.25">
      <x:c r="A45" s="487" t="s">
        <x:v>101</x:v>
      </x:c>
      <x:c r="B45" s="487" t="s">
        <x:v>1124</x:v>
      </x:c>
      <x:c r="C45" s="462" t="s">
        <x:v>1125</x:v>
      </x:c>
      <x:c r="D45" s="630">
        <x:v>45824.4877893518</x:v>
      </x:c>
      <x:c r="E45" s="610">
        <x:v>756</x:v>
      </x:c>
      <x:c r="F45" s="610">
        <x:v>113.4</x:v>
      </x:c>
      <x:c r="G45" s="502">
        <x:v>698.82</x:v>
      </x:c>
      <x:c r="H45" s="610">
        <x:v>96.39</x:v>
      </x:c>
      <x:c r="I45" s="467">
        <x:v>45873</x:v>
      </x:c>
      <x:c r="J45" s="433">
        <x:f>+E45-F45</x:f>
      </x:c>
      <x:c r="K45" s="468">
        <x:f>+I45-D45</x:f>
      </x:c>
      <x:c r="L45" s="469">
        <x:v>0.03</x:v>
      </x:c>
      <x:c r="M45" s="433">
        <x:f>+J45*L45</x:f>
      </x:c>
      <x:c r="N45" s="470"/>
      <x:c r="O45" s="432"/>
    </x:row>
    <x:row r="46" spans="1:16" ht="15" customHeight="1" s="434" customFormat="1" x14ac:dyDescent="0.25">
      <x:c r="A46" s="487" t="s">
        <x:v>70</x:v>
      </x:c>
      <x:c r="B46" s="487" t="s">
        <x:v>1126</x:v>
      </x:c>
      <x:c r="C46" s="462" t="s">
        <x:v>1127</x:v>
      </x:c>
      <x:c r="D46" s="630">
        <x:v>45826.6290393519</x:v>
      </x:c>
      <x:c r="E46" s="610">
        <x:v>426.96</x:v>
      </x:c>
      <x:c r="F46" s="610">
        <x:v>64.04</x:v>
      </x:c>
      <x:c r="G46" s="502">
        <x:v>397.4</x:v>
      </x:c>
      <x:c r="H46" s="610">
        <x:v>54.44</x:v>
      </x:c>
      <x:c r="I46" s="467">
        <x:v>45856</x:v>
      </x:c>
      <x:c r="J46" s="433">
        <x:f>+E46-F46</x:f>
      </x:c>
      <x:c r="K46" s="468">
        <x:f>+I46-D46</x:f>
      </x:c>
      <x:c r="L46" s="469">
        <x:v>0.03</x:v>
      </x:c>
      <x:c r="M46" s="433">
        <x:f>+J46*L46</x:f>
      </x:c>
      <x:c r="N46" s="470"/>
      <x:c r="O46" s="432"/>
    </x:row>
    <x:row r="47" spans="1:16" ht="15" customHeight="1" s="434" customFormat="1" x14ac:dyDescent="0.25">
      <x:c r="A47" s="487" t="s">
        <x:v>136</x:v>
      </x:c>
      <x:c r="B47" s="487" t="s">
        <x:v>1128</x:v>
      </x:c>
      <x:c r="C47" s="462" t="s">
        <x:v>1129</x:v>
      </x:c>
      <x:c r="D47" s="630">
        <x:v>45835.5219212963</x:v>
      </x:c>
      <x:c r="E47" s="610">
        <x:v>489.6</x:v>
      </x:c>
      <x:c r="F47" s="610">
        <x:v>122.4</x:v>
      </x:c>
      <x:c r="G47" s="502">
        <x:v>399.33</x:v>
      </x:c>
      <x:c r="H47" s="610">
        <x:v>55.08</x:v>
      </x:c>
      <x:c r="I47" s="467">
        <x:v>45865</x:v>
      </x:c>
      <x:c r="J47" s="433">
        <x:f>+E47-F47</x:f>
      </x:c>
      <x:c r="K47" s="468">
        <x:f>+I47-D47</x:f>
      </x:c>
      <x:c r="L47" s="469">
        <x:v>0.03</x:v>
      </x:c>
      <x:c r="M47" s="433">
        <x:f>+J47*L47</x:f>
      </x:c>
      <x:c r="N47" s="470"/>
      <x:c r="O47" s="432"/>
    </x:row>
    <x:row r="48" spans="1:16" ht="15" customHeight="1" s="434" customFormat="1" x14ac:dyDescent="0.25">
      <x:c r="A48" s="487"/>
      <x:c r="B48" s="487"/>
      <x:c r="C48" s="462"/>
      <x:c r="D48" s="492"/>
      <x:c r="E48" s="610"/>
      <x:c r="F48" s="610"/>
      <x:c r="G48" s="502"/>
      <x:c r="H48" s="610"/>
      <x:c r="I48" s="467"/>
      <x:c r="J48" s="433"/>
      <x:c r="K48" s="468"/>
      <x:c r="L48" s="469"/>
      <x:c r="M48" s="433"/>
      <x:c r="N48" s="470"/>
      <x:c r="O48" s="432"/>
    </x:row>
    <x:row r="49" spans="1:16" ht="15" customHeight="1" s="432" customFormat="1" x14ac:dyDescent="0.3">
      <x:c r="A49" s="558"/>
      <x:c r="B49" s="559"/>
      <x:c r="C49" s="560"/>
      <x:c r="D49" s="561"/>
      <x:c r="E49" s="562"/>
      <x:c r="F49" s="562"/>
      <x:c r="G49" s="491"/>
      <x:c r="H49" s="490"/>
      <x:c r="I49" s="492"/>
      <x:c r="J49" s="433"/>
      <x:c r="K49" s="468"/>
      <x:c r="L49" s="469"/>
      <x:c r="M49" s="563"/>
      <x:c r="N49" s="470"/>
    </x:row>
    <x:row r="50" spans="1:16" ht="15" customHeight="1" x14ac:dyDescent="0.35">
      <x:c r="A50" s="493" t="s">
        <x:v>43</x:v>
      </x:c>
      <x:c r="B50" s="493"/>
      <x:c r="C50" s="493"/>
      <x:c r="D50" s="493"/>
      <x:c r="E50" s="493"/>
      <x:c r="F50" s="493"/>
      <x:c r="G50" s="516">
        <x:f>SUM(G38:G49)</x:f>
      </x:c>
      <x:c r="J50" s="516">
        <x:f>SUM(J38:J49)</x:f>
      </x:c>
      <x:c r="L50" s="495"/>
      <x:c r="M50" s="564">
        <x:f>SUM(M38:M49)</x:f>
      </x:c>
    </x:row>
    <x:row r="51" spans="1:16" ht="15" customHeight="1" x14ac:dyDescent="0.3">
      <x:c r="A51" s="520"/>
      <x:c r="G51" s="435"/>
    </x:row>
    <x:row r="52" spans="1:16" ht="15" customHeight="1" x14ac:dyDescent="0.3">
      <x:c r="A52" s="499"/>
      <x:c r="G52" s="435"/>
      <x:c r="J52" s="435"/>
    </x:row>
    <x:row r="53" spans="1:16" ht="15" customHeight="1" x14ac:dyDescent="0.3">
      <x:c r="A53" s="499"/>
      <x:c r="G53" s="435"/>
      <x:c r="J53" s="435"/>
    </x:row>
    <x:row r="54" spans="1:16" ht="15" customHeight="1" x14ac:dyDescent="0.3">
      <x:c r="A54" s="499"/>
      <x:c r="G54" s="435"/>
      <x:c r="J54" s="435">
        <x:f>J50*2%</x:f>
      </x:c>
      <x:c r="M54" s="565">
        <x:f>M50/12</x:f>
      </x:c>
      <x:c r="N54" s="431" t="s">
        <x:v>238</x:v>
      </x:c>
    </x:row>
    <x:row r="55" spans="1:16" ht="15" customHeight="1" x14ac:dyDescent="0.3">
      <x:c r="A55" s="499"/>
      <x:c r="G55" s="435"/>
      <x:c r="J55" s="565">
        <x:f>J54/12</x:f>
      </x:c>
      <x:c r="K55" s="429" t="s">
        <x:v>655</x:v>
      </x:c>
      <x:c r="M55" s="565">
        <x:f>M50/24</x:f>
      </x:c>
      <x:c r="N55" s="431" t="s">
        <x:v>238</x:v>
      </x:c>
    </x:row>
    <x:row r="56" spans="1:16" ht="15" customHeight="1" x14ac:dyDescent="0.3">
      <x:c r="A56" s="499"/>
      <x:c r="G56" s="435"/>
      <x:c r="J56" s="565">
        <x:f>J54/24</x:f>
      </x:c>
      <x:c r="K56" s="429" t="s">
        <x:v>655</x:v>
      </x:c>
    </x:row>
    <x:row r="57" spans="1:16" ht="15" customHeight="1" x14ac:dyDescent="0.3">
      <x:c r="A57" s="499"/>
      <x:c r="G57" s="435"/>
      <x:c r="J57" s="435"/>
    </x:row>
  </x:sheetData>
  <x:sortState xmlns:xlrd2="http://schemas.microsoft.com/office/spreadsheetml/2017/richdata2" ref="A8:P35">
    <x:sortCondition ref="C8:C35"/>
  </x:sortState>
  <x:mergeCells count="2">
    <x:mergeCell ref="A3:F3"/>
    <x:mergeCell ref="A50:F50"/>
  </x:mergeCells>
  <x:printOptions horizontalCentered="0" verticalCentered="0" headings="0" gridLines="0"/>
  <x:pageMargins left="0.1968503937007874" right="0" top="0.1968503937007874" bottom="0" header="0" footer="0"/>
  <x:pageSetup paperSize="9" scale="78" pageOrder="downThenOver" orientation="landscape" blackAndWhite="0" draft="0" cellComments="none" errors="displayed" r:id="rId1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7626A1-D9B9-46BC-94D1-D98F7771FD38}" mc:Ignorable="x14ac xr xr2 xr3">
  <x:sheetPr>
    <x:outlinePr summaryBelow="1" summaryRight="1"/>
  </x:sheetPr>
  <x:dimension ref="A1:O93"/>
  <x:sheetViews>
    <x:sheetView workbookViewId="0">
      <x:selection activeCell="L78" sqref="L78"/>
    </x:sheetView>
  </x:sheetViews>
  <x:sheetFormatPr baseColWidth="10" defaultColWidth="11.441406" defaultRowHeight="13.2" x14ac:dyDescent="0.25"/>
  <x:cols>
    <x:col min="1" max="1" width="39.886719" style="429" customWidth="1"/>
    <x:col min="2" max="2" width="28.664062" style="429" customWidth="1"/>
    <x:col min="3" max="3" width="24.886719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3" style="429" customWidth="1"/>
    <x:col min="8" max="8" width="9.886719" style="429" customWidth="1"/>
    <x:col min="9" max="9" width="10.664062" style="498" customWidth="1"/>
    <x:col min="10" max="10" width="13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435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44" t="s">
        <x:v>1130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44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441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461" t="s">
        <x:v>22</x:v>
      </x:c>
      <x:c r="B8" s="462" t="s">
        <x:v>23</x:v>
      </x:c>
      <x:c r="C8" s="463" t="s">
        <x:v>526</x:v>
      </x:c>
      <x:c r="D8" s="464">
        <x:v>45446</x:v>
      </x:c>
      <x:c r="E8" s="465">
        <x:v>6974.4</x:v>
      </x:c>
      <x:c r="F8" s="465">
        <x:v>2092.32</x:v>
      </x:c>
      <x:c r="G8" s="466">
        <x:v>511.58</x:v>
      </x:c>
      <x:c r="H8" s="465">
        <x:v>732.31</x:v>
      </x:c>
      <x:c r="I8" s="467">
        <x:v>45839</x:v>
      </x:c>
      <x:c r="J8" s="433">
        <x:f>511.58/1.15</x:f>
      </x:c>
      <x:c r="K8" s="468">
        <x:f>+I8-D8</x:f>
      </x:c>
      <x:c r="L8" s="503">
        <x:v>0</x:v>
      </x:c>
      <x:c r="M8" s="504">
        <x:f>+J8*L8</x:f>
      </x:c>
      <x:c r="O8" s="432"/>
    </x:row>
    <x:row r="9" spans="1:16" ht="15" customHeight="1" x14ac:dyDescent="0.25">
      <x:c r="A9" s="606" t="s">
        <x:v>64</x:v>
      </x:c>
      <x:c r="B9" s="573" t="s">
        <x:v>26</x:v>
      </x:c>
      <x:c r="C9" s="611" t="s">
        <x:v>1131</x:v>
      </x:c>
      <x:c r="D9" s="607">
        <x:v>45713</x:v>
      </x:c>
      <x:c r="E9" s="569">
        <x:v>93.12</x:v>
      </x:c>
      <x:c r="F9" s="569">
        <x:v>13.97</x:v>
      </x:c>
      <x:c r="G9" s="466">
        <x:v>91.02</x:v>
      </x:c>
      <x:c r="H9" s="466">
        <x:v>11.87</x:v>
      </x:c>
      <x:c r="I9" s="467">
        <x:v>45868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606" t="s">
        <x:v>88</x:v>
      </x:c>
      <x:c r="B10" s="573" t="s">
        <x:v>26</x:v>
      </x:c>
      <x:c r="C10" s="611" t="s">
        <x:v>1132</x:v>
      </x:c>
      <x:c r="D10" s="607">
        <x:v>45722</x:v>
      </x:c>
      <x:c r="E10" s="569">
        <x:v>981.24</x:v>
      </x:c>
      <x:c r="F10" s="569">
        <x:v>147.19</x:v>
      </x:c>
      <x:c r="G10" s="466">
        <x:v>913.29</x:v>
      </x:c>
      <x:c r="H10" s="465">
        <x:v>125.11</x:v>
      </x:c>
      <x:c r="I10" s="492">
        <x:v>45845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606" t="s">
        <x:v>22</x:v>
      </x:c>
      <x:c r="B11" s="573" t="s">
        <x:v>23</x:v>
      </x:c>
      <x:c r="C11" s="611" t="s">
        <x:v>1133</x:v>
      </x:c>
      <x:c r="D11" s="607">
        <x:v>45740</x:v>
      </x:c>
      <x:c r="E11" s="569">
        <x:v>332.4</x:v>
      </x:c>
      <x:c r="F11" s="569">
        <x:v>83.1</x:v>
      </x:c>
      <x:c r="G11" s="466">
        <x:v>88.42</x:v>
      </x:c>
      <x:c r="H11" s="626">
        <x:v>37.4</x:v>
      </x:c>
      <x:c r="I11" s="631">
        <x:v>45839</x:v>
      </x:c>
      <x:c r="J11" s="433">
        <x:f>88.42/1.15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606" t="s">
        <x:v>1093</x:v>
      </x:c>
      <x:c r="B12" s="573" t="s">
        <x:v>47</x:v>
      </x:c>
      <x:c r="C12" s="611" t="s">
        <x:v>1094</x:v>
      </x:c>
      <x:c r="D12" s="607">
        <x:v>45742</x:v>
      </x:c>
      <x:c r="E12" s="569">
        <x:v>403.92</x:v>
      </x:c>
      <x:c r="F12" s="569">
        <x:v>60.59</x:v>
      </x:c>
      <x:c r="G12" s="466">
        <x:v>150</x:v>
      </x:c>
      <x:c r="H12" s="632">
        <x:v>51.5</x:v>
      </x:c>
      <x:c r="I12" s="467">
        <x:v>45848</x:v>
      </x:c>
      <x:c r="J12" s="433">
        <x:f>150/1.15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606" t="s">
        <x:v>88</x:v>
      </x:c>
      <x:c r="B13" s="573" t="s">
        <x:v>26</x:v>
      </x:c>
      <x:c r="C13" s="611" t="s">
        <x:v>1134</x:v>
      </x:c>
      <x:c r="D13" s="607">
        <x:v>45751</x:v>
      </x:c>
      <x:c r="E13" s="569">
        <x:v>306</x:v>
      </x:c>
      <x:c r="F13" s="569">
        <x:v>45.9</x:v>
      </x:c>
      <x:c r="G13" s="466">
        <x:v>282.86</x:v>
      </x:c>
      <x:c r="H13" s="569">
        <x:v>39.02</x:v>
      </x:c>
      <x:c r="I13" s="492">
        <x:v>45845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606" t="s">
        <x:v>287</x:v>
      </x:c>
      <x:c r="B14" s="573" t="s">
        <x:v>288</x:v>
      </x:c>
      <x:c r="C14" s="611" t="s">
        <x:v>1135</x:v>
      </x:c>
      <x:c r="D14" s="607">
        <x:v>45756</x:v>
      </x:c>
      <x:c r="E14" s="569">
        <x:v>57.36</x:v>
      </x:c>
      <x:c r="F14" s="569">
        <x:v>8.6</x:v>
      </x:c>
      <x:c r="G14" s="466">
        <x:v>56.07</x:v>
      </x:c>
      <x:c r="H14" s="569">
        <x:v>7.31</x:v>
      </x:c>
      <x:c r="I14" s="631">
        <x:v>45867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606" t="s">
        <x:v>114</x:v>
      </x:c>
      <x:c r="B15" s="573" t="s">
        <x:v>26</x:v>
      </x:c>
      <x:c r="C15" s="611" t="s">
        <x:v>1136</x:v>
      </x:c>
      <x:c r="D15" s="607">
        <x:v>45763</x:v>
      </x:c>
      <x:c r="E15" s="569">
        <x:v>717</x:v>
      </x:c>
      <x:c r="F15" s="569">
        <x:v>143.4</x:v>
      </x:c>
      <x:c r="G15" s="466">
        <x:v>623.79</x:v>
      </x:c>
      <x:c r="H15" s="465">
        <x:v>86.04</x:v>
      </x:c>
      <x:c r="I15" s="467">
        <x:v>45839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606" t="s">
        <x:v>36</x:v>
      </x:c>
      <x:c r="B16" s="573" t="s">
        <x:v>26</x:v>
      </x:c>
      <x:c r="C16" s="611" t="s">
        <x:v>1137</x:v>
      </x:c>
      <x:c r="D16" s="607">
        <x:v>45777</x:v>
      </x:c>
      <x:c r="E16" s="569">
        <x:v>612</x:v>
      </x:c>
      <x:c r="F16" s="569">
        <x:v>153</x:v>
      </x:c>
      <x:c r="G16" s="466">
        <x:v>502.6</x:v>
      </x:c>
      <x:c r="H16" s="569">
        <x:v>68.85</x:v>
      </x:c>
      <x:c r="I16" s="467">
        <x:v>45848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606" t="s">
        <x:v>339</x:v>
      </x:c>
      <x:c r="B17" s="573" t="s">
        <x:v>333</x:v>
      </x:c>
      <x:c r="C17" s="611" t="s">
        <x:v>1103</x:v>
      </x:c>
      <x:c r="D17" s="607">
        <x:v>45785.677662037</x:v>
      </x:c>
      <x:c r="E17" s="569">
        <x:v>954.24</x:v>
      </x:c>
      <x:c r="F17" s="569">
        <x:v>143.14</x:v>
      </x:c>
      <x:c r="G17" s="466">
        <x:v>532.77</x:v>
      </x:c>
      <x:c r="H17" s="569">
        <x:v>121.67</x:v>
      </x:c>
      <x:c r="I17" s="467">
        <x:v>45849</x:v>
      </x:c>
      <x:c r="J17" s="433">
        <x:f>532.77/1.15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487" t="s">
        <x:v>477</x:v>
      </x:c>
      <x:c r="B18" s="573" t="s">
        <x:v>478</x:v>
      </x:c>
      <x:c r="C18" s="462" t="s">
        <x:v>1138</x:v>
      </x:c>
      <x:c r="D18" s="492">
        <x:v>45798.3580092593</x:v>
      </x:c>
      <x:c r="E18" s="610">
        <x:v>570.24</x:v>
      </x:c>
      <x:c r="F18" s="610">
        <x:v>96.94</x:v>
      </x:c>
      <x:c r="G18" s="502">
        <x:v>536.01</x:v>
      </x:c>
      <x:c r="H18" s="610">
        <x:v>70.99</x:v>
      </x:c>
      <x:c r="I18" s="467">
        <x:v>45858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606" t="s">
        <x:v>822</x:v>
      </x:c>
      <x:c r="B19" s="573" t="s">
        <x:v>26</x:v>
      </x:c>
      <x:c r="C19" s="611" t="s">
        <x:v>1139</x:v>
      </x:c>
      <x:c r="D19" s="607">
        <x:v>45803.4289699074</x:v>
      </x:c>
      <x:c r="E19" s="569">
        <x:v>252</x:v>
      </x:c>
      <x:c r="F19" s="569">
        <x:v>37.8</x:v>
      </x:c>
      <x:c r="G19" s="466">
        <x:v>232.94</x:v>
      </x:c>
      <x:c r="H19" s="569">
        <x:v>32.13</x:v>
      </x:c>
      <x:c r="I19" s="467">
        <x:v>45846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606" t="s">
        <x:v>52</x:v>
      </x:c>
      <x:c r="B20" s="573" t="s">
        <x:v>53</x:v>
      </x:c>
      <x:c r="C20" s="611" t="s">
        <x:v>1140</x:v>
      </x:c>
      <x:c r="D20" s="607">
        <x:v>45821.3583333333</x:v>
      </x:c>
      <x:c r="E20" s="569">
        <x:v>3494.28</x:v>
      </x:c>
      <x:c r="F20" s="569">
        <x:v>873.57</x:v>
      </x:c>
      <x:c r="G20" s="466">
        <x:v>2850.03</x:v>
      </x:c>
      <x:c r="H20" s="569">
        <x:v>393.11</x:v>
      </x:c>
      <x:c r="I20" s="467">
        <x:v>45854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606" t="s">
        <x:v>296</x:v>
      </x:c>
      <x:c r="B21" s="573" t="s">
        <x:v>26</x:v>
      </x:c>
      <x:c r="C21" s="611" t="s">
        <x:v>1141</x:v>
      </x:c>
      <x:c r="D21" s="607">
        <x:v>45821.5405555556</x:v>
      </x:c>
      <x:c r="E21" s="569">
        <x:v>140.4</x:v>
      </x:c>
      <x:c r="F21" s="569">
        <x:v>21.06</x:v>
      </x:c>
      <x:c r="G21" s="466">
        <x:v>137.24</x:v>
      </x:c>
      <x:c r="H21" s="569">
        <x:v>17.9</x:v>
      </x:c>
      <x:c r="I21" s="467">
        <x:v>45853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487" t="s">
        <x:v>822</x:v>
      </x:c>
      <x:c r="B22" s="573" t="s">
        <x:v>26</x:v>
      </x:c>
      <x:c r="C22" s="462" t="s">
        <x:v>1142</x:v>
      </x:c>
      <x:c r="D22" s="492">
        <x:v>45827.3513425926</x:v>
      </x:c>
      <x:c r="E22" s="610">
        <x:v>286.08</x:v>
      </x:c>
      <x:c r="F22" s="610">
        <x:v>42.91</x:v>
      </x:c>
      <x:c r="G22" s="502">
        <x:v>264.45</x:v>
      </x:c>
      <x:c r="H22" s="610">
        <x:v>36.48</x:v>
      </x:c>
      <x:c r="I22" s="467">
        <x:v>45860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606" t="s">
        <x:v>757</x:v>
      </x:c>
      <x:c r="B23" s="573" t="s">
        <x:v>401</x:v>
      </x:c>
      <x:c r="C23" s="611" t="s">
        <x:v>1143</x:v>
      </x:c>
      <x:c r="D23" s="607">
        <x:v>45831.5589699074</x:v>
      </x:c>
      <x:c r="E23" s="569">
        <x:v>203.16</x:v>
      </x:c>
      <x:c r="F23" s="569">
        <x:v>30.47</x:v>
      </x:c>
      <x:c r="G23" s="466">
        <x:v>198.59</x:v>
      </x:c>
      <x:c r="H23" s="569">
        <x:v>25.9</x:v>
      </x:c>
      <x:c r="I23" s="467">
        <x:v>45868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606" t="s">
        <x:v>354</x:v>
      </x:c>
      <x:c r="B24" s="573" t="s">
        <x:v>110</x:v>
      </x:c>
      <x:c r="C24" s="606" t="s">
        <x:v>1144</x:v>
      </x:c>
      <x:c r="D24" s="607">
        <x:v>45846.453912037</x:v>
      </x:c>
      <x:c r="E24" s="569">
        <x:v>142.56</x:v>
      </x:c>
      <x:c r="F24" s="569">
        <x:v>21.38</x:v>
      </x:c>
      <x:c r="G24" s="466">
        <x:v>131.79</x:v>
      </x:c>
      <x:c r="H24" s="569">
        <x:v>18.18</x:v>
      </x:c>
      <x:c r="I24" s="467">
        <x:v>45860</x:v>
      </x:c>
      <x:c r="J24" s="433">
        <x:f>+E24-F24</x:f>
      </x:c>
      <x:c r="K24" s="468">
        <x:f>+I24-D24</x:f>
      </x:c>
      <x:c r="L24" s="503">
        <x:v>0.035</x:v>
      </x:c>
      <x:c r="M24" s="504">
        <x:f>+J24*L24</x:f>
      </x:c>
      <x:c r="O24" s="432"/>
    </x:row>
    <x:row r="25" spans="1:16" ht="15" customHeight="1" x14ac:dyDescent="0.25">
      <x:c r="A25" s="606" t="s">
        <x:v>205</x:v>
      </x:c>
      <x:c r="B25" s="573" t="s">
        <x:v>26</x:v>
      </x:c>
      <x:c r="C25" s="606" t="s">
        <x:v>1145</x:v>
      </x:c>
      <x:c r="D25" s="607">
        <x:v>45848.3549421296</x:v>
      </x:c>
      <x:c r="E25" s="569">
        <x:v>81.6</x:v>
      </x:c>
      <x:c r="F25" s="569">
        <x:v>0</x:v>
      </x:c>
      <x:c r="G25" s="466">
        <x:v>93.84</x:v>
      </x:c>
      <x:c r="H25" s="569">
        <x:v>12.24</x:v>
      </x:c>
      <x:c r="I25" s="467">
        <x:v>45848</x:v>
      </x:c>
      <x:c r="J25" s="433">
        <x:f>+E25-F25</x:f>
      </x:c>
      <x:c r="K25" s="468">
        <x:f>+I25-D25</x:f>
      </x:c>
      <x:c r="L25" s="503">
        <x:v>0.04</x:v>
      </x:c>
      <x:c r="M25" s="504">
        <x:f>+J25*L25</x:f>
      </x:c>
      <x:c r="O25" s="432"/>
    </x:row>
    <x:row r="26" spans="1:16" ht="15" customHeight="1" x14ac:dyDescent="0.25">
      <x:c r="A26" s="606" t="s">
        <x:v>332</x:v>
      </x:c>
      <x:c r="B26" s="573" t="s">
        <x:v>333</x:v>
      </x:c>
      <x:c r="C26" s="606" t="s">
        <x:v>1146</x:v>
      </x:c>
      <x:c r="D26" s="629">
        <x:v>45853.5582523148</x:v>
      </x:c>
      <x:c r="E26" s="569">
        <x:v>132.96</x:v>
      </x:c>
      <x:c r="F26" s="569">
        <x:v>19.94</x:v>
      </x:c>
      <x:c r="G26" s="466">
        <x:v>129.97</x:v>
      </x:c>
      <x:c r="H26" s="569">
        <x:v>16.95</x:v>
      </x:c>
      <x:c r="I26" s="467">
        <x:v>45868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25">
      <x:c r="A27" s="606" t="s">
        <x:v>343</x:v>
      </x:c>
      <x:c r="B27" s="573" t="s">
        <x:v>344</x:v>
      </x:c>
      <x:c r="C27" s="606" t="s">
        <x:v>1147</x:v>
      </x:c>
      <x:c r="D27" s="629">
        <x:v>45853.6725694444</x:v>
      </x:c>
      <x:c r="E27" s="569">
        <x:v>52.8</x:v>
      </x:c>
      <x:c r="F27" s="569">
        <x:v>7.92</x:v>
      </x:c>
      <x:c r="G27" s="466">
        <x:v>51.61</x:v>
      </x:c>
      <x:c r="H27" s="569">
        <x:v>6.73</x:v>
      </x:c>
      <x:c r="I27" s="467">
        <x:v>45859</x:v>
      </x:c>
      <x:c r="J27" s="433">
        <x:f>+E27-F27</x:f>
      </x:c>
      <x:c r="K27" s="468">
        <x:f>+I27-D27</x:f>
      </x:c>
      <x:c r="L27" s="503">
        <x:v>0.035</x:v>
      </x:c>
      <x:c r="M27" s="504">
        <x:f>+J27*L27</x:f>
      </x:c>
      <x:c r="O27" s="432"/>
    </x:row>
    <x:row r="28" spans="1:16" ht="15" customHeight="1" x14ac:dyDescent="0.25">
      <x:c r="A28" s="606" t="s">
        <x:v>114</x:v>
      </x:c>
      <x:c r="B28" s="573" t="s">
        <x:v>26</x:v>
      </x:c>
      <x:c r="C28" s="606" t="s">
        <x:v>1148</x:v>
      </x:c>
      <x:c r="D28" s="629">
        <x:v>45855.6037731481</x:v>
      </x:c>
      <x:c r="E28" s="569">
        <x:v>30.6</x:v>
      </x:c>
      <x:c r="F28" s="569">
        <x:v>4.59</x:v>
      </x:c>
      <x:c r="G28" s="466">
        <x:v>28.28</x:v>
      </x:c>
      <x:c r="H28" s="569">
        <x:v>3.9</x:v>
      </x:c>
      <x:c r="I28" s="467">
        <x:v>45856</x:v>
      </x:c>
      <x:c r="J28" s="433">
        <x:f>+E28-F28</x:f>
      </x:c>
      <x:c r="K28" s="468">
        <x:f>+I28-D28</x:f>
      </x:c>
      <x:c r="L28" s="503">
        <x:v>0.04</x:v>
      </x:c>
      <x:c r="M28" s="504">
        <x:f>+J28*L28</x:f>
      </x:c>
      <x:c r="O28" s="432"/>
    </x:row>
    <x:row r="29" spans="1:16" ht="15" customHeight="1" x14ac:dyDescent="0.25">
      <x:c r="A29" s="606" t="s">
        <x:v>167</x:v>
      </x:c>
      <x:c r="B29" s="573" t="s">
        <x:v>26</x:v>
      </x:c>
      <x:c r="C29" s="606" t="s">
        <x:v>1149</x:v>
      </x:c>
      <x:c r="D29" s="629">
        <x:v>45855.6037731481</x:v>
      </x:c>
      <x:c r="E29" s="569">
        <x:v>297</x:v>
      </x:c>
      <x:c r="F29" s="569">
        <x:v>44.55</x:v>
      </x:c>
      <x:c r="G29" s="466">
        <x:v>290.32</x:v>
      </x:c>
      <x:c r="H29" s="569">
        <x:v>37.87</x:v>
      </x:c>
      <x:c r="I29" s="467">
        <x:v>45860</x:v>
      </x:c>
      <x:c r="J29" s="433">
        <x:f>+E29-F29</x:f>
      </x:c>
      <x:c r="K29" s="468">
        <x:f>+I29-D29</x:f>
      </x:c>
      <x:c r="L29" s="503">
        <x:v>0.035</x:v>
      </x:c>
      <x:c r="M29" s="504">
        <x:f>+J29*L29</x:f>
      </x:c>
      <x:c r="O29" s="432"/>
    </x:row>
    <x:row r="30" spans="1:16" ht="15" customHeight="1" x14ac:dyDescent="0.25">
      <x:c r="A30" s="606" t="s">
        <x:v>225</x:v>
      </x:c>
      <x:c r="B30" s="573" t="s">
        <x:v>105</x:v>
      </x:c>
      <x:c r="C30" s="606" t="s">
        <x:v>1150</x:v>
      </x:c>
      <x:c r="D30" s="629">
        <x:v>45855.6037731481</x:v>
      </x:c>
      <x:c r="E30" s="569">
        <x:v>3660.36</x:v>
      </x:c>
      <x:c r="F30" s="569">
        <x:v>915.09</x:v>
      </x:c>
      <x:c r="G30" s="466">
        <x:v>2485.48</x:v>
      </x:c>
      <x:c r="H30" s="569">
        <x:v>411.79</x:v>
      </x:c>
      <x:c r="I30" s="467">
        <x:v>45859</x:v>
      </x:c>
      <x:c r="J30" s="433">
        <x:f>2485.48/1.15</x:f>
      </x:c>
      <x:c r="K30" s="468">
        <x:f>+I30-D30</x:f>
      </x:c>
      <x:c r="L30" s="503">
        <x:v>0.04</x:v>
      </x:c>
      <x:c r="M30" s="504">
        <x:f>+J30*L30</x:f>
      </x:c>
      <x:c r="O30" s="432"/>
    </x:row>
    <x:row r="31" spans="1:16" ht="15" customHeight="1" x14ac:dyDescent="0.25">
      <x:c r="A31" s="606" t="s">
        <x:v>805</x:v>
      </x:c>
      <x:c r="B31" s="573" t="s">
        <x:v>806</x:v>
      </x:c>
      <x:c r="C31" s="606" t="s">
        <x:v>1151</x:v>
      </x:c>
      <x:c r="D31" s="629">
        <x:v>45866.3764467593</x:v>
      </x:c>
      <x:c r="E31" s="569">
        <x:v>59.4</x:v>
      </x:c>
      <x:c r="F31" s="569">
        <x:v>8.91</x:v>
      </x:c>
      <x:c r="G31" s="466">
        <x:v>58.06</x:v>
      </x:c>
      <x:c r="H31" s="569">
        <x:v>7.57</x:v>
      </x:c>
      <x:c r="I31" s="467">
        <x:v>45867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16" ht="15" customHeight="1" x14ac:dyDescent="0.25">
      <x:c r="A32" s="606" t="s">
        <x:v>167</x:v>
      </x:c>
      <x:c r="B32" s="573" t="s">
        <x:v>26</x:v>
      </x:c>
      <x:c r="C32" s="606" t="s">
        <x:v>1152</x:v>
      </x:c>
      <x:c r="D32" s="629">
        <x:v>45868.6118287037</x:v>
      </x:c>
      <x:c r="E32" s="569">
        <x:v>115.2</x:v>
      </x:c>
      <x:c r="F32" s="569">
        <x:v>17.28</x:v>
      </x:c>
      <x:c r="G32" s="466">
        <x:v>112.61</x:v>
      </x:c>
      <x:c r="H32" s="569">
        <x:v>14.69</x:v>
      </x:c>
      <x:c r="I32" s="467">
        <x:v>45868</x:v>
      </x:c>
      <x:c r="J32" s="433">
        <x:f>+E32-F32</x:f>
      </x:c>
      <x:c r="K32" s="468">
        <x:v>0</x:v>
      </x:c>
      <x:c r="L32" s="503">
        <x:v>0.04</x:v>
      </x:c>
      <x:c r="M32" s="504">
        <x:f>+J32*L32</x:f>
      </x:c>
      <x:c r="O32" s="432"/>
    </x:row>
    <x:row r="33" spans="1:16" ht="15" customHeight="1" x14ac:dyDescent="0.25">
      <x:c r="A33" s="606"/>
      <x:c r="B33" s="573"/>
      <x:c r="C33" s="611"/>
      <x:c r="D33" s="629"/>
      <x:c r="E33" s="569"/>
      <x:c r="F33" s="569"/>
      <x:c r="G33" s="466"/>
      <x:c r="H33" s="569"/>
      <x:c r="I33" s="467"/>
      <x:c r="J33" s="433"/>
      <x:c r="K33" s="468"/>
      <x:c r="L33" s="503"/>
      <x:c r="M33" s="504"/>
      <x:c r="O33" s="432"/>
    </x:row>
    <x:row r="34" spans="1:16" ht="15" customHeight="1" x14ac:dyDescent="0.25">
      <x:c r="A34" s="606"/>
      <x:c r="B34" s="573"/>
      <x:c r="C34" s="611"/>
      <x:c r="D34" s="629"/>
      <x:c r="E34" s="569"/>
      <x:c r="F34" s="569"/>
      <x:c r="G34" s="466"/>
      <x:c r="H34" s="569"/>
      <x:c r="I34" s="467"/>
      <x:c r="J34" s="433"/>
      <x:c r="K34" s="468"/>
      <x:c r="L34" s="503"/>
      <x:c r="M34" s="504"/>
      <x:c r="O34" s="432"/>
    </x:row>
    <x:row r="35" spans="1:16" ht="15" customHeight="1" x14ac:dyDescent="0.25">
      <x:c r="A35" s="606"/>
      <x:c r="B35" s="573"/>
      <x:c r="C35" s="611"/>
      <x:c r="D35" s="629"/>
      <x:c r="E35" s="569"/>
      <x:c r="F35" s="569"/>
      <x:c r="G35" s="466"/>
      <x:c r="H35" s="569"/>
      <x:c r="I35" s="467"/>
      <x:c r="J35" s="433"/>
      <x:c r="K35" s="468"/>
      <x:c r="L35" s="503"/>
      <x:c r="M35" s="504"/>
      <x:c r="O35" s="432"/>
    </x:row>
    <x:row r="36" spans="1:16" ht="15" customHeight="1" x14ac:dyDescent="0.25">
      <x:c r="A36" s="606"/>
      <x:c r="B36" s="573"/>
      <x:c r="C36" s="611"/>
      <x:c r="D36" s="607"/>
      <x:c r="E36" s="569"/>
      <x:c r="F36" s="569"/>
      <x:c r="G36" s="615"/>
      <x:c r="H36" s="569"/>
      <x:c r="I36" s="607"/>
      <x:c r="J36" s="433"/>
      <x:c r="K36" s="468"/>
      <x:c r="L36" s="503"/>
      <x:c r="M36" s="504"/>
      <x:c r="O36" s="432"/>
    </x:row>
    <x:row r="37" spans="1:16" ht="15" customHeight="1" x14ac:dyDescent="0.25">
      <x:c r="A37" s="549"/>
      <x:c r="B37" s="543"/>
      <x:c r="C37" s="525"/>
      <x:c r="D37" s="526"/>
      <x:c r="E37" s="527"/>
      <x:c r="F37" s="527"/>
      <x:c r="G37" s="528"/>
      <x:c r="H37" s="527"/>
      <x:c r="I37" s="529"/>
      <x:c r="J37" s="433"/>
      <x:c r="K37" s="468"/>
      <x:c r="L37" s="503"/>
      <x:c r="M37" s="504"/>
      <x:c r="O37" s="432"/>
    </x:row>
    <x:row r="38" spans="1:16" ht="15" customHeight="1" x14ac:dyDescent="0.3">
      <x:c r="G38" s="516">
        <x:f>SUM(G8:G37)</x:f>
      </x:c>
      <x:c r="J38" s="516">
        <x:f>SUM(J8:J37)</x:f>
      </x:c>
      <x:c r="M38" s="516">
        <x:f>SUM(M8:M37)</x:f>
      </x:c>
    </x:row>
    <x:row r="39" spans="1:16" ht="15" customHeight="1" x14ac:dyDescent="0.25">
      <x:c r="G39" s="435"/>
      <x:c r="H39" s="435"/>
    </x:row>
    <x:row r="40" spans="1:16" ht="15" customHeight="1" x14ac:dyDescent="0.25">
      <x:c r="A40" s="517" t="s">
        <x:v>30</x:v>
      </x:c>
      <x:c r="B40" s="517" t="s">
        <x:v>31</x:v>
      </x:c>
      <x:c r="C40" s="518" t="s">
        <x:v>32</x:v>
      </x:c>
      <x:c r="I40" s="608"/>
      <x:c r="J40" s="435"/>
    </x:row>
    <x:row r="41" spans="1:16" ht="15" customHeight="1" s="434" customFormat="1" x14ac:dyDescent="0.25">
      <x:c r="A41" s="487" t="s">
        <x:v>1153</x:v>
      </x:c>
      <x:c r="B41" s="487" t="s">
        <x:v>1154</x:v>
      </x:c>
      <x:c r="C41" s="462" t="s">
        <x:v>1155</x:v>
      </x:c>
      <x:c r="D41" s="492">
        <x:v>45756</x:v>
      </x:c>
      <x:c r="E41" s="490">
        <x:v>462.24</x:v>
      </x:c>
      <x:c r="F41" s="490">
        <x:v>69.34</x:v>
      </x:c>
      <x:c r="G41" s="491">
        <x:v>451.84</x:v>
      </x:c>
      <x:c r="H41" s="490">
        <x:v>58.94</x:v>
      </x:c>
      <x:c r="I41" s="492">
        <x:v>45874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ht="15" customHeight="1" s="434" customFormat="1" x14ac:dyDescent="0.25">
      <x:c r="A42" s="487" t="s">
        <x:v>1153</x:v>
      </x:c>
      <x:c r="B42" s="487" t="s">
        <x:v>1156</x:v>
      </x:c>
      <x:c r="C42" s="462" t="s">
        <x:v>1157</x:v>
      </x:c>
      <x:c r="D42" s="492">
        <x:v>45756</x:v>
      </x:c>
      <x:c r="E42" s="490">
        <x:v>463.92</x:v>
      </x:c>
      <x:c r="F42" s="490">
        <x:v>69.59</x:v>
      </x:c>
      <x:c r="G42" s="491">
        <x:v>453.48</x:v>
      </x:c>
      <x:c r="H42" s="490">
        <x:v>59.15</x:v>
      </x:c>
      <x:c r="I42" s="492">
        <x:v>45874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ht="15" customHeight="1" s="434" customFormat="1" x14ac:dyDescent="0.25">
      <x:c r="A43" s="487" t="s">
        <x:v>1158</x:v>
      </x:c>
      <x:c r="B43" s="487" t="s">
        <x:v>1159</x:v>
      </x:c>
      <x:c r="C43" s="462" t="s">
        <x:v>1160</x:v>
      </x:c>
      <x:c r="D43" s="492">
        <x:v>45757</x:v>
      </x:c>
      <x:c r="E43" s="490">
        <x:v>321.12</x:v>
      </x:c>
      <x:c r="F43" s="490">
        <x:v>48.17</x:v>
      </x:c>
      <x:c r="G43" s="491">
        <x:v>296.83</x:v>
      </x:c>
      <x:c r="H43" s="490">
        <x:v>40.94</x:v>
      </x:c>
      <x:c r="I43" s="492">
        <x:v>45874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470"/>
      <x:c r="O43" s="432"/>
    </x:row>
    <x:row r="44" spans="1:16" ht="15" customHeight="1" s="434" customFormat="1" x14ac:dyDescent="0.25">
      <x:c r="A44" s="487" t="s">
        <x:v>1037</x:v>
      </x:c>
      <x:c r="B44" s="487" t="s">
        <x:v>1161</x:v>
      </x:c>
      <x:c r="C44" s="462" t="s">
        <x:v>1162</x:v>
      </x:c>
      <x:c r="D44" s="492">
        <x:v>45791.5098032407</x:v>
      </x:c>
      <x:c r="E44" s="490">
        <x:v>468</x:v>
      </x:c>
      <x:c r="F44" s="490">
        <x:v>70.2</x:v>
      </x:c>
      <x:c r="G44" s="491">
        <x:v>432.61</x:v>
      </x:c>
      <x:c r="H44" s="490">
        <x:v>59.67</x:v>
      </x:c>
      <x:c r="I44" s="492">
        <x:v>45926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ht="15" customHeight="1" s="434" customFormat="1" x14ac:dyDescent="0.25">
      <x:c r="A45" s="487" t="s">
        <x:v>1037</x:v>
      </x:c>
      <x:c r="B45" s="487" t="s">
        <x:v>1161</x:v>
      </x:c>
      <x:c r="C45" s="462" t="s">
        <x:v>1163</x:v>
      </x:c>
      <x:c r="D45" s="492">
        <x:v>45792.4728125</x:v>
      </x:c>
      <x:c r="E45" s="490">
        <x:v>1370.64</x:v>
      </x:c>
      <x:c r="F45" s="490">
        <x:v>205.6</x:v>
      </x:c>
      <x:c r="G45" s="491">
        <x:v>1266.98</x:v>
      </x:c>
      <x:c r="H45" s="490">
        <x:v>174.76</x:v>
      </x:c>
      <x:c r="I45" s="492">
        <x:v>45926</x:v>
      </x:c>
      <x:c r="J45" s="433">
        <x:f>+E45-F45</x:f>
      </x:c>
      <x:c r="K45" s="468">
        <x:f>+I45-D45</x:f>
      </x:c>
      <x:c r="L45" s="469">
        <x:v>0.03</x:v>
      </x:c>
      <x:c r="M45" s="433">
        <x:f>+J45*L45</x:f>
      </x:c>
      <x:c r="N45" s="470"/>
      <x:c r="O45" s="432"/>
    </x:row>
    <x:row r="46" spans="1:16" ht="15" customHeight="1" s="434" customFormat="1" x14ac:dyDescent="0.25">
      <x:c r="A46" s="487" t="s">
        <x:v>101</x:v>
      </x:c>
      <x:c r="B46" s="487" t="s">
        <x:v>1164</x:v>
      </x:c>
      <x:c r="C46" s="462" t="s">
        <x:v>1165</x:v>
      </x:c>
      <x:c r="D46" s="492">
        <x:v>45820.4357523148</x:v>
      </x:c>
      <x:c r="E46" s="490">
        <x:v>337.8</x:v>
      </x:c>
      <x:c r="F46" s="490">
        <x:v>50.67</x:v>
      </x:c>
      <x:c r="G46" s="491">
        <x:v>312.26</x:v>
      </x:c>
      <x:c r="H46" s="490">
        <x:v>43.07</x:v>
      </x:c>
      <x:c r="I46" s="492">
        <x:v>45884</x:v>
      </x:c>
      <x:c r="J46" s="433">
        <x:f>+E46-F46</x:f>
      </x:c>
      <x:c r="K46" s="468">
        <x:f>+I46-D46</x:f>
      </x:c>
      <x:c r="L46" s="469">
        <x:v>0.03</x:v>
      </x:c>
      <x:c r="M46" s="433">
        <x:f>+J46*L46</x:f>
      </x:c>
      <x:c r="N46" s="470"/>
      <x:c r="O46" s="432"/>
    </x:row>
    <x:row r="47" spans="1:16" ht="15" customHeight="1" s="434" customFormat="1" x14ac:dyDescent="0.25">
      <x:c r="A47" s="487" t="s">
        <x:v>101</x:v>
      </x:c>
      <x:c r="B47" s="487" t="s">
        <x:v>1166</x:v>
      </x:c>
      <x:c r="C47" s="462" t="s">
        <x:v>1167</x:v>
      </x:c>
      <x:c r="D47" s="492">
        <x:v>45832.5313425926</x:v>
      </x:c>
      <x:c r="E47" s="490">
        <x:v>228</x:v>
      </x:c>
      <x:c r="F47" s="490">
        <x:v>34.2</x:v>
      </x:c>
      <x:c r="G47" s="491">
        <x:v>210.76</x:v>
      </x:c>
      <x:c r="H47" s="490">
        <x:v>29.07</x:v>
      </x:c>
      <x:c r="I47" s="492">
        <x:v>45897</x:v>
      </x:c>
      <x:c r="J47" s="433">
        <x:f>+E47-F47</x:f>
      </x:c>
      <x:c r="K47" s="468">
        <x:f>+I47-D47</x:f>
      </x:c>
      <x:c r="L47" s="469">
        <x:v>0.03</x:v>
      </x:c>
      <x:c r="M47" s="433">
        <x:f>+J47*L47</x:f>
      </x:c>
      <x:c r="N47" s="470"/>
      <x:c r="O47" s="432"/>
    </x:row>
    <x:row r="48" spans="1:16" ht="15" customHeight="1" s="434" customFormat="1" x14ac:dyDescent="0.25">
      <x:c r="A48" s="487" t="s">
        <x:v>101</x:v>
      </x:c>
      <x:c r="B48" s="487" t="s">
        <x:v>1166</x:v>
      </x:c>
      <x:c r="C48" s="462" t="s">
        <x:v>1168</x:v>
      </x:c>
      <x:c r="D48" s="492">
        <x:v>45834.6112268519</x:v>
      </x:c>
      <x:c r="E48" s="490">
        <x:v>22.8</x:v>
      </x:c>
      <x:c r="F48" s="490">
        <x:v>3.42</x:v>
      </x:c>
      <x:c r="G48" s="491">
        <x:v>21.08</x:v>
      </x:c>
      <x:c r="H48" s="490">
        <x:v>2.91</x:v>
      </x:c>
      <x:c r="I48" s="492">
        <x:v>45897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  <x:c r="N48" s="470"/>
      <x:c r="O48" s="432"/>
    </x:row>
    <x:row r="49" spans="1:16" ht="15" customHeight="1" s="434" customFormat="1" x14ac:dyDescent="0.25">
      <x:c r="A49" s="487" t="s">
        <x:v>36</x:v>
      </x:c>
      <x:c r="B49" s="487" t="s">
        <x:v>1169</x:v>
      </x:c>
      <x:c r="C49" s="462" t="s">
        <x:v>1170</x:v>
      </x:c>
      <x:c r="D49" s="492">
        <x:v>45841.4336111111</x:v>
      </x:c>
      <x:c r="E49" s="490">
        <x:v>865.8</x:v>
      </x:c>
      <x:c r="F49" s="490">
        <x:v>216.45</x:v>
      </x:c>
      <x:c r="G49" s="491">
        <x:v>711.04</x:v>
      </x:c>
      <x:c r="H49" s="490">
        <x:v>97.4</x:v>
      </x:c>
      <x:c r="I49" s="492">
        <x:v>45906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  <x:c r="O49" s="432"/>
    </x:row>
    <x:row r="50" spans="1:16" ht="15" customHeight="1" s="434" customFormat="1" x14ac:dyDescent="0.25">
      <x:c r="A50" s="487" t="s">
        <x:v>118</x:v>
      </x:c>
      <x:c r="B50" s="487" t="s">
        <x:v>1171</x:v>
      </x:c>
      <x:c r="C50" s="487" t="s">
        <x:v>1172</x:v>
      </x:c>
      <x:c r="D50" s="492">
        <x:v>45846.4234027778</x:v>
      </x:c>
      <x:c r="E50" s="490">
        <x:v>122.4</x:v>
      </x:c>
      <x:c r="F50" s="490">
        <x:v>26.93</x:v>
      </x:c>
      <x:c r="G50" s="491">
        <x:v>103.82</x:v>
      </x:c>
      <x:c r="H50" s="490">
        <x:v>14.32</x:v>
      </x:c>
      <x:c r="I50" s="492">
        <x:v>45877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  <x:c r="O50" s="432"/>
    </x:row>
    <x:row r="51" spans="1:16" ht="15" customHeight="1" s="434" customFormat="1" x14ac:dyDescent="0.25">
      <x:c r="A51" s="487" t="s">
        <x:v>195</x:v>
      </x:c>
      <x:c r="B51" s="487" t="s">
        <x:v>1173</x:v>
      </x:c>
      <x:c r="C51" s="487" t="s">
        <x:v>1174</x:v>
      </x:c>
      <x:c r="D51" s="492">
        <x:v>45849.4681134259</x:v>
      </x:c>
      <x:c r="E51" s="490">
        <x:v>83.6</x:v>
      </x:c>
      <x:c r="F51" s="490">
        <x:v>10.87</x:v>
      </x:c>
      <x:c r="G51" s="491">
        <x:v>83.64</x:v>
      </x:c>
      <x:c r="H51" s="490">
        <x:v>10.91</x:v>
      </x:c>
      <x:c r="I51" s="492">
        <x:v>45882</x:v>
      </x:c>
      <x:c r="J51" s="433">
        <x:f>+E51-F51</x:f>
      </x:c>
      <x:c r="K51" s="468">
        <x:f>+I51-D51</x:f>
      </x:c>
      <x:c r="L51" s="469">
        <x:v>0.03</x:v>
      </x:c>
      <x:c r="M51" s="433">
        <x:f>+J51*L51</x:f>
      </x:c>
      <x:c r="N51" s="470"/>
      <x:c r="O51" s="432"/>
    </x:row>
    <x:row r="52" spans="1:16" ht="15" customHeight="1" s="434" customFormat="1" x14ac:dyDescent="0.25">
      <x:c r="A52" s="487" t="s">
        <x:v>70</x:v>
      </x:c>
      <x:c r="B52" s="487" t="s">
        <x:v>1175</x:v>
      </x:c>
      <x:c r="C52" s="487" t="s">
        <x:v>1176</x:v>
      </x:c>
      <x:c r="D52" s="492">
        <x:v>45849.5209027778</x:v>
      </x:c>
      <x:c r="E52" s="490">
        <x:v>975.84</x:v>
      </x:c>
      <x:c r="F52" s="490">
        <x:v>195.17</x:v>
      </x:c>
      <x:c r="G52" s="491">
        <x:v>854.83</x:v>
      </x:c>
      <x:c r="H52" s="490">
        <x:v>117.1</x:v>
      </x:c>
      <x:c r="I52" s="492">
        <x:v>45899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470"/>
      <x:c r="O52" s="432"/>
    </x:row>
    <x:row r="53" spans="1:16" ht="15" customHeight="1" s="434" customFormat="1" x14ac:dyDescent="0.25">
      <x:c r="A53" s="487" t="s">
        <x:v>1023</x:v>
      </x:c>
      <x:c r="B53" s="487" t="s">
        <x:v>1177</x:v>
      </x:c>
      <x:c r="C53" s="487" t="s">
        <x:v>1178</x:v>
      </x:c>
      <x:c r="D53" s="630">
        <x:v>45859.3806134259</x:v>
      </x:c>
      <x:c r="E53" s="490">
        <x:v>52.8</x:v>
      </x:c>
      <x:c r="F53" s="490">
        <x:v>7.92</x:v>
      </x:c>
      <x:c r="G53" s="491">
        <x:v>51.61</x:v>
      </x:c>
      <x:c r="H53" s="490">
        <x:v>6.73</x:v>
      </x:c>
      <x:c r="I53" s="492">
        <x:v>45870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16" ht="15" customHeight="1" s="434" customFormat="1" x14ac:dyDescent="0.25">
      <x:c r="A54" s="487" t="s">
        <x:v>36</x:v>
      </x:c>
      <x:c r="B54" s="487" t="s">
        <x:v>1169</x:v>
      </x:c>
      <x:c r="C54" s="487" t="s">
        <x:v>1179</x:v>
      </x:c>
      <x:c r="D54" s="630">
        <x:v>45861.6269560185</x:v>
      </x:c>
      <x:c r="E54" s="490">
        <x:v>174</x:v>
      </x:c>
      <x:c r="F54" s="490">
        <x:v>43.5</x:v>
      </x:c>
      <x:c r="G54" s="491">
        <x:v>142.9</x:v>
      </x:c>
      <x:c r="H54" s="490">
        <x:v>19.58</x:v>
      </x:c>
      <x:c r="I54" s="492">
        <x:v>45906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16" ht="15" customHeight="1" s="434" customFormat="1" x14ac:dyDescent="0.25">
      <x:c r="A55" s="487"/>
      <x:c r="B55" s="487"/>
      <x:c r="C55" s="462"/>
      <x:c r="D55" s="492"/>
      <x:c r="E55" s="610"/>
      <x:c r="F55" s="610"/>
      <x:c r="G55" s="502"/>
      <x:c r="H55" s="610"/>
      <x:c r="I55" s="467"/>
      <x:c r="J55" s="433"/>
      <x:c r="K55" s="468"/>
      <x:c r="L55" s="469"/>
      <x:c r="M55" s="433"/>
      <x:c r="N55" s="470"/>
      <x:c r="O55" s="432"/>
    </x:row>
    <x:row r="56" spans="1:16" ht="15" customHeight="1" s="432" customFormat="1" x14ac:dyDescent="0.3">
      <x:c r="A56" s="558"/>
      <x:c r="B56" s="559"/>
      <x:c r="C56" s="560"/>
      <x:c r="D56" s="561"/>
      <x:c r="E56" s="562"/>
      <x:c r="F56" s="562"/>
      <x:c r="G56" s="491"/>
      <x:c r="H56" s="490"/>
      <x:c r="I56" s="492"/>
      <x:c r="J56" s="433"/>
      <x:c r="K56" s="468"/>
      <x:c r="L56" s="469"/>
      <x:c r="M56" s="563"/>
      <x:c r="N56" s="470"/>
    </x:row>
    <x:row r="57" spans="1:16" ht="15" customHeight="1" x14ac:dyDescent="0.35">
      <x:c r="A57" s="493" t="s">
        <x:v>43</x:v>
      </x:c>
      <x:c r="B57" s="493"/>
      <x:c r="C57" s="493"/>
      <x:c r="D57" s="493"/>
      <x:c r="E57" s="493"/>
      <x:c r="F57" s="493"/>
      <x:c r="G57" s="516">
        <x:f>SUM(G38:G56)</x:f>
      </x:c>
      <x:c r="J57" s="516">
        <x:f>SUM(J38:J56)</x:f>
      </x:c>
      <x:c r="L57" s="495"/>
      <x:c r="M57" s="564">
        <x:f>SUM(M38:M56)</x:f>
      </x:c>
    </x:row>
    <x:row r="58" spans="1:16" ht="15" customHeight="1" x14ac:dyDescent="0.3">
      <x:c r="A58" s="520"/>
      <x:c r="G58" s="435"/>
    </x:row>
    <x:row r="59" spans="1:16" ht="15" customHeight="1" x14ac:dyDescent="0.3">
      <x:c r="A59" s="499"/>
      <x:c r="G59" s="435"/>
      <x:c r="J59" s="435"/>
    </x:row>
    <x:row r="60" spans="1:16" ht="15" customHeight="1" x14ac:dyDescent="0.3">
      <x:c r="A60" s="499"/>
      <x:c r="G60" s="435"/>
      <x:c r="J60" s="435"/>
    </x:row>
    <x:row r="61" spans="1:16" ht="15" customHeight="1" x14ac:dyDescent="0.3">
      <x:c r="A61" s="499"/>
      <x:c r="G61" s="435"/>
      <x:c r="J61" s="435"/>
    </x:row>
    <x:row r="62" spans="1:16" ht="15" customHeight="1" x14ac:dyDescent="0.3">
      <x:c r="A62" s="499"/>
      <x:c r="G62" s="435"/>
      <x:c r="J62" s="435"/>
      <x:c r="M62" s="565">
        <x:f>M57/12</x:f>
      </x:c>
      <x:c r="N62" s="431" t="s">
        <x:v>1180</x:v>
      </x:c>
    </x:row>
    <x:row r="63" spans="1:16" ht="15" customHeight="1" x14ac:dyDescent="0.3">
      <x:c r="A63" s="499"/>
      <x:c r="G63" s="435"/>
      <x:c r="J63" s="435"/>
      <x:c r="M63" s="565">
        <x:f>M57/24</x:f>
      </x:c>
      <x:c r="N63" s="431" t="s">
        <x:v>1180</x:v>
      </x:c>
    </x:row>
    <x:row r="64" spans="1:16" ht="15" customHeight="1" x14ac:dyDescent="0.25">
      <x:c r="A64" s="436" t="s">
        <x:v>0</x:v>
      </x:c>
      <x:c r="B64" s="436"/>
      <x:c r="C64" s="436"/>
      <x:c r="D64" s="436"/>
      <x:c r="E64" s="436"/>
      <x:c r="F64" s="436"/>
      <x:c r="G64" s="437"/>
      <x:c r="H64" s="438"/>
      <x:c r="I64" s="439"/>
      <x:c r="J64" s="440"/>
      <x:c r="K64" s="441"/>
      <x:c r="L64" s="442"/>
    </x:row>
    <x:row r="65" spans="1:16" ht="15" customHeight="1" x14ac:dyDescent="0.25">
      <x:c r="A65" s="436" t="s">
        <x:v>1</x:v>
      </x:c>
      <x:c r="B65" s="436"/>
      <x:c r="C65" s="436"/>
      <x:c r="D65" s="436"/>
      <x:c r="E65" s="436"/>
      <x:c r="F65" s="436"/>
      <x:c r="G65" s="437"/>
      <x:c r="H65" s="438"/>
      <x:c r="I65" s="439"/>
      <x:c r="J65" s="441"/>
      <x:c r="K65" s="441"/>
      <x:c r="L65" s="442"/>
    </x:row>
    <x:row r="66" spans="1:16" ht="15" customHeight="1" x14ac:dyDescent="0.25">
      <x:c r="A66" s="436"/>
      <x:c r="B66" s="444" t="s">
        <x:v>1130</x:v>
      </x:c>
      <x:c r="C66" s="436"/>
      <x:c r="D66" s="445"/>
      <x:c r="E66" s="436"/>
      <x:c r="F66" s="436"/>
      <x:c r="G66" s="437"/>
      <x:c r="H66" s="438"/>
      <x:c r="I66" s="439"/>
      <x:c r="J66" s="441"/>
      <x:c r="K66" s="441"/>
      <x:c r="L66" s="442"/>
      <x:c r="M66" s="443"/>
    </x:row>
    <x:row r="67" spans="1:16" ht="15" customHeight="1" x14ac:dyDescent="0.3">
      <x:c r="A67" s="436"/>
      <x:c r="B67" s="444" t="s">
        <x:v>1181</x:v>
      </x:c>
      <x:c r="C67" s="436"/>
      <x:c r="D67" s="445"/>
      <x:c r="E67" s="436"/>
      <x:c r="F67" s="436"/>
      <x:c r="G67" s="443"/>
      <x:c r="H67" s="437"/>
      <x:c r="I67" s="446"/>
      <x:c r="J67" s="441"/>
      <x:c r="K67" s="441"/>
      <x:c r="L67" s="442"/>
      <x:c r="M67" s="443"/>
    </x:row>
    <x:row r="68" spans="1:16" ht="15" customHeight="1" x14ac:dyDescent="0.25">
      <x:c r="A68" s="447" t="s">
        <x:v>4</x:v>
      </x:c>
      <x:c r="B68" s="441"/>
      <x:c r="C68" s="441"/>
      <x:c r="D68" s="439"/>
      <x:c r="E68" s="441"/>
      <x:c r="F68" s="441"/>
      <x:c r="G68" s="448" t="s">
        <x:v>5</x:v>
      </x:c>
      <x:c r="H68" s="441"/>
      <x:c r="I68" s="439"/>
      <x:c r="J68" s="449" t="s">
        <x:v>6</x:v>
      </x:c>
      <x:c r="K68" s="450" t="s">
        <x:v>7</x:v>
      </x:c>
      <x:c r="L68" s="451" t="s">
        <x:v>8</x:v>
      </x:c>
      <x:c r="M68" s="449" t="s">
        <x:v>9</x:v>
      </x:c>
      <x:c r="O68" s="435"/>
    </x:row>
    <x:row r="69" spans="1:16" ht="15" customHeight="1" x14ac:dyDescent="0.3">
      <x:c r="A69" s="452" t="s">
        <x:v>10</x:v>
      </x:c>
      <x:c r="B69" s="452" t="s">
        <x:v>11</x:v>
      </x:c>
      <x:c r="C69" s="452" t="s">
        <x:v>12</x:v>
      </x:c>
      <x:c r="D69" s="453" t="s">
        <x:v>13</x:v>
      </x:c>
      <x:c r="E69" s="452" t="s">
        <x:v>14</x:v>
      </x:c>
      <x:c r="F69" s="454" t="s">
        <x:v>15</x:v>
      </x:c>
      <x:c r="G69" s="455" t="s">
        <x:v>16</x:v>
      </x:c>
      <x:c r="H69" s="456" t="s">
        <x:v>17</x:v>
      </x:c>
      <x:c r="I69" s="457" t="s">
        <x:v>18</x:v>
      </x:c>
      <x:c r="J69" s="458" t="s">
        <x:v>19</x:v>
      </x:c>
      <x:c r="K69" s="459"/>
      <x:c r="L69" s="460" t="s">
        <x:v>20</x:v>
      </x:c>
      <x:c r="M69" s="458" t="s">
        <x:v>21</x:v>
      </x:c>
      <x:c r="O69" s="435"/>
    </x:row>
    <x:row r="70" spans="1:16" ht="15" customHeight="1" x14ac:dyDescent="0.25">
      <x:c r="A70" s="606" t="s">
        <x:v>1182</x:v>
      </x:c>
      <x:c r="B70" s="573" t="s">
        <x:v>288</x:v>
      </x:c>
      <x:c r="C70" s="611" t="s">
        <x:v>1183</x:v>
      </x:c>
      <x:c r="D70" s="607">
        <x:v>45812.4193171296</x:v>
      </x:c>
      <x:c r="E70" s="569">
        <x:v>172.56</x:v>
      </x:c>
      <x:c r="F70" s="569">
        <x:v>17.26</x:v>
      </x:c>
      <x:c r="G70" s="466">
        <x:v>168.9</x:v>
      </x:c>
      <x:c r="H70" s="569">
        <x:v>23.3</x:v>
      </x:c>
      <x:c r="I70" s="467">
        <x:v>45858</x:v>
      </x:c>
      <x:c r="J70" s="433">
        <x:f>+E70-F70</x:f>
      </x:c>
      <x:c r="K70" s="468">
        <x:f>+I70-D70</x:f>
      </x:c>
      <x:c r="L70" s="469">
        <x:v>0.03</x:v>
      </x:c>
      <x:c r="M70" s="433">
        <x:f>+J70*L70</x:f>
      </x:c>
    </x:row>
    <x:row r="71" spans="1:16" ht="15" customHeight="1" x14ac:dyDescent="0.25">
      <x:c r="A71" s="606" t="s">
        <x:v>1184</x:v>
      </x:c>
      <x:c r="B71" s="573" t="s">
        <x:v>1185</x:v>
      </x:c>
      <x:c r="C71" s="611" t="s">
        <x:v>1186</x:v>
      </x:c>
      <x:c r="D71" s="607">
        <x:v>45832.4251273148</x:v>
      </x:c>
      <x:c r="E71" s="569">
        <x:v>124.32</x:v>
      </x:c>
      <x:c r="F71" s="569">
        <x:v>18.65</x:v>
      </x:c>
      <x:c r="G71" s="466">
        <x:v>121.52</x:v>
      </x:c>
      <x:c r="H71" s="569">
        <x:v>15.85</x:v>
      </x:c>
      <x:c r="I71" s="467">
        <x:v>45859</x:v>
      </x:c>
      <x:c r="J71" s="433">
        <x:f>+E71-F71</x:f>
      </x:c>
      <x:c r="K71" s="468">
        <x:f>+I71-D71</x:f>
      </x:c>
      <x:c r="L71" s="469">
        <x:v>0.035</x:v>
      </x:c>
      <x:c r="M71" s="433">
        <x:f>+J71*L71</x:f>
      </x:c>
    </x:row>
    <x:row r="72" spans="1:16" ht="15" customHeight="1" x14ac:dyDescent="0.25">
      <x:c r="A72" s="606" t="s">
        <x:v>1187</x:v>
      </x:c>
      <x:c r="B72" s="573" t="s">
        <x:v>26</x:v>
      </x:c>
      <x:c r="C72" s="611" t="s">
        <x:v>1188</x:v>
      </x:c>
      <x:c r="D72" s="607">
        <x:v>45839.375775463</x:v>
      </x:c>
      <x:c r="E72" s="569">
        <x:v>1048.32</x:v>
      </x:c>
      <x:c r="F72" s="569">
        <x:v>209.66</x:v>
      </x:c>
      <x:c r="G72" s="466">
        <x:v>949.78</x:v>
      </x:c>
      <x:c r="H72" s="569">
        <x:v>125.8</x:v>
      </x:c>
      <x:c r="I72" s="467">
        <x:v>45852</x:v>
      </x:c>
      <x:c r="J72" s="433">
        <x:f>+E72-F72</x:f>
      </x:c>
      <x:c r="K72" s="468">
        <x:f>+I72-D72</x:f>
      </x:c>
      <x:c r="L72" s="469">
        <x:v>0.035</x:v>
      </x:c>
      <x:c r="M72" s="433">
        <x:f>+J72*L72</x:f>
      </x:c>
    </x:row>
    <x:row r="73" spans="1:16" ht="15" customHeight="1" x14ac:dyDescent="0.25">
      <x:c r="A73" s="606" t="s">
        <x:v>1189</x:v>
      </x:c>
      <x:c r="B73" s="573" t="s">
        <x:v>1190</x:v>
      </x:c>
      <x:c r="C73" s="606" t="s">
        <x:v>1191</x:v>
      </x:c>
      <x:c r="D73" s="607">
        <x:v>45848.5939236111</x:v>
      </x:c>
      <x:c r="E73" s="569">
        <x:v>100.32</x:v>
      </x:c>
      <x:c r="F73" s="569">
        <x:v>13.04</x:v>
      </x:c>
      <x:c r="G73" s="466">
        <x:v>100.37</x:v>
      </x:c>
      <x:c r="H73" s="569">
        <x:v>13.09</x:v>
      </x:c>
      <x:c r="I73" s="467">
        <x:v>45852</x:v>
      </x:c>
      <x:c r="J73" s="433">
        <x:f>+E73-F73</x:f>
      </x:c>
      <x:c r="K73" s="468">
        <x:f>+I73-D73</x:f>
      </x:c>
      <x:c r="L73" s="469">
        <x:v>0.04</x:v>
      </x:c>
      <x:c r="M73" s="433">
        <x:f>+J73*L73</x:f>
      </x:c>
    </x:row>
    <x:row r="74" spans="1:16" ht="15" customHeight="1" x14ac:dyDescent="0.25">
      <x:c r="A74" s="606" t="s">
        <x:v>1192</x:v>
      </x:c>
      <x:c r="B74" s="573" t="s">
        <x:v>1190</x:v>
      </x:c>
      <x:c r="C74" s="606" t="s">
        <x:v>1193</x:v>
      </x:c>
      <x:c r="D74" s="607">
        <x:v>45848.603587963</x:v>
      </x:c>
      <x:c r="E74" s="569">
        <x:v>541.92</x:v>
      </x:c>
      <x:c r="F74" s="569">
        <x:v>70.45</x:v>
      </x:c>
      <x:c r="G74" s="466">
        <x:v>542.19</x:v>
      </x:c>
      <x:c r="H74" s="569">
        <x:v>70.72</x:v>
      </x:c>
      <x:c r="I74" s="467">
        <x:v>45852</x:v>
      </x:c>
      <x:c r="J74" s="433">
        <x:f>+E74-F74</x:f>
      </x:c>
      <x:c r="K74" s="468">
        <x:f>+I74-D74</x:f>
      </x:c>
      <x:c r="L74" s="469">
        <x:v>0.04</x:v>
      </x:c>
      <x:c r="M74" s="433">
        <x:f>+J74*L74</x:f>
      </x:c>
    </x:row>
    <x:row r="75" spans="1:16" ht="15" customHeight="1" x14ac:dyDescent="0.25">
      <x:c r="A75" s="606" t="s">
        <x:v>1194</x:v>
      </x:c>
      <x:c r="B75" s="573" t="s">
        <x:v>1195</x:v>
      </x:c>
      <x:c r="C75" s="606" t="s">
        <x:v>1196</x:v>
      </x:c>
      <x:c r="D75" s="607">
        <x:v>45849.6662268518</x:v>
      </x:c>
      <x:c r="E75" s="569">
        <x:v>12.9</x:v>
      </x:c>
      <x:c r="F75" s="569">
        <x:v>0</x:v>
      </x:c>
      <x:c r="G75" s="466">
        <x:v>14.84</x:v>
      </x:c>
      <x:c r="H75" s="569">
        <x:v>1.94</x:v>
      </x:c>
      <x:c r="I75" s="607">
        <x:v>45849.6662268518</x:v>
      </x:c>
      <x:c r="J75" s="433">
        <x:f>+E75-F75</x:f>
      </x:c>
      <x:c r="K75" s="468">
        <x:f>+I75-D75</x:f>
      </x:c>
      <x:c r="L75" s="469">
        <x:v>0.04</x:v>
      </x:c>
      <x:c r="M75" s="433">
        <x:f>+J75*L75</x:f>
      </x:c>
    </x:row>
    <x:row r="76" spans="1:16" ht="15" customHeight="1" x14ac:dyDescent="0.25">
      <x:c r="A76" s="461"/>
      <x:c r="B76" s="462"/>
      <x:c r="C76" s="463"/>
      <x:c r="D76" s="464"/>
      <x:c r="E76" s="465"/>
      <x:c r="F76" s="465"/>
      <x:c r="G76" s="466"/>
      <x:c r="H76" s="465"/>
      <x:c r="I76" s="467"/>
      <x:c r="J76" s="433"/>
      <x:c r="K76" s="468"/>
      <x:c r="L76" s="469"/>
      <x:c r="M76" s="433"/>
    </x:row>
    <x:row r="77" spans="1:16" ht="15" customHeight="1" x14ac:dyDescent="0.25">
      <x:c r="A77" s="461"/>
      <x:c r="B77" s="506"/>
      <x:c r="C77" s="463"/>
      <x:c r="D77" s="464"/>
      <x:c r="E77" s="465"/>
      <x:c r="F77" s="465"/>
      <x:c r="G77" s="466"/>
      <x:c r="H77" s="465"/>
      <x:c r="I77" s="492"/>
      <x:c r="J77" s="433"/>
      <x:c r="K77" s="468"/>
      <x:c r="L77" s="469"/>
      <x:c r="M77" s="433"/>
    </x:row>
    <x:row r="78" spans="1:16" ht="15" customHeight="1" x14ac:dyDescent="0.3">
      <x:c r="A78" s="471"/>
      <x:c r="B78" s="472"/>
      <x:c r="C78" s="472"/>
      <x:c r="D78" s="473"/>
      <x:c r="E78" s="474"/>
      <x:c r="F78" s="474"/>
      <x:c r="G78" s="475"/>
      <x:c r="H78" s="476"/>
      <x:c r="I78" s="477"/>
      <x:c r="J78" s="433"/>
      <x:c r="K78" s="468"/>
      <x:c r="L78" s="469"/>
      <x:c r="M78" s="433"/>
    </x:row>
    <x:row r="79" spans="1:16" ht="15" customHeight="1" x14ac:dyDescent="0.25">
      <x:c r="A79" s="478"/>
      <x:c r="B79" s="478"/>
      <x:c r="C79" s="478"/>
      <x:c r="D79" s="478"/>
      <x:c r="E79" s="478"/>
      <x:c r="F79" s="478"/>
      <x:c r="G79" s="479">
        <x:f>SUM(G70:G78)</x:f>
      </x:c>
      <x:c r="H79" s="480"/>
      <x:c r="I79" s="481"/>
      <x:c r="J79" s="479">
        <x:f>SUM(J70:J78)</x:f>
      </x:c>
      <x:c r="K79" s="482"/>
      <x:c r="L79" s="482"/>
      <x:c r="M79" s="479">
        <x:f>SUM(M70:M78)</x:f>
      </x:c>
    </x:row>
    <x:row r="80" spans="1:16" ht="15" customHeight="1" x14ac:dyDescent="0.25">
      <x:c r="A80" s="483"/>
      <x:c r="B80" s="483"/>
      <x:c r="C80" s="483"/>
      <x:c r="D80" s="484"/>
      <x:c r="E80" s="483"/>
      <x:c r="F80" s="483"/>
      <x:c r="G80" s="432"/>
      <x:c r="H80" s="434"/>
      <x:c r="I80" s="485"/>
      <x:c r="J80" s="434"/>
      <x:c r="K80" s="434"/>
      <x:c r="L80" s="434"/>
      <x:c r="M80" s="434"/>
    </x:row>
    <x:row r="81" spans="1:16" x14ac:dyDescent="0.25">
      <x:c r="A81" s="483"/>
      <x:c r="B81" s="483"/>
      <x:c r="C81" s="483"/>
      <x:c r="D81" s="484"/>
      <x:c r="E81" s="483"/>
      <x:c r="F81" s="483"/>
      <x:c r="G81" s="432"/>
      <x:c r="H81" s="434"/>
      <x:c r="I81" s="485"/>
      <x:c r="J81" s="432"/>
      <x:c r="K81" s="434"/>
      <x:c r="L81" s="434"/>
      <x:c r="M81" s="432"/>
    </x:row>
    <x:row r="82" spans="1:16" x14ac:dyDescent="0.25">
      <x:c r="A82" s="434" t="s">
        <x:v>30</x:v>
      </x:c>
      <x:c r="B82" s="434" t="s">
        <x:v>31</x:v>
      </x:c>
      <x:c r="C82" s="483" t="s">
        <x:v>32</x:v>
      </x:c>
      <x:c r="D82" s="485"/>
      <x:c r="E82" s="434"/>
      <x:c r="F82" s="434"/>
      <x:c r="G82" s="432"/>
      <x:c r="H82" s="434"/>
      <x:c r="I82" s="485"/>
      <x:c r="J82" s="434"/>
      <x:c r="K82" s="434"/>
      <x:c r="L82" s="434"/>
      <x:c r="M82" s="434"/>
    </x:row>
    <x:row r="83" spans="1:16" ht="15" customHeight="1" s="434" customFormat="1" x14ac:dyDescent="0.25">
      <x:c r="A83" s="487" t="s">
        <x:v>22</x:v>
      </x:c>
      <x:c r="B83" s="487" t="s">
        <x:v>1197</x:v>
      </x:c>
      <x:c r="C83" s="462" t="s">
        <x:v>1198</x:v>
      </x:c>
      <x:c r="D83" s="492">
        <x:v>45804.5871643519</x:v>
      </x:c>
      <x:c r="E83" s="490">
        <x:f>3860.1+1286.7</x:f>
      </x:c>
      <x:c r="F83" s="490">
        <x:v>1286.7</x:v>
      </x:c>
      <x:c r="G83" s="491">
        <x:f>4439.12-241.26</x:f>
      </x:c>
      <x:c r="H83" s="490">
        <x:v>579.02</x:v>
      </x:c>
      <x:c r="I83" s="492">
        <x:v>45901</x:v>
      </x:c>
      <x:c r="J83" s="433">
        <x:f>+E83-F83</x:f>
      </x:c>
      <x:c r="K83" s="468">
        <x:f>+I83-D83</x:f>
      </x:c>
      <x:c r="L83" s="469">
        <x:v>0.03</x:v>
      </x:c>
      <x:c r="M83" s="433">
        <x:f>+J83*L83</x:f>
      </x:c>
      <x:c r="N83" s="470"/>
    </x:row>
    <x:row r="84" spans="1:16" ht="15" customHeight="1" x14ac:dyDescent="0.25">
      <x:c r="A84" s="486"/>
      <x:c r="B84" s="487"/>
      <x:c r="C84" s="488"/>
      <x:c r="D84" s="489"/>
      <x:c r="E84" s="490"/>
      <x:c r="F84" s="490"/>
      <x:c r="G84" s="491"/>
      <x:c r="H84" s="490"/>
      <x:c r="I84" s="492"/>
      <x:c r="J84" s="433"/>
      <x:c r="K84" s="468"/>
      <x:c r="L84" s="469"/>
      <x:c r="M84" s="433"/>
    </x:row>
    <x:row r="85" spans="1:16" ht="15.6" customHeight="1" x14ac:dyDescent="0.3">
      <x:c r="A85" s="486"/>
      <x:c r="B85" s="487"/>
      <x:c r="C85" s="488"/>
      <x:c r="D85" s="489"/>
      <x:c r="E85" s="490"/>
      <x:c r="F85" s="490"/>
      <x:c r="G85" s="491"/>
      <x:c r="H85" s="490"/>
      <x:c r="I85" s="492"/>
      <x:c r="J85" s="433"/>
      <x:c r="K85" s="468"/>
      <x:c r="L85" s="469"/>
      <x:c r="M85" s="433"/>
    </x:row>
    <x:row r="86" spans="1:16" ht="16.2" customHeight="1" x14ac:dyDescent="0.35">
      <x:c r="A86" s="493" t="s">
        <x:v>43</x:v>
      </x:c>
      <x:c r="B86" s="493"/>
      <x:c r="C86" s="493"/>
      <x:c r="D86" s="493"/>
      <x:c r="E86" s="493"/>
      <x:c r="F86" s="493"/>
      <x:c r="G86" s="494">
        <x:f>SUM(G79:G85)</x:f>
      </x:c>
      <x:c r="I86" s="430"/>
      <x:c r="J86" s="494">
        <x:f>SUM(J79:J85)</x:f>
      </x:c>
      <x:c r="L86" s="495"/>
      <x:c r="M86" s="496">
        <x:f>SUM(M79:M85)</x:f>
      </x:c>
    </x:row>
    <x:row r="87" spans="1:16" x14ac:dyDescent="0.25">
      <x:c r="A87" s="497"/>
      <x:c r="B87" s="497"/>
      <x:c r="E87" s="497"/>
      <x:c r="F87" s="497"/>
      <x:c r="G87" s="435"/>
      <x:c r="I87" s="430"/>
    </x:row>
    <x:row r="88" spans="1:16" x14ac:dyDescent="0.25">
      <x:c r="A88" s="497"/>
      <x:c r="B88" s="497"/>
      <x:c r="E88" s="497"/>
      <x:c r="F88" s="497"/>
      <x:c r="G88" s="435"/>
      <x:c r="I88" s="430"/>
    </x:row>
    <x:row r="89" spans="1:16" x14ac:dyDescent="0.25">
      <x:c r="J89" s="435"/>
    </x:row>
    <x:row r="90" spans="1:16" x14ac:dyDescent="0.25">
      <x:c r="J90" s="435"/>
    </x:row>
    <x:row r="91" spans="1:16" x14ac:dyDescent="0.25">
      <x:c r="J91" s="435">
        <x:f>(J57+J86)*2%</x:f>
      </x:c>
      <x:c r="M91" s="565">
        <x:f>M86/12</x:f>
      </x:c>
      <x:c r="N91" s="431" t="s">
        <x:v>1199</x:v>
      </x:c>
    </x:row>
    <x:row r="92" spans="1:16" x14ac:dyDescent="0.25">
      <x:c r="J92" s="565">
        <x:f>J91/12</x:f>
      </x:c>
      <x:c r="K92" s="429" t="s">
        <x:v>655</x:v>
      </x:c>
      <x:c r="M92" s="565">
        <x:f>M86/24</x:f>
      </x:c>
      <x:c r="N92" s="431" t="s">
        <x:v>1199</x:v>
      </x:c>
    </x:row>
    <x:row r="93" spans="1:16" x14ac:dyDescent="0.25">
      <x:c r="J93" s="565">
        <x:f>J91/24</x:f>
      </x:c>
      <x:c r="K93" s="429" t="s">
        <x:v>655</x:v>
      </x:c>
    </x:row>
  </x:sheetData>
  <x:sortState xmlns:xlrd2="http://schemas.microsoft.com/office/spreadsheetml/2017/richdata2" ref="A8:P32">
    <x:sortCondition ref="C8:C32"/>
  </x:sortState>
  <x:mergeCells count="2">
    <x:mergeCell ref="A3:F3"/>
    <x:mergeCell ref="A57:F57"/>
  </x:mergeCells>
  <x:printOptions horizontalCentered="0" verticalCentered="0" headings="0" gridLines="0"/>
  <x:pageMargins left="0.3937007874015748" right="0" top="0.07874015748031496" bottom="0" header="0" footer="0"/>
  <x:pageSetup paperSize="9" scale="70" pageOrder="downThenOver" orientation="landscape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54547FA-4AE2-4B55-ACA6-177AF3E1B339}" mc:Ignorable="x14ac xr xr2 xr3">
  <x:sheetPr>
    <x:outlinePr summaryBelow="1" summaryRight="1"/>
  </x:sheetPr>
  <x:dimension ref="A1:O83"/>
  <x:sheetViews>
    <x:sheetView workbookViewId="0">
      <x:selection activeCell="K78" sqref="K78"/>
    </x:sheetView>
  </x:sheetViews>
  <x:sheetFormatPr baseColWidth="10" defaultColWidth="11.441406" defaultRowHeight="13.2" x14ac:dyDescent="0.25"/>
  <x:cols>
    <x:col min="1" max="1" width="43.332031" style="429" customWidth="1"/>
    <x:col min="2" max="2" width="22.441406" style="497" customWidth="1"/>
    <x:col min="3" max="3" width="24.886719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3" style="429" customWidth="1"/>
    <x:col min="8" max="8" width="9.886719" style="429" customWidth="1"/>
    <x:col min="9" max="9" width="10.664062" style="498" customWidth="1"/>
    <x:col min="10" max="10" width="13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1200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606" t="s">
        <x:v>57</x:v>
      </x:c>
      <x:c r="B8" s="573" t="s">
        <x:v>26</x:v>
      </x:c>
      <x:c r="C8" s="611" t="s">
        <x:v>1201</x:v>
      </x:c>
      <x:c r="D8" s="607">
        <x:v>45770</x:v>
      </x:c>
      <x:c r="E8" s="569">
        <x:v>102</x:v>
      </x:c>
      <x:c r="F8" s="569">
        <x:v>20.4</x:v>
      </x:c>
      <x:c r="G8" s="466">
        <x:v>88.74</x:v>
      </x:c>
      <x:c r="H8" s="569">
        <x:v>12.24</x:v>
      </x:c>
      <x:c r="I8" s="467">
        <x:v>45895</x:v>
      </x:c>
      <x:c r="J8" s="433">
        <x:f>+E8-F8</x:f>
      </x:c>
      <x:c r="K8" s="468">
        <x:f>+I8-D8</x:f>
      </x:c>
      <x:c r="L8" s="503">
        <x:v>0.03</x:v>
      </x:c>
      <x:c r="M8" s="504">
        <x:f>+J8*L8</x:f>
      </x:c>
      <x:c r="O8" s="432">
        <x:f>G8-J8</x:f>
      </x:c>
    </x:row>
    <x:row r="9" spans="1:16" ht="15" customHeight="1" x14ac:dyDescent="0.25">
      <x:c r="A9" s="606" t="s">
        <x:v>82</x:v>
      </x:c>
      <x:c r="B9" s="573" t="s">
        <x:v>80</x:v>
      </x:c>
      <x:c r="C9" s="611" t="s">
        <x:v>1202</x:v>
      </x:c>
      <x:c r="D9" s="607">
        <x:v>45771</x:v>
      </x:c>
      <x:c r="E9" s="569">
        <x:v>118.8</x:v>
      </x:c>
      <x:c r="F9" s="569">
        <x:v>23.76</x:v>
      </x:c>
      <x:c r="G9" s="466">
        <x:v>109.3</x:v>
      </x:c>
      <x:c r="H9" s="569">
        <x:v>14.26</x:v>
      </x:c>
      <x:c r="I9" s="467">
        <x:v>45877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>
        <x:f>G9-J9</x:f>
      </x:c>
    </x:row>
    <x:row r="10" spans="1:16" ht="15" customHeight="1" x14ac:dyDescent="0.25">
      <x:c r="A10" s="606" t="s">
        <x:v>57</x:v>
      </x:c>
      <x:c r="B10" s="573" t="s">
        <x:v>26</x:v>
      </x:c>
      <x:c r="C10" s="611" t="s">
        <x:v>1203</x:v>
      </x:c>
      <x:c r="D10" s="607">
        <x:v>45775</x:v>
      </x:c>
      <x:c r="E10" s="569">
        <x:v>652.32</x:v>
      </x:c>
      <x:c r="F10" s="569">
        <x:v>130.46</x:v>
      </x:c>
      <x:c r="G10" s="466">
        <x:v>567.53</x:v>
      </x:c>
      <x:c r="H10" s="569">
        <x:v>78.28</x:v>
      </x:c>
      <x:c r="I10" s="467">
        <x:v>45895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>
        <x:f>G10-J10</x:f>
      </x:c>
    </x:row>
    <x:row r="11" spans="1:16" ht="15" customHeight="1" x14ac:dyDescent="0.25">
      <x:c r="A11" s="606" t="s">
        <x:v>57</x:v>
      </x:c>
      <x:c r="B11" s="573" t="s">
        <x:v>26</x:v>
      </x:c>
      <x:c r="C11" s="611" t="s">
        <x:v>1204</x:v>
      </x:c>
      <x:c r="D11" s="607">
        <x:v>45778.3714467593</x:v>
      </x:c>
      <x:c r="E11" s="569">
        <x:v>158.4</x:v>
      </x:c>
      <x:c r="F11" s="569">
        <x:v>31.68</x:v>
      </x:c>
      <x:c r="G11" s="466">
        <x:v>137.81</x:v>
      </x:c>
      <x:c r="H11" s="569">
        <x:v>19.01</x:v>
      </x:c>
      <x:c r="I11" s="467">
        <x:v>45895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>
        <x:f>G11-J11</x:f>
      </x:c>
    </x:row>
    <x:row r="12" spans="1:16" ht="15" customHeight="1" x14ac:dyDescent="0.25">
      <x:c r="A12" s="606" t="s">
        <x:v>57</x:v>
      </x:c>
      <x:c r="B12" s="573" t="s">
        <x:v>26</x:v>
      </x:c>
      <x:c r="C12" s="611" t="s">
        <x:v>1205</x:v>
      </x:c>
      <x:c r="D12" s="607">
        <x:v>45782.4961458333</x:v>
      </x:c>
      <x:c r="E12" s="569">
        <x:v>601.2</x:v>
      </x:c>
      <x:c r="F12" s="569">
        <x:v>120.24</x:v>
      </x:c>
      <x:c r="G12" s="466">
        <x:v>523.04</x:v>
      </x:c>
      <x:c r="H12" s="569">
        <x:v>72.14</x:v>
      </x:c>
      <x:c r="I12" s="467">
        <x:v>45895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>
        <x:f>G12-J12</x:f>
      </x:c>
    </x:row>
    <x:row r="13" spans="1:16" ht="15" customHeight="1" x14ac:dyDescent="0.25">
      <x:c r="A13" s="606" t="s">
        <x:v>114</x:v>
      </x:c>
      <x:c r="B13" s="573" t="s">
        <x:v>26</x:v>
      </x:c>
      <x:c r="C13" s="611" t="s">
        <x:v>1206</x:v>
      </x:c>
      <x:c r="D13" s="607">
        <x:v>45786.4320601852</x:v>
      </x:c>
      <x:c r="E13" s="569">
        <x:v>416.4</x:v>
      </x:c>
      <x:c r="F13" s="569">
        <x:v>83.28</x:v>
      </x:c>
      <x:c r="G13" s="466">
        <x:v>362.27</x:v>
      </x:c>
      <x:c r="H13" s="569">
        <x:v>49.97</x:v>
      </x:c>
      <x:c r="I13" s="467">
        <x:v>45870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>
        <x:f>G13-J13</x:f>
      </x:c>
    </x:row>
    <x:row r="14" spans="1:16" ht="15" customHeight="1" x14ac:dyDescent="0.25">
      <x:c r="A14" s="606" t="s">
        <x:v>114</x:v>
      </x:c>
      <x:c r="B14" s="573" t="s">
        <x:v>26</x:v>
      </x:c>
      <x:c r="C14" s="611" t="s">
        <x:v>1207</x:v>
      </x:c>
      <x:c r="D14" s="607">
        <x:v>45799.4447106481</x:v>
      </x:c>
      <x:c r="E14" s="569">
        <x:f>456.86+114.22</x:f>
      </x:c>
      <x:c r="F14" s="569">
        <x:v>114.22</x:v>
      </x:c>
      <x:c r="G14" s="466">
        <x:v>496.83</x:v>
      </x:c>
      <x:c r="H14" s="569">
        <x:v>68.53</x:v>
      </x:c>
      <x:c r="I14" s="467">
        <x:v>45870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>
        <x:f>G14-J14</x:f>
      </x:c>
    </x:row>
    <x:row r="15" spans="1:16" ht="15" customHeight="1" x14ac:dyDescent="0.25">
      <x:c r="A15" s="606" t="s">
        <x:v>308</x:v>
      </x:c>
      <x:c r="B15" s="573" t="s">
        <x:v>309</x:v>
      </x:c>
      <x:c r="C15" s="611" t="s">
        <x:v>1208</x:v>
      </x:c>
      <x:c r="D15" s="607">
        <x:v>45810.5301157407</x:v>
      </x:c>
      <x:c r="E15" s="569">
        <x:f>127.09+22.43</x:f>
      </x:c>
      <x:c r="F15" s="569">
        <x:v>22.43</x:v>
      </x:c>
      <x:c r="G15" s="466">
        <x:v>140</x:v>
      </x:c>
      <x:c r="H15" s="569">
        <x:v>19.06</x:v>
      </x:c>
      <x:c r="I15" s="467">
        <x:v>45877</x:v>
      </x:c>
      <x:c r="J15" s="433">
        <x:f>140/1.15</x:f>
      </x:c>
      <x:c r="K15" s="468">
        <x:f>+I15-D15</x:f>
      </x:c>
      <x:c r="L15" s="503">
        <x:v>0.03</x:v>
      </x:c>
      <x:c r="M15" s="504">
        <x:f>+J15*L15</x:f>
      </x:c>
      <x:c r="O15" s="432">
        <x:f>G15-J15</x:f>
      </x:c>
    </x:row>
    <x:row r="16" spans="1:16" ht="15" customHeight="1" x14ac:dyDescent="0.25">
      <x:c r="A16" s="606" t="s">
        <x:v>57</x:v>
      </x:c>
      <x:c r="B16" s="573" t="s">
        <x:v>26</x:v>
      </x:c>
      <x:c r="C16" s="611" t="s">
        <x:v>1209</x:v>
      </x:c>
      <x:c r="D16" s="607">
        <x:v>45821.5376273148</x:v>
      </x:c>
      <x:c r="E16" s="569">
        <x:v>364.32</x:v>
      </x:c>
      <x:c r="F16" s="569">
        <x:v>72.86</x:v>
      </x:c>
      <x:c r="G16" s="466">
        <x:v>144.16</x:v>
      </x:c>
      <x:c r="H16" s="569">
        <x:v>43.72</x:v>
      </x:c>
      <x:c r="I16" s="467">
        <x:v>45895</x:v>
      </x:c>
      <x:c r="J16" s="433">
        <x:f>144.16/1.15</x:f>
      </x:c>
      <x:c r="K16" s="468">
        <x:f>+I16-D16</x:f>
      </x:c>
      <x:c r="L16" s="503">
        <x:v>0.03</x:v>
      </x:c>
      <x:c r="M16" s="504">
        <x:f>+J16*L16</x:f>
      </x:c>
      <x:c r="O16" s="432">
        <x:f>G16-J16</x:f>
      </x:c>
    </x:row>
    <x:row r="17" spans="1:16" ht="15" customHeight="1" x14ac:dyDescent="0.25">
      <x:c r="A17" s="606" t="s">
        <x:v>228</x:v>
      </x:c>
      <x:c r="B17" s="573" t="s">
        <x:v>155</x:v>
      </x:c>
      <x:c r="C17" s="611" t="s">
        <x:v>1210</x:v>
      </x:c>
      <x:c r="D17" s="607">
        <x:v>45828.3466550926</x:v>
      </x:c>
      <x:c r="E17" s="569">
        <x:v>224.88</x:v>
      </x:c>
      <x:c r="F17" s="569">
        <x:v>44.98</x:v>
      </x:c>
      <x:c r="G17" s="466">
        <x:v>195.64</x:v>
      </x:c>
      <x:c r="H17" s="569">
        <x:v>26.99</x:v>
      </x:c>
      <x:c r="I17" s="467">
        <x:v>45874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>
        <x:f>G17-J17</x:f>
      </x:c>
    </x:row>
    <x:row r="18" spans="1:16" ht="15" customHeight="1" x14ac:dyDescent="0.25">
      <x:c r="A18" s="606" t="s">
        <x:v>790</x:v>
      </x:c>
      <x:c r="B18" s="573" t="s">
        <x:v>463</x:v>
      </x:c>
      <x:c r="C18" s="611" t="s">
        <x:v>1211</x:v>
      </x:c>
      <x:c r="D18" s="607">
        <x:v>45831.4321875</x:v>
      </x:c>
      <x:c r="E18" s="569">
        <x:v>845.88</x:v>
      </x:c>
      <x:c r="F18" s="569">
        <x:v>126.88</x:v>
      </x:c>
      <x:c r="G18" s="466">
        <x:v>787.3</x:v>
      </x:c>
      <x:c r="H18" s="569">
        <x:v>107.85</x:v>
      </x:c>
      <x:c r="I18" s="467">
        <x:v>45896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>
        <x:f>G18-J18</x:f>
      </x:c>
    </x:row>
    <x:row r="19" spans="1:16" ht="15" customHeight="1" x14ac:dyDescent="0.25">
      <x:c r="A19" s="606" t="s">
        <x:v>335</x:v>
      </x:c>
      <x:c r="B19" s="573" t="s">
        <x:v>336</x:v>
      </x:c>
      <x:c r="C19" s="611" t="s">
        <x:v>1212</x:v>
      </x:c>
      <x:c r="D19" s="607">
        <x:v>45831.4443171296</x:v>
      </x:c>
      <x:c r="E19" s="569">
        <x:v>42.24</x:v>
      </x:c>
      <x:c r="F19" s="569">
        <x:v>6.34</x:v>
      </x:c>
      <x:c r="G19" s="466">
        <x:v>39.04</x:v>
      </x:c>
      <x:c r="H19" s="569">
        <x:v>5.39</x:v>
      </x:c>
      <x:c r="I19" s="467">
        <x:v>45874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>
        <x:f>G19-J19</x:f>
      </x:c>
    </x:row>
    <x:row r="20" spans="1:16" ht="15" customHeight="1" x14ac:dyDescent="0.25">
      <x:c r="A20" s="606" t="s">
        <x:v>339</x:v>
      </x:c>
      <x:c r="B20" s="573" t="s">
        <x:v>333</x:v>
      </x:c>
      <x:c r="C20" s="611" t="s">
        <x:v>1213</x:v>
      </x:c>
      <x:c r="D20" s="607">
        <x:v>45831.4466550926</x:v>
      </x:c>
      <x:c r="E20" s="569">
        <x:v>88.32</x:v>
      </x:c>
      <x:c r="F20" s="569">
        <x:v>13.25</x:v>
      </x:c>
      <x:c r="G20" s="466">
        <x:v>86.33</x:v>
      </x:c>
      <x:c r="H20" s="569">
        <x:v>11.26</x:v>
      </x:c>
      <x:c r="I20" s="467">
        <x:v>45877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>
        <x:f>G20-J20</x:f>
      </x:c>
    </x:row>
    <x:row r="21" spans="1:16" ht="15" customHeight="1" x14ac:dyDescent="0.25">
      <x:c r="A21" s="606" t="s">
        <x:v>690</x:v>
      </x:c>
      <x:c r="B21" s="573" t="s">
        <x:v>105</x:v>
      </x:c>
      <x:c r="C21" s="611" t="s">
        <x:v>1214</x:v>
      </x:c>
      <x:c r="D21" s="607">
        <x:v>45835.4560185185</x:v>
      </x:c>
      <x:c r="E21" s="569">
        <x:v>201.96</x:v>
      </x:c>
      <x:c r="F21" s="569">
        <x:v>30.29</x:v>
      </x:c>
      <x:c r="G21" s="466">
        <x:v>197.42</x:v>
      </x:c>
      <x:c r="H21" s="569">
        <x:v>25.75</x:v>
      </x:c>
      <x:c r="I21" s="467">
        <x:v>45877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>
        <x:f>G21-J21</x:f>
      </x:c>
    </x:row>
    <x:row r="22" spans="1:16" ht="15" customHeight="1" x14ac:dyDescent="0.25">
      <x:c r="A22" s="606" t="s">
        <x:v>75</x:v>
      </x:c>
      <x:c r="B22" s="573" t="s">
        <x:v>26</x:v>
      </x:c>
      <x:c r="C22" s="611" t="s">
        <x:v>1215</x:v>
      </x:c>
      <x:c r="D22" s="607">
        <x:v>45835.6296759259</x:v>
      </x:c>
      <x:c r="E22" s="569">
        <x:v>132</x:v>
      </x:c>
      <x:c r="F22" s="569">
        <x:v>19.8</x:v>
      </x:c>
      <x:c r="G22" s="466">
        <x:v>64.54</x:v>
      </x:c>
      <x:c r="H22" s="569">
        <x:v>16.83</x:v>
      </x:c>
      <x:c r="I22" s="467">
        <x:v>45881</x:v>
      </x:c>
      <x:c r="J22" s="433">
        <x:f>64.54/1.15</x:f>
      </x:c>
      <x:c r="K22" s="468">
        <x:f>+I22-D22</x:f>
      </x:c>
      <x:c r="L22" s="503">
        <x:v>0.03</x:v>
      </x:c>
      <x:c r="M22" s="504">
        <x:f>+J22*L22</x:f>
      </x:c>
      <x:c r="O22" s="432">
        <x:f>G22-J22</x:f>
      </x:c>
    </x:row>
    <x:row r="23" spans="1:16" ht="15" customHeight="1" x14ac:dyDescent="0.25">
      <x:c r="A23" s="606" t="s">
        <x:v>75</x:v>
      </x:c>
      <x:c r="B23" s="573" t="s">
        <x:v>26</x:v>
      </x:c>
      <x:c r="C23" s="611" t="s">
        <x:v>1215</x:v>
      </x:c>
      <x:c r="D23" s="607">
        <x:v>45835.6296759259</x:v>
      </x:c>
      <x:c r="E23" s="569">
        <x:v>132</x:v>
      </x:c>
      <x:c r="F23" s="569">
        <x:v>19.8</x:v>
      </x:c>
      <x:c r="G23" s="466">
        <x:v>64.49</x:v>
      </x:c>
      <x:c r="H23" s="569">
        <x:v>16.83</x:v>
      </x:c>
      <x:c r="I23" s="467">
        <x:v>45887</x:v>
      </x:c>
      <x:c r="J23" s="433">
        <x:f>64.49/1.15</x:f>
      </x:c>
      <x:c r="K23" s="468">
        <x:f>+I23-D23</x:f>
      </x:c>
      <x:c r="L23" s="503">
        <x:v>0.03</x:v>
      </x:c>
      <x:c r="M23" s="504">
        <x:f>+J23*L23</x:f>
      </x:c>
      <x:c r="O23" s="432">
        <x:f>G23-J23</x:f>
      </x:c>
    </x:row>
    <x:row r="24" spans="1:16" ht="15" customHeight="1" x14ac:dyDescent="0.25">
      <x:c r="A24" s="606" t="s">
        <x:v>25</x:v>
      </x:c>
      <x:c r="B24" s="573" t="s">
        <x:v>26</x:v>
      </x:c>
      <x:c r="C24" s="611" t="s">
        <x:v>1216</x:v>
      </x:c>
      <x:c r="D24" s="607">
        <x:v>45840</x:v>
      </x:c>
      <x:c r="E24" s="569">
        <x:v>584.8</x:v>
      </x:c>
      <x:c r="F24" s="569">
        <x:v>116.96</x:v>
      </x:c>
      <x:c r="G24" s="466">
        <x:v>508.78</x:v>
      </x:c>
      <x:c r="H24" s="569">
        <x:v>70.18</x:v>
      </x:c>
      <x:c r="I24" s="467">
        <x:v>45881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>
        <x:f>G24-J24</x:f>
      </x:c>
    </x:row>
    <x:row r="25" spans="1:16" ht="15" customHeight="1" x14ac:dyDescent="0.25">
      <x:c r="A25" s="606" t="s">
        <x:v>697</x:v>
      </x:c>
      <x:c r="B25" s="573" t="s">
        <x:v>53</x:v>
      </x:c>
      <x:c r="C25" s="611" t="s">
        <x:v>1217</x:v>
      </x:c>
      <x:c r="D25" s="607">
        <x:v>45855</x:v>
      </x:c>
      <x:c r="E25" s="569">
        <x:v>2573.28</x:v>
      </x:c>
      <x:c r="F25" s="569">
        <x:v>643.32</x:v>
      </x:c>
      <x:c r="G25" s="466">
        <x:v>2098.83</x:v>
      </x:c>
      <x:c r="H25" s="569">
        <x:v>289.49</x:v>
      </x:c>
      <x:c r="I25" s="467">
        <x:v>45896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>
        <x:f>G25-J25</x:f>
      </x:c>
    </x:row>
    <x:row r="26" spans="1:16" ht="15" customHeight="1" x14ac:dyDescent="0.25">
      <x:c r="A26" s="606" t="s">
        <x:v>1218</x:v>
      </x:c>
      <x:c r="B26" s="573" t="s">
        <x:v>53</x:v>
      </x:c>
      <x:c r="C26" s="611" t="s">
        <x:v>1219</x:v>
      </x:c>
      <x:c r="D26" s="607">
        <x:v>45859</x:v>
      </x:c>
      <x:c r="E26" s="569">
        <x:v>337.34</x:v>
      </x:c>
      <x:c r="F26" s="569">
        <x:v>57.35</x:v>
      </x:c>
      <x:c r="G26" s="466">
        <x:v>321.99</x:v>
      </x:c>
      <x:c r="H26" s="569">
        <x:v>42</x:v>
      </x:c>
      <x:c r="I26" s="467">
        <x:v>45874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>
        <x:f>G26-J26</x:f>
      </x:c>
    </x:row>
    <x:row r="27" spans="1:16" ht="15" customHeight="1" x14ac:dyDescent="0.25">
      <x:c r="A27" s="606" t="s">
        <x:v>1220</x:v>
      </x:c>
      <x:c r="B27" s="573" t="s">
        <x:v>105</x:v>
      </x:c>
      <x:c r="C27" s="611" t="s">
        <x:v>1221</x:v>
      </x:c>
      <x:c r="D27" s="607">
        <x:v>45861</x:v>
      </x:c>
      <x:c r="E27" s="569">
        <x:v>69.84</x:v>
      </x:c>
      <x:c r="F27" s="569">
        <x:v>9.08</x:v>
      </x:c>
      <x:c r="G27" s="466">
        <x:v>69.87</x:v>
      </x:c>
      <x:c r="H27" s="569">
        <x:v>9.11</x:v>
      </x:c>
      <x:c r="I27" s="467">
        <x:v>45895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>
        <x:f>G27-J27</x:f>
      </x:c>
    </x:row>
    <x:row r="28" spans="1:16" ht="15" customHeight="1" x14ac:dyDescent="0.25">
      <x:c r="A28" s="606" t="s">
        <x:v>430</x:v>
      </x:c>
      <x:c r="B28" s="462" t="s">
        <x:v>26</x:v>
      </x:c>
      <x:c r="C28" s="611" t="s">
        <x:v>1222</x:v>
      </x:c>
      <x:c r="D28" s="607">
        <x:v>45873.4234837963</x:v>
      </x:c>
      <x:c r="E28" s="491">
        <x:v>122.4</x:v>
      </x:c>
      <x:c r="F28" s="491">
        <x:v>18.36</x:v>
      </x:c>
      <x:c r="G28" s="491">
        <x:v>113.15</x:v>
      </x:c>
      <x:c r="H28" s="569">
        <x:v>15.61</x:v>
      </x:c>
      <x:c r="I28" s="607">
        <x:v>45874</x:v>
      </x:c>
      <x:c r="J28" s="433">
        <x:f>+E28-F28</x:f>
      </x:c>
      <x:c r="K28" s="468">
        <x:f>+I28-D28</x:f>
      </x:c>
      <x:c r="L28" s="503">
        <x:v>0.04</x:v>
      </x:c>
      <x:c r="M28" s="504">
        <x:f>+J28*L28</x:f>
      </x:c>
      <x:c r="O28" s="432">
        <x:f>G28-J28</x:f>
      </x:c>
    </x:row>
    <x:row r="29" spans="1:16" ht="15" customHeight="1" x14ac:dyDescent="0.25">
      <x:c r="A29" s="606" t="s">
        <x:v>360</x:v>
      </x:c>
      <x:c r="B29" s="462" t="s">
        <x:v>26</x:v>
      </x:c>
      <x:c r="C29" s="611" t="s">
        <x:v>1223</x:v>
      </x:c>
      <x:c r="D29" s="607">
        <x:v>45874.4136574074</x:v>
      </x:c>
      <x:c r="E29" s="491">
        <x:v>367.2</x:v>
      </x:c>
      <x:c r="F29" s="491">
        <x:v>44.06</x:v>
      </x:c>
      <x:c r="G29" s="491">
        <x:v>351.42</x:v>
      </x:c>
      <x:c r="H29" s="569">
        <x:v>48.47</x:v>
      </x:c>
      <x:c r="I29" s="607">
        <x:v>45882</x:v>
      </x:c>
      <x:c r="J29" s="433">
        <x:f>+E29-F29</x:f>
      </x:c>
      <x:c r="K29" s="468">
        <x:f>+I29-D29</x:f>
      </x:c>
      <x:c r="L29" s="503">
        <x:v>0.035</x:v>
      </x:c>
      <x:c r="M29" s="504">
        <x:f>+J29*L29</x:f>
      </x:c>
      <x:c r="O29" s="432">
        <x:f>G29-J29</x:f>
      </x:c>
    </x:row>
    <x:row r="30" spans="1:16" ht="15" customHeight="1" x14ac:dyDescent="0.25">
      <x:c r="A30" s="487" t="s">
        <x:v>430</x:v>
      </x:c>
      <x:c r="B30" s="462" t="s">
        <x:v>26</x:v>
      </x:c>
      <x:c r="C30" s="462" t="s">
        <x:v>1224</x:v>
      </x:c>
      <x:c r="D30" s="492">
        <x:v>45877.4036921296</x:v>
      </x:c>
      <x:c r="E30" s="491">
        <x:v>36.96</x:v>
      </x:c>
      <x:c r="F30" s="491">
        <x:v>0</x:v>
      </x:c>
      <x:c r="G30" s="491">
        <x:v>40.19</x:v>
      </x:c>
      <x:c r="H30" s="610">
        <x:v>5.54</x:v>
      </x:c>
      <x:c r="I30" s="492">
        <x:v>45887</x:v>
      </x:c>
      <x:c r="J30" s="433">
        <x:f>+E30-F30</x:f>
      </x:c>
      <x:c r="K30" s="468">
        <x:f>+I30-D30</x:f>
      </x:c>
      <x:c r="L30" s="503">
        <x:v>0.035</x:v>
      </x:c>
      <x:c r="M30" s="504">
        <x:f>+J30*L30</x:f>
      </x:c>
      <x:c r="O30" s="432">
        <x:f>G30-J30</x:f>
      </x:c>
    </x:row>
    <x:row r="31" spans="1:16" ht="15" customHeight="1" x14ac:dyDescent="0.25">
      <x:c r="A31" s="606" t="s">
        <x:v>430</x:v>
      </x:c>
      <x:c r="B31" s="462" t="s">
        <x:v>26</x:v>
      </x:c>
      <x:c r="C31" s="611" t="s">
        <x:v>1225</x:v>
      </x:c>
      <x:c r="D31" s="607">
        <x:v>45887.4077199074</x:v>
      </x:c>
      <x:c r="E31" s="491">
        <x:v>448.8</x:v>
      </x:c>
      <x:c r="F31" s="491">
        <x:v>67.32</x:v>
      </x:c>
      <x:c r="G31" s="491">
        <x:v>414.85</x:v>
      </x:c>
      <x:c r="H31" s="569">
        <x:v>57.22</x:v>
      </x:c>
      <x:c r="I31" s="492">
        <x:v>45887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>
        <x:f>G31-J31</x:f>
      </x:c>
    </x:row>
    <x:row r="32" spans="1:16" ht="15" customHeight="1" x14ac:dyDescent="0.25">
      <x:c r="A32" s="606" t="s">
        <x:v>225</x:v>
      </x:c>
      <x:c r="B32" s="462" t="s">
        <x:v>105</x:v>
      </x:c>
      <x:c r="C32" s="611" t="s">
        <x:v>1226</x:v>
      </x:c>
      <x:c r="D32" s="607">
        <x:v>45891.3702199074</x:v>
      </x:c>
      <x:c r="E32" s="491">
        <x:f>273.24+91.08</x:f>
      </x:c>
      <x:c r="F32" s="491">
        <x:v>91.08</x:v>
      </x:c>
      <x:c r="G32" s="491">
        <x:v>297.15</x:v>
      </x:c>
      <x:c r="H32" s="569">
        <x:v>40.99</x:v>
      </x:c>
      <x:c r="I32" s="492">
        <x:v>45895</x:v>
      </x:c>
      <x:c r="J32" s="433">
        <x:f>+E32-F32</x:f>
      </x:c>
      <x:c r="K32" s="468">
        <x:v>0</x:v>
      </x:c>
      <x:c r="L32" s="503">
        <x:v>0.04</x:v>
      </x:c>
      <x:c r="M32" s="504">
        <x:f>+J32*L32</x:f>
      </x:c>
      <x:c r="O32" s="432">
        <x:f>G32-J32</x:f>
      </x:c>
    </x:row>
    <x:row r="33" spans="1:16" ht="15" customHeight="1" x14ac:dyDescent="0.25">
      <x:c r="A33" s="606" t="s">
        <x:v>136</x:v>
      </x:c>
      <x:c r="B33" s="462" t="s">
        <x:v>26</x:v>
      </x:c>
      <x:c r="C33" s="611" t="s">
        <x:v>1227</x:v>
      </x:c>
      <x:c r="D33" s="607">
        <x:v>45895.6494560185</x:v>
      </x:c>
      <x:c r="E33" s="491">
        <x:v>81.6</x:v>
      </x:c>
      <x:c r="F33" s="491">
        <x:v>20.4</x:v>
      </x:c>
      <x:c r="G33" s="491">
        <x:v>66.56</x:v>
      </x:c>
      <x:c r="H33" s="569">
        <x:v>9.18</x:v>
      </x:c>
      <x:c r="I33" s="492">
        <x:v>45897</x:v>
      </x:c>
      <x:c r="J33" s="433">
        <x:f>+E33-F33</x:f>
      </x:c>
      <x:c r="K33" s="468">
        <x:v>0</x:v>
      </x:c>
      <x:c r="L33" s="503">
        <x:v>0.04</x:v>
      </x:c>
      <x:c r="M33" s="504">
        <x:f>+J33*L33</x:f>
      </x:c>
      <x:c r="O33" s="432">
        <x:f>G33-J33</x:f>
      </x:c>
    </x:row>
    <x:row r="34" spans="1:16" ht="15" customHeight="1" x14ac:dyDescent="0.25">
      <x:c r="A34" s="606" t="s">
        <x:v>136</x:v>
      </x:c>
      <x:c r="B34" s="462" t="s">
        <x:v>26</x:v>
      </x:c>
      <x:c r="C34" s="611" t="s">
        <x:v>1228</x:v>
      </x:c>
      <x:c r="D34" s="607">
        <x:v>45896.3773726852</x:v>
      </x:c>
      <x:c r="E34" s="491">
        <x:v>34.8</x:v>
      </x:c>
      <x:c r="F34" s="491">
        <x:v>5.22</x:v>
      </x:c>
      <x:c r="G34" s="491">
        <x:v>32.17</x:v>
      </x:c>
      <x:c r="H34" s="569">
        <x:v>4.44</x:v>
      </x:c>
      <x:c r="I34" s="492">
        <x:v>45896</x:v>
      </x:c>
      <x:c r="J34" s="433">
        <x:f>+E34-F34</x:f>
      </x:c>
      <x:c r="K34" s="468">
        <x:v>0</x:v>
      </x:c>
      <x:c r="L34" s="503">
        <x:v>0.04</x:v>
      </x:c>
      <x:c r="M34" s="504">
        <x:f>+J34*L34</x:f>
      </x:c>
      <x:c r="O34" s="432">
        <x:f>G34-J34</x:f>
      </x:c>
    </x:row>
    <x:row r="35" spans="1:16" ht="15" customHeight="1" x14ac:dyDescent="0.25">
      <x:c r="A35" s="606"/>
      <x:c r="B35" s="573"/>
      <x:c r="C35" s="606"/>
      <x:c r="D35" s="629"/>
      <x:c r="E35" s="569"/>
      <x:c r="F35" s="569"/>
      <x:c r="G35" s="466"/>
      <x:c r="H35" s="569"/>
      <x:c r="I35" s="467"/>
      <x:c r="J35" s="433"/>
      <x:c r="K35" s="468"/>
      <x:c r="L35" s="503"/>
      <x:c r="M35" s="504"/>
      <x:c r="O35" s="432"/>
    </x:row>
    <x:row r="36" spans="1:16" ht="15" customHeight="1" x14ac:dyDescent="0.3">
      <x:c r="G36" s="516">
        <x:f>SUM(G8:G35)</x:f>
      </x:c>
      <x:c r="J36" s="516">
        <x:f>SUM(J8:J35)</x:f>
      </x:c>
      <x:c r="M36" s="516">
        <x:f>SUM(M8:M35)</x:f>
      </x:c>
    </x:row>
    <x:row r="37" spans="1:16" ht="15" customHeight="1" x14ac:dyDescent="0.25">
      <x:c r="G37" s="435"/>
      <x:c r="H37" s="435"/>
    </x:row>
    <x:row r="38" spans="1:16" ht="15" customHeight="1" x14ac:dyDescent="0.25">
      <x:c r="A38" s="517" t="s">
        <x:v>30</x:v>
      </x:c>
      <x:c r="B38" s="518" t="s">
        <x:v>31</x:v>
      </x:c>
      <x:c r="C38" s="518" t="s">
        <x:v>32</x:v>
      </x:c>
      <x:c r="I38" s="608"/>
      <x:c r="J38" s="435"/>
    </x:row>
    <x:row r="39" spans="1:16" ht="15" customHeight="1" s="434" customFormat="1" x14ac:dyDescent="0.25">
      <x:c r="A39" s="487" t="s">
        <x:v>494</x:v>
      </x:c>
      <x:c r="B39" s="462" t="s">
        <x:v>1229</x:v>
      </x:c>
      <x:c r="C39" s="462" t="s">
        <x:v>1230</x:v>
      </x:c>
      <x:c r="D39" s="492">
        <x:v>45790.6733217593</x:v>
      </x:c>
      <x:c r="E39" s="490">
        <x:v>478.68</x:v>
      </x:c>
      <x:c r="F39" s="490">
        <x:v>71.8</x:v>
      </x:c>
      <x:c r="G39" s="491">
        <x:v>460.79</x:v>
      </x:c>
      <x:c r="H39" s="490">
        <x:v>61.03</x:v>
      </x:c>
      <x:c r="I39" s="492">
        <x:v>45915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>
        <x:f>G39-J39</x:f>
      </x:c>
    </x:row>
    <x:row r="40" spans="1:16" ht="15" customHeight="1" s="434" customFormat="1" x14ac:dyDescent="0.25">
      <x:c r="A40" s="487" t="s">
        <x:v>1231</x:v>
      </x:c>
      <x:c r="B40" s="462" t="s">
        <x:v>1232</x:v>
      </x:c>
      <x:c r="C40" s="462" t="s">
        <x:v>1233</x:v>
      </x:c>
      <x:c r="D40" s="492">
        <x:v>45792.5176736111</x:v>
      </x:c>
      <x:c r="E40" s="610">
        <x:v>834.24</x:v>
      </x:c>
      <x:c r="F40" s="610">
        <x:v>125.14</x:v>
      </x:c>
      <x:c r="G40" s="502">
        <x:v>815.47</x:v>
      </x:c>
      <x:c r="H40" s="610">
        <x:v>106.37</x:v>
      </x:c>
      <x:c r="I40" s="467">
        <x:v>45903</x:v>
      </x:c>
      <x:c r="J40" s="433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>
        <x:f>G40-J40</x:f>
      </x:c>
    </x:row>
    <x:row r="41" spans="1:16" ht="15" customHeight="1" s="434" customFormat="1" x14ac:dyDescent="0.25">
      <x:c r="A41" s="487" t="s">
        <x:v>104</x:v>
      </x:c>
      <x:c r="B41" s="462" t="s">
        <x:v>1234</x:v>
      </x:c>
      <x:c r="C41" s="462" t="s">
        <x:v>1235</x:v>
      </x:c>
      <x:c r="D41" s="492">
        <x:v>45806.5392361111</x:v>
      </x:c>
      <x:c r="E41" s="610">
        <x:f>410.45+72.43</x:f>
      </x:c>
      <x:c r="F41" s="610">
        <x:v>72.43</x:v>
      </x:c>
      <x:c r="G41" s="502">
        <x:v>446.37</x:v>
      </x:c>
      <x:c r="H41" s="610">
        <x:v>61.57</x:v>
      </x:c>
      <x:c r="I41" s="467">
        <x:v>45901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>
        <x:f>G41-J41</x:f>
      </x:c>
    </x:row>
    <x:row r="42" spans="1:16" ht="15" customHeight="1" s="434" customFormat="1" x14ac:dyDescent="0.25">
      <x:c r="A42" s="487" t="s">
        <x:v>1037</x:v>
      </x:c>
      <x:c r="B42" s="462" t="s">
        <x:v>1236</x:v>
      </x:c>
      <x:c r="C42" s="462" t="s">
        <x:v>1237</x:v>
      </x:c>
      <x:c r="D42" s="492">
        <x:v>45818.5550462963</x:v>
      </x:c>
      <x:c r="E42" s="610">
        <x:f>2386.8+421.2</x:f>
      </x:c>
      <x:c r="F42" s="610">
        <x:v>421.2</x:v>
      </x:c>
      <x:c r="G42" s="502">
        <x:v>2595.64</x:v>
      </x:c>
      <x:c r="H42" s="610">
        <x:v>358.02</x:v>
      </x:c>
      <x:c r="I42" s="467">
        <x:v>45954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>
        <x:f>G42-J42</x:f>
      </x:c>
    </x:row>
    <x:row r="43" spans="1:16" ht="15" customHeight="1" s="434" customFormat="1" x14ac:dyDescent="0.25">
      <x:c r="A43" s="487" t="s">
        <x:v>675</x:v>
      </x:c>
      <x:c r="B43" s="462" t="s">
        <x:v>1238</x:v>
      </x:c>
      <x:c r="C43" s="462" t="s">
        <x:v>1239</x:v>
      </x:c>
      <x:c r="D43" s="492">
        <x:v>45832.4832060185</x:v>
      </x:c>
      <x:c r="E43" s="610">
        <x:f>1442.25+480.75</x:f>
      </x:c>
      <x:c r="F43" s="610">
        <x:v>480.75</x:v>
      </x:c>
      <x:c r="G43" s="502">
        <x:v>738.04</x:v>
      </x:c>
      <x:c r="H43" s="610">
        <x:v>216.34</x:v>
      </x:c>
      <x:c r="I43" s="467">
        <x:v>45915</x:v>
      </x:c>
      <x:c r="J43" s="433">
        <x:f>738.04/1.15</x:f>
      </x:c>
      <x:c r="K43" s="468">
        <x:f>+I43-D43</x:f>
      </x:c>
      <x:c r="L43" s="469">
        <x:v>0.03</x:v>
      </x:c>
      <x:c r="M43" s="433">
        <x:f>+J43*L43</x:f>
      </x:c>
      <x:c r="N43" s="633"/>
      <x:c r="O43" s="432">
        <x:f>G43-J43</x:f>
      </x:c>
    </x:row>
    <x:row r="44" spans="1:16" ht="15" customHeight="1" s="434" customFormat="1" x14ac:dyDescent="0.25">
      <x:c r="A44" s="487" t="s">
        <x:v>675</x:v>
      </x:c>
      <x:c r="B44" s="462" t="s">
        <x:v>1240</x:v>
      </x:c>
      <x:c r="C44" s="462" t="s">
        <x:v>1239</x:v>
      </x:c>
      <x:c r="D44" s="492">
        <x:v>45832.4832060185</x:v>
      </x:c>
      <x:c r="E44" s="610">
        <x:f>1442.25+480.75</x:f>
      </x:c>
      <x:c r="F44" s="610">
        <x:v>480.75</x:v>
      </x:c>
      <x:c r="G44" s="502">
        <x:v>830.41</x:v>
      </x:c>
      <x:c r="H44" s="610">
        <x:v>216.34</x:v>
      </x:c>
      <x:c r="I44" s="467">
        <x:v>45945</x:v>
      </x:c>
      <x:c r="J44" s="433">
        <x:f>830.41/1.15</x:f>
      </x:c>
      <x:c r="K44" s="468">
        <x:f>+I44-D44</x:f>
      </x:c>
      <x:c r="L44" s="469">
        <x:v>0.03</x:v>
      </x:c>
      <x:c r="M44" s="433">
        <x:f>+J44*L44</x:f>
      </x:c>
      <x:c r="N44" s="633"/>
      <x:c r="O44" s="432">
        <x:f>G44-J44</x:f>
      </x:c>
    </x:row>
    <x:row r="45" spans="1:16" ht="15" customHeight="1" s="434" customFormat="1" x14ac:dyDescent="0.25">
      <x:c r="A45" s="487" t="s">
        <x:v>675</x:v>
      </x:c>
      <x:c r="B45" s="462" t="s">
        <x:v>1241</x:v>
      </x:c>
      <x:c r="C45" s="462" t="s">
        <x:v>1242</x:v>
      </x:c>
      <x:c r="D45" s="492">
        <x:v>45832.4972106482</x:v>
      </x:c>
      <x:c r="E45" s="610">
        <x:f>1351.35+450.45</x:f>
      </x:c>
      <x:c r="F45" s="610">
        <x:v>450.45</x:v>
      </x:c>
      <x:c r="G45" s="502">
        <x:v>169.59</x:v>
      </x:c>
      <x:c r="H45" s="610">
        <x:v>202.7</x:v>
      </x:c>
      <x:c r="I45" s="467">
        <x:v>45945</x:v>
      </x:c>
      <x:c r="J45" s="433">
        <x:f>169.59/1.15</x:f>
      </x:c>
      <x:c r="K45" s="468">
        <x:f>+I45-D45</x:f>
      </x:c>
      <x:c r="L45" s="469">
        <x:v>0.03</x:v>
      </x:c>
      <x:c r="M45" s="433">
        <x:f>+J45*L45</x:f>
      </x:c>
      <x:c r="N45" s="470"/>
      <x:c r="O45" s="432">
        <x:f>G45-J45</x:f>
      </x:c>
    </x:row>
    <x:row r="46" spans="1:16" ht="15" customHeight="1" s="434" customFormat="1" x14ac:dyDescent="0.25">
      <x:c r="A46" s="487" t="s">
        <x:v>675</x:v>
      </x:c>
      <x:c r="B46" s="462" t="s">
        <x:v>1243</x:v>
      </x:c>
      <x:c r="C46" s="462" t="s">
        <x:v>1242</x:v>
      </x:c>
      <x:c r="D46" s="492">
        <x:v>45832.4972106482</x:v>
      </x:c>
      <x:c r="E46" s="610">
        <x:f>1351.35+450.45</x:f>
      </x:c>
      <x:c r="F46" s="610">
        <x:v>450.45</x:v>
      </x:c>
      <x:c r="G46" s="502">
        <x:v>1300</x:v>
      </x:c>
      <x:c r="H46" s="610">
        <x:v>202.7</x:v>
      </x:c>
      <x:c r="I46" s="467">
        <x:v>45961</x:v>
      </x:c>
      <x:c r="J46" s="433">
        <x:f>1300/1.15</x:f>
      </x:c>
      <x:c r="K46" s="468">
        <x:f>+I46-D46</x:f>
      </x:c>
      <x:c r="L46" s="469">
        <x:v>0.03</x:v>
      </x:c>
      <x:c r="M46" s="433">
        <x:f>+J46*L46</x:f>
      </x:c>
      <x:c r="N46" s="470"/>
      <x:c r="O46" s="432">
        <x:f>G46-J46</x:f>
      </x:c>
    </x:row>
    <x:row r="47" spans="1:16" ht="15" customHeight="1" s="434" customFormat="1" x14ac:dyDescent="0.25">
      <x:c r="A47" s="487" t="s">
        <x:v>711</x:v>
      </x:c>
      <x:c r="B47" s="462" t="s">
        <x:v>1244</x:v>
      </x:c>
      <x:c r="C47" s="462" t="s">
        <x:v>1245</x:v>
      </x:c>
      <x:c r="D47" s="492">
        <x:v>45856</x:v>
      </x:c>
      <x:c r="E47" s="610">
        <x:f>270.4+47.72</x:f>
      </x:c>
      <x:c r="F47" s="610">
        <x:v>47.72</x:v>
      </x:c>
      <x:c r="G47" s="502">
        <x:f>310.96</x:f>
      </x:c>
      <x:c r="H47" s="610">
        <x:v>40.56</x:v>
      </x:c>
      <x:c r="I47" s="467">
        <x:v>45932</x:v>
      </x:c>
      <x:c r="J47" s="433">
        <x:f>+E47-F47</x:f>
      </x:c>
      <x:c r="K47" s="468">
        <x:f>+I47-D47</x:f>
      </x:c>
      <x:c r="L47" s="469">
        <x:v>0.03</x:v>
      </x:c>
      <x:c r="M47" s="433">
        <x:f>+J47*L47</x:f>
      </x:c>
      <x:c r="N47" s="470"/>
      <x:c r="O47" s="432">
        <x:f>G47-J47</x:f>
      </x:c>
    </x:row>
    <x:row r="48" spans="1:16" ht="15" customHeight="1" s="434" customFormat="1" x14ac:dyDescent="0.25">
      <x:c r="A48" s="487" t="s">
        <x:v>170</x:v>
      </x:c>
      <x:c r="B48" s="462" t="s">
        <x:v>1246</x:v>
      </x:c>
      <x:c r="C48" s="462" t="s">
        <x:v>1247</x:v>
      </x:c>
      <x:c r="D48" s="492">
        <x:v>45888.5160300926</x:v>
      </x:c>
      <x:c r="E48" s="491">
        <x:f>871.68+217.92</x:f>
      </x:c>
      <x:c r="F48" s="491">
        <x:v>217.92</x:v>
      </x:c>
      <x:c r="G48" s="491">
        <x:f>1002.43</x:f>
      </x:c>
      <x:c r="H48" s="610">
        <x:v>130.75</x:v>
      </x:c>
      <x:c r="I48" s="492">
        <x:v>45919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  <x:c r="N48" s="470"/>
      <x:c r="O48" s="432">
        <x:f>G48-J48</x:f>
      </x:c>
    </x:row>
    <x:row r="49" spans="1:16" ht="15" customHeight="1" s="434" customFormat="1" x14ac:dyDescent="0.25">
      <x:c r="A49" s="487" t="s">
        <x:v>136</x:v>
      </x:c>
      <x:c r="B49" s="462" t="s">
        <x:v>1248</x:v>
      </x:c>
      <x:c r="C49" s="462" t="s">
        <x:v>1249</x:v>
      </x:c>
      <x:c r="D49" s="492">
        <x:v>45894.3500462963</x:v>
      </x:c>
      <x:c r="E49" s="491">
        <x:f>684+228</x:f>
      </x:c>
      <x:c r="F49" s="491">
        <x:v>228</x:v>
      </x:c>
      <x:c r="G49" s="491">
        <x:v>743.85</x:v>
      </x:c>
      <x:c r="H49" s="610">
        <x:v>102.6</x:v>
      </x:c>
      <x:c r="I49" s="492">
        <x:v>45925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  <x:c r="O49" s="432">
        <x:f>G49-J49</x:f>
      </x:c>
    </x:row>
    <x:row r="50" spans="1:16" ht="15.6" customHeight="1" s="434" customFormat="1" x14ac:dyDescent="0.3">
      <x:c r="A50" s="487"/>
      <x:c r="B50" s="462"/>
      <x:c r="C50" s="487"/>
      <x:c r="D50" s="492"/>
      <x:c r="E50" s="490"/>
      <x:c r="F50" s="490"/>
      <x:c r="G50" s="491"/>
      <x:c r="H50" s="490"/>
      <x:c r="I50" s="492"/>
      <x:c r="J50" s="433"/>
      <x:c r="K50" s="468"/>
      <x:c r="L50" s="469"/>
      <x:c r="M50" s="433"/>
      <x:c r="N50" s="470"/>
      <x:c r="O50" s="432"/>
    </x:row>
    <x:row r="51" spans="1:16" ht="15" customHeight="1" x14ac:dyDescent="0.35">
      <x:c r="A51" s="493" t="s">
        <x:v>43</x:v>
      </x:c>
      <x:c r="B51" s="493"/>
      <x:c r="C51" s="493"/>
      <x:c r="D51" s="493"/>
      <x:c r="E51" s="493"/>
      <x:c r="F51" s="493"/>
      <x:c r="G51" s="516">
        <x:f>SUM(G36:G50)</x:f>
      </x:c>
      <x:c r="J51" s="516">
        <x:f>SUM(J36:J50)</x:f>
      </x:c>
      <x:c r="L51" s="495"/>
      <x:c r="M51" s="564">
        <x:f>SUM(M36:M50)</x:f>
      </x:c>
    </x:row>
    <x:row r="52" spans="1:16" ht="15" customHeight="1" x14ac:dyDescent="0.3">
      <x:c r="A52" s="520"/>
      <x:c r="G52" s="435"/>
    </x:row>
    <x:row r="53" spans="1:16" ht="15" customHeight="1" x14ac:dyDescent="0.3">
      <x:c r="A53" s="499"/>
      <x:c r="G53" s="435"/>
      <x:c r="J53" s="435"/>
    </x:row>
    <x:row r="54" spans="1:16" ht="15" customHeight="1" x14ac:dyDescent="0.3">
      <x:c r="A54" s="499"/>
      <x:c r="G54" s="435"/>
      <x:c r="J54" s="435"/>
    </x:row>
    <x:row r="55" spans="1:16" ht="15" customHeight="1" x14ac:dyDescent="0.3">
      <x:c r="A55" s="499"/>
      <x:c r="G55" s="435"/>
      <x:c r="J55" s="435"/>
    </x:row>
    <x:row r="56" spans="1:16" ht="15" customHeight="1" x14ac:dyDescent="0.3">
      <x:c r="A56" s="499"/>
      <x:c r="G56" s="435"/>
      <x:c r="J56" s="435"/>
      <x:c r="M56" s="565">
        <x:f>M51/12</x:f>
      </x:c>
      <x:c r="N56" s="431" t="s">
        <x:v>1199</x:v>
      </x:c>
    </x:row>
    <x:row r="57" spans="1:16" ht="15" customHeight="1" x14ac:dyDescent="0.3">
      <x:c r="A57" s="499"/>
      <x:c r="G57" s="435"/>
      <x:c r="J57" s="435"/>
      <x:c r="M57" s="565">
        <x:f>M51/24</x:f>
      </x:c>
      <x:c r="N57" s="431" t="s">
        <x:v>1199</x:v>
      </x:c>
    </x:row>
    <x:row r="58" spans="1:16" ht="15" customHeight="1" x14ac:dyDescent="0.25">
      <x:c r="A58" s="436" t="s">
        <x:v>0</x:v>
      </x:c>
      <x:c r="B58" s="436"/>
      <x:c r="C58" s="436"/>
      <x:c r="D58" s="436"/>
      <x:c r="E58" s="436"/>
      <x:c r="F58" s="436"/>
      <x:c r="G58" s="437"/>
      <x:c r="H58" s="438"/>
      <x:c r="I58" s="439"/>
      <x:c r="J58" s="440"/>
      <x:c r="K58" s="441"/>
      <x:c r="L58" s="442"/>
    </x:row>
    <x:row r="59" spans="1:16" ht="15" customHeight="1" x14ac:dyDescent="0.25">
      <x:c r="A59" s="436" t="s">
        <x:v>1</x:v>
      </x:c>
      <x:c r="B59" s="436"/>
      <x:c r="C59" s="436"/>
      <x:c r="D59" s="436"/>
      <x:c r="E59" s="436"/>
      <x:c r="F59" s="436"/>
      <x:c r="G59" s="437"/>
      <x:c r="H59" s="438"/>
      <x:c r="I59" s="439"/>
      <x:c r="J59" s="441"/>
      <x:c r="K59" s="441"/>
      <x:c r="L59" s="442"/>
    </x:row>
    <x:row r="60" spans="1:16" ht="15" customHeight="1" x14ac:dyDescent="0.25">
      <x:c r="A60" s="436"/>
      <x:c r="B60" s="436" t="s">
        <x:v>1200</x:v>
      </x:c>
      <x:c r="C60" s="436"/>
      <x:c r="D60" s="445"/>
      <x:c r="E60" s="436"/>
      <x:c r="F60" s="436"/>
      <x:c r="G60" s="437"/>
      <x:c r="H60" s="438"/>
      <x:c r="I60" s="439"/>
      <x:c r="J60" s="441"/>
      <x:c r="K60" s="441"/>
      <x:c r="L60" s="442"/>
      <x:c r="M60" s="443"/>
    </x:row>
    <x:row r="61" spans="1:16" ht="15" customHeight="1" x14ac:dyDescent="0.3">
      <x:c r="A61" s="436"/>
      <x:c r="B61" s="436" t="s">
        <x:v>1181</x:v>
      </x:c>
      <x:c r="C61" s="436"/>
      <x:c r="D61" s="445"/>
      <x:c r="E61" s="436"/>
      <x:c r="F61" s="436"/>
      <x:c r="G61" s="443"/>
      <x:c r="H61" s="437"/>
      <x:c r="I61" s="446"/>
      <x:c r="J61" s="441"/>
      <x:c r="K61" s="441"/>
      <x:c r="L61" s="442"/>
      <x:c r="M61" s="443"/>
    </x:row>
    <x:row r="62" spans="1:16" ht="15" customHeight="1" x14ac:dyDescent="0.25">
      <x:c r="A62" s="447" t="s">
        <x:v>4</x:v>
      </x:c>
      <x:c r="B62" s="609"/>
      <x:c r="C62" s="441"/>
      <x:c r="D62" s="439"/>
      <x:c r="E62" s="441"/>
      <x:c r="F62" s="441"/>
      <x:c r="G62" s="448" t="s">
        <x:v>5</x:v>
      </x:c>
      <x:c r="H62" s="441"/>
      <x:c r="I62" s="439"/>
      <x:c r="J62" s="449" t="s">
        <x:v>6</x:v>
      </x:c>
      <x:c r="K62" s="450" t="s">
        <x:v>7</x:v>
      </x:c>
      <x:c r="L62" s="451" t="s">
        <x:v>8</x:v>
      </x:c>
      <x:c r="M62" s="449" t="s">
        <x:v>9</x:v>
      </x:c>
      <x:c r="O62" s="435"/>
    </x:row>
    <x:row r="63" spans="1:16" ht="15" customHeight="1" x14ac:dyDescent="0.3">
      <x:c r="A63" s="452" t="s">
        <x:v>10</x:v>
      </x:c>
      <x:c r="B63" s="452" t="s">
        <x:v>11</x:v>
      </x:c>
      <x:c r="C63" s="452" t="s">
        <x:v>12</x:v>
      </x:c>
      <x:c r="D63" s="453" t="s">
        <x:v>13</x:v>
      </x:c>
      <x:c r="E63" s="452" t="s">
        <x:v>14</x:v>
      </x:c>
      <x:c r="F63" s="454" t="s">
        <x:v>15</x:v>
      </x:c>
      <x:c r="G63" s="455" t="s">
        <x:v>16</x:v>
      </x:c>
      <x:c r="H63" s="456" t="s">
        <x:v>17</x:v>
      </x:c>
      <x:c r="I63" s="457" t="s">
        <x:v>18</x:v>
      </x:c>
      <x:c r="J63" s="458" t="s">
        <x:v>19</x:v>
      </x:c>
      <x:c r="K63" s="459"/>
      <x:c r="L63" s="460" t="s">
        <x:v>20</x:v>
      </x:c>
      <x:c r="M63" s="458" t="s">
        <x:v>21</x:v>
      </x:c>
      <x:c r="O63" s="435"/>
    </x:row>
    <x:row r="64" spans="1:16" ht="15" customHeight="1" x14ac:dyDescent="0.25">
      <x:c r="A64" s="634" t="s">
        <x:v>1250</x:v>
      </x:c>
      <x:c r="B64" s="462" t="s">
        <x:v>1251</x:v>
      </x:c>
      <x:c r="C64" s="635" t="s">
        <x:v>1252</x:v>
      </x:c>
      <x:c r="D64" s="636">
        <x:v>45832.4273958333</x:v>
      </x:c>
      <x:c r="E64" s="599">
        <x:v>52.68</x:v>
      </x:c>
      <x:c r="F64" s="599">
        <x:v>7.9</x:v>
      </x:c>
      <x:c r="G64" s="621">
        <x:v>48.7</x:v>
      </x:c>
      <x:c r="H64" s="637">
        <x:v>6.72</x:v>
      </x:c>
      <x:c r="I64" s="638">
        <x:v>45884</x:v>
      </x:c>
      <x:c r="J64" s="433">
        <x:f>+E64-F64</x:f>
      </x:c>
      <x:c r="K64" s="468">
        <x:f>+I64-D64</x:f>
      </x:c>
      <x:c r="L64" s="469">
        <x:v>0.03</x:v>
      </x:c>
      <x:c r="M64" s="433">
        <x:f>+J64*L64</x:f>
      </x:c>
    </x:row>
    <x:row r="65" spans="1:16" ht="15" customHeight="1" x14ac:dyDescent="0.25">
      <x:c r="A65" s="634" t="s">
        <x:v>1253</x:v>
      </x:c>
      <x:c r="B65" s="225" t="s">
        <x:v>1254</x:v>
      </x:c>
      <x:c r="C65" s="635" t="s">
        <x:v>1255</x:v>
      </x:c>
      <x:c r="D65" s="636">
        <x:v>45888.3411342593</x:v>
      </x:c>
      <x:c r="E65" s="226">
        <x:v>982.8</x:v>
      </x:c>
      <x:c r="F65" s="226">
        <x:v>196.56</x:v>
      </x:c>
      <x:c r="G65" s="226">
        <x:v>904.18</x:v>
      </x:c>
      <x:c r="H65" s="637">
        <x:v>117.94</x:v>
      </x:c>
      <x:c r="I65" s="229">
        <x:v>45888</x:v>
      </x:c>
      <x:c r="J65" s="433">
        <x:f>+E65-F65</x:f>
      </x:c>
      <x:c r="K65" s="468">
        <x:f>+I65-D65</x:f>
      </x:c>
      <x:c r="L65" s="469">
        <x:v>0.04</x:v>
      </x:c>
      <x:c r="M65" s="433">
        <x:f>+J65*L65</x:f>
      </x:c>
    </x:row>
    <x:row r="66" spans="1:16" ht="15" customHeight="1" x14ac:dyDescent="0.25">
      <x:c r="A66" s="634" t="s">
        <x:v>1253</x:v>
      </x:c>
      <x:c r="B66" s="224" t="s">
        <x:v>1254</x:v>
      </x:c>
      <x:c r="C66" s="635" t="s">
        <x:v>1256</x:v>
      </x:c>
      <x:c r="D66" s="636">
        <x:v>45889.345462963</x:v>
      </x:c>
      <x:c r="E66" s="222">
        <x:f>9.5+2.38</x:f>
      </x:c>
      <x:c r="F66" s="222">
        <x:v>2.38</x:v>
      </x:c>
      <x:c r="G66" s="222">
        <x:f>10.93</x:f>
      </x:c>
      <x:c r="H66" s="569">
        <x:v>23.3</x:v>
      </x:c>
      <x:c r="I66" s="223">
        <x:v>45889</x:v>
      </x:c>
      <x:c r="J66" s="433">
        <x:f>+E66-F66</x:f>
      </x:c>
      <x:c r="K66" s="468">
        <x:f>+I66-D66</x:f>
      </x:c>
      <x:c r="L66" s="469">
        <x:v>0.04</x:v>
      </x:c>
      <x:c r="M66" s="433">
        <x:f>+J66*L66</x:f>
      </x:c>
    </x:row>
    <x:row r="67" spans="1:16" ht="15" customHeight="1" x14ac:dyDescent="0.25">
      <x:c r="A67" s="606"/>
      <x:c r="B67" s="573"/>
      <x:c r="C67" s="606"/>
      <x:c r="D67" s="607"/>
      <x:c r="E67" s="569"/>
      <x:c r="F67" s="569"/>
      <x:c r="G67" s="466"/>
      <x:c r="H67" s="569"/>
      <x:c r="I67" s="467"/>
      <x:c r="J67" s="433"/>
      <x:c r="K67" s="468"/>
      <x:c r="L67" s="469"/>
      <x:c r="M67" s="433"/>
    </x:row>
    <x:row r="68" spans="1:16" ht="15" customHeight="1" x14ac:dyDescent="0.3">
      <x:c r="A68" s="471"/>
      <x:c r="B68" s="472"/>
      <x:c r="C68" s="472"/>
      <x:c r="D68" s="473"/>
      <x:c r="E68" s="474"/>
      <x:c r="F68" s="474"/>
      <x:c r="G68" s="475"/>
      <x:c r="H68" s="476"/>
      <x:c r="I68" s="477"/>
      <x:c r="J68" s="433"/>
      <x:c r="K68" s="468"/>
      <x:c r="L68" s="469"/>
      <x:c r="M68" s="433"/>
    </x:row>
    <x:row r="69" spans="1:16" ht="15" customHeight="1" x14ac:dyDescent="0.25">
      <x:c r="A69" s="478"/>
      <x:c r="B69" s="478"/>
      <x:c r="C69" s="478"/>
      <x:c r="D69" s="478"/>
      <x:c r="E69" s="478"/>
      <x:c r="F69" s="478"/>
      <x:c r="G69" s="479">
        <x:f>SUM(G64:G68)</x:f>
      </x:c>
      <x:c r="H69" s="480"/>
      <x:c r="I69" s="481"/>
      <x:c r="J69" s="479">
        <x:f>SUM(J64:J68)</x:f>
      </x:c>
      <x:c r="K69" s="482"/>
      <x:c r="L69" s="482"/>
      <x:c r="M69" s="479">
        <x:f>SUM(M64:M68)</x:f>
      </x:c>
    </x:row>
    <x:row r="70" spans="1:16" ht="15" customHeight="1" x14ac:dyDescent="0.25">
      <x:c r="A70" s="483"/>
      <x:c r="B70" s="483"/>
      <x:c r="C70" s="483"/>
      <x:c r="D70" s="484"/>
      <x:c r="E70" s="483"/>
      <x:c r="F70" s="483"/>
      <x:c r="G70" s="432"/>
      <x:c r="H70" s="434"/>
      <x:c r="I70" s="485"/>
      <x:c r="J70" s="434"/>
      <x:c r="K70" s="434"/>
      <x:c r="L70" s="434"/>
      <x:c r="M70" s="434"/>
    </x:row>
    <x:row r="71" spans="1:16" x14ac:dyDescent="0.25">
      <x:c r="A71" s="483"/>
      <x:c r="B71" s="483"/>
      <x:c r="C71" s="483"/>
      <x:c r="D71" s="484"/>
      <x:c r="E71" s="483"/>
      <x:c r="F71" s="483"/>
      <x:c r="G71" s="432"/>
      <x:c r="H71" s="434"/>
      <x:c r="I71" s="485"/>
      <x:c r="J71" s="432"/>
      <x:c r="K71" s="434"/>
      <x:c r="L71" s="434"/>
      <x:c r="M71" s="432"/>
    </x:row>
    <x:row r="72" spans="1:16" x14ac:dyDescent="0.25">
      <x:c r="A72" s="434" t="s">
        <x:v>30</x:v>
      </x:c>
      <x:c r="B72" s="483" t="s">
        <x:v>31</x:v>
      </x:c>
      <x:c r="C72" s="483" t="s">
        <x:v>32</x:v>
      </x:c>
      <x:c r="D72" s="485"/>
      <x:c r="E72" s="434"/>
      <x:c r="F72" s="434"/>
      <x:c r="G72" s="432"/>
      <x:c r="H72" s="434"/>
      <x:c r="I72" s="485"/>
      <x:c r="J72" s="434"/>
      <x:c r="K72" s="434"/>
      <x:c r="L72" s="434"/>
      <x:c r="M72" s="434"/>
    </x:row>
    <x:row r="73" spans="1:16" ht="15" customHeight="1" s="434" customFormat="1" x14ac:dyDescent="0.25">
      <x:c r="A73" s="487" t="s">
        <x:v>1257</x:v>
      </x:c>
      <x:c r="B73" s="487" t="s">
        <x:v>1258</x:v>
      </x:c>
      <x:c r="C73" s="462" t="s">
        <x:v>1259</x:v>
      </x:c>
      <x:c r="D73" s="492">
        <x:v>45860</x:v>
      </x:c>
      <x:c r="E73" s="490">
        <x:f>491.44+86.72</x:f>
      </x:c>
      <x:c r="F73" s="490">
        <x:v>86.72</x:v>
      </x:c>
      <x:c r="G73" s="491">
        <x:f>565.16</x:f>
      </x:c>
      <x:c r="H73" s="490">
        <x:v>73.72</x:v>
      </x:c>
      <x:c r="I73" s="492">
        <x:v>45930</x:v>
      </x:c>
      <x:c r="J73" s="433">
        <x:f>+E73-F73</x:f>
      </x:c>
      <x:c r="K73" s="468">
        <x:f>+I73-D73</x:f>
      </x:c>
      <x:c r="L73" s="469">
        <x:v>0.03</x:v>
      </x:c>
      <x:c r="M73" s="433">
        <x:f>+J73*L73</x:f>
      </x:c>
      <x:c r="N73" s="470"/>
    </x:row>
    <x:row r="74" spans="1:16" ht="15" customHeight="1" x14ac:dyDescent="0.25">
      <x:c r="A74" s="486"/>
      <x:c r="B74" s="462"/>
      <x:c r="C74" s="488"/>
      <x:c r="D74" s="489"/>
      <x:c r="E74" s="490"/>
      <x:c r="F74" s="490"/>
      <x:c r="G74" s="491"/>
      <x:c r="H74" s="490"/>
      <x:c r="I74" s="492"/>
      <x:c r="J74" s="433"/>
      <x:c r="K74" s="468"/>
      <x:c r="L74" s="469"/>
      <x:c r="M74" s="433"/>
    </x:row>
    <x:row r="75" spans="1:16" ht="15.6" customHeight="1" x14ac:dyDescent="0.3">
      <x:c r="A75" s="486"/>
      <x:c r="B75" s="462"/>
      <x:c r="C75" s="488"/>
      <x:c r="D75" s="489"/>
      <x:c r="E75" s="490"/>
      <x:c r="F75" s="490"/>
      <x:c r="G75" s="491"/>
      <x:c r="H75" s="490"/>
      <x:c r="I75" s="492"/>
      <x:c r="J75" s="433"/>
      <x:c r="K75" s="468"/>
      <x:c r="L75" s="469"/>
      <x:c r="M75" s="433"/>
    </x:row>
    <x:row r="76" spans="1:16" ht="16.2" customHeight="1" x14ac:dyDescent="0.35">
      <x:c r="A76" s="493" t="s">
        <x:v>43</x:v>
      </x:c>
      <x:c r="B76" s="493"/>
      <x:c r="C76" s="493"/>
      <x:c r="D76" s="493"/>
      <x:c r="E76" s="493"/>
      <x:c r="F76" s="493"/>
      <x:c r="G76" s="494">
        <x:f>SUM(G69:G75)</x:f>
      </x:c>
      <x:c r="I76" s="430"/>
      <x:c r="J76" s="494">
        <x:f>SUM(J69:J75)</x:f>
      </x:c>
      <x:c r="L76" s="495"/>
      <x:c r="M76" s="496">
        <x:f>SUM(M69:M75)</x:f>
      </x:c>
    </x:row>
    <x:row r="77" spans="1:16" x14ac:dyDescent="0.25">
      <x:c r="A77" s="497"/>
      <x:c r="E77" s="497"/>
      <x:c r="F77" s="497"/>
      <x:c r="G77" s="435"/>
      <x:c r="I77" s="430"/>
    </x:row>
    <x:row r="79" spans="1:16" x14ac:dyDescent="0.25">
      <x:c r="J79" s="435"/>
    </x:row>
    <x:row r="80" spans="1:16" x14ac:dyDescent="0.25">
      <x:c r="J80" s="435"/>
    </x:row>
    <x:row r="81" spans="1:16" x14ac:dyDescent="0.25">
      <x:c r="J81" s="435">
        <x:f>(J51+J76)*2%</x:f>
      </x:c>
      <x:c r="M81" s="565">
        <x:f>M76/12</x:f>
      </x:c>
      <x:c r="N81" s="431" t="s">
        <x:v>1199</x:v>
      </x:c>
    </x:row>
    <x:row r="82" spans="1:16" x14ac:dyDescent="0.25">
      <x:c r="J82" s="565">
        <x:f>J81/12</x:f>
      </x:c>
      <x:c r="K82" s="429" t="s">
        <x:v>655</x:v>
      </x:c>
      <x:c r="M82" s="565">
        <x:f>M76/24</x:f>
      </x:c>
      <x:c r="N82" s="431" t="s">
        <x:v>1199</x:v>
      </x:c>
    </x:row>
    <x:row r="83" spans="1:16" x14ac:dyDescent="0.25">
      <x:c r="J83" s="565">
        <x:f>J81/24</x:f>
      </x:c>
      <x:c r="K83" s="429" t="s">
        <x:v>655</x:v>
      </x:c>
    </x:row>
  </x:sheetData>
  <x:sortState xmlns:xlrd2="http://schemas.microsoft.com/office/spreadsheetml/2017/richdata2" ref="A8:O34">
    <x:sortCondition ref="C8:C34"/>
  </x:sortState>
  <x:mergeCells count="2">
    <x:mergeCell ref="A3:F3"/>
    <x:mergeCell ref="A51:F51"/>
  </x:mergeCells>
  <x:printOptions horizontalCentered="0" verticalCentered="0" headings="0" gridLines="0"/>
  <x:pageMargins left="0.1968503937007874" right="0" top="0.3937007874015748" bottom="0" header="0" footer="0"/>
  <x:pageSetup paperSize="9" scale="72" pageOrder="downThenOver" orientation="landscape" blackAndWhite="0" draft="0" cellComments="none" errors="displayed" r:id="rId1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5C80010-E9A5-48BA-BE52-9431A4A4701E}" mc:Ignorable="x14ac xr xr2 xr3">
  <x:sheetPr>
    <x:outlinePr summaryBelow="1" summaryRight="1"/>
  </x:sheetPr>
  <x:dimension ref="A1:O96"/>
  <x:sheetViews>
    <x:sheetView topLeftCell="A56" workbookViewId="0">
      <x:selection activeCell="J90" sqref="J90 J90:N97"/>
    </x:sheetView>
  </x:sheetViews>
  <x:sheetFormatPr baseColWidth="10" defaultColWidth="11.441406" defaultRowHeight="13.2" x14ac:dyDescent="0.25"/>
  <x:cols>
    <x:col min="1" max="1" width="44.664062" style="429" customWidth="1"/>
    <x:col min="2" max="2" width="24.664062" style="497" customWidth="1"/>
    <x:col min="3" max="3" width="24.886719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3" style="429" customWidth="1"/>
    <x:col min="8" max="8" width="9.886719" style="429" customWidth="1"/>
    <x:col min="9" max="9" width="10.664062" style="498" customWidth="1"/>
    <x:col min="10" max="10" width="13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1260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606" t="s">
        <x:v>1261</x:v>
      </x:c>
      <x:c r="B8" s="573" t="s">
        <x:v>80</x:v>
      </x:c>
      <x:c r="C8" s="611" t="s">
        <x:v>1262</x:v>
      </x:c>
      <x:c r="D8" s="607">
        <x:v>45904.4672916667</x:v>
      </x:c>
      <x:c r="E8" s="502">
        <x:v>267</x:v>
      </x:c>
      <x:c r="F8" s="502">
        <x:v>66.75</x:v>
      </x:c>
      <x:c r="G8" s="502">
        <x:v>230.29</x:v>
      </x:c>
      <x:c r="H8" s="569">
        <x:v>30.04</x:v>
      </x:c>
      <x:c r="I8" s="467">
        <x:v>45904</x:v>
      </x:c>
      <x:c r="J8" s="433">
        <x:f>+E8-F8</x:f>
      </x:c>
      <x:c r="K8" s="468">
        <x:f>+I8-D8</x:f>
      </x:c>
      <x:c r="L8" s="503">
        <x:v>0.04</x:v>
      </x:c>
      <x:c r="M8" s="504">
        <x:f>+J8*L8</x:f>
      </x:c>
      <x:c r="O8" s="432">
        <x:f>G8-J8</x:f>
      </x:c>
    </x:row>
    <x:row r="9" spans="1:16" ht="15" customHeight="1" x14ac:dyDescent="0.25">
      <x:c r="A9" s="606" t="s">
        <x:v>450</x:v>
      </x:c>
      <x:c r="B9" s="573" t="s">
        <x:v>110</x:v>
      </x:c>
      <x:c r="C9" s="611" t="s">
        <x:v>1263</x:v>
      </x:c>
      <x:c r="D9" s="607">
        <x:v>45909</x:v>
      </x:c>
      <x:c r="E9" s="639">
        <x:v>147.72</x:v>
      </x:c>
      <x:c r="F9" s="466">
        <x:v>14.772</x:v>
      </x:c>
      <x:c r="G9" s="570">
        <x:v>152.89</x:v>
      </x:c>
      <x:c r="H9" s="466">
        <x:v>19.94</x:v>
      </x:c>
      <x:c r="I9" s="467">
        <x:v>45909</x:v>
      </x:c>
      <x:c r="J9" s="433">
        <x:f>+E9-F9</x:f>
      </x:c>
      <x:c r="K9" s="468">
        <x:f>+I9-D9</x:f>
      </x:c>
      <x:c r="L9" s="503">
        <x:v>0.04</x:v>
      </x:c>
      <x:c r="M9" s="504">
        <x:f>+J9*L9</x:f>
      </x:c>
      <x:c r="O9" s="432">
        <x:f>G9-J9</x:f>
      </x:c>
    </x:row>
    <x:row r="10" spans="1:16" ht="15" customHeight="1" x14ac:dyDescent="0.25">
      <x:c r="A10" s="606" t="s">
        <x:v>167</x:v>
      </x:c>
      <x:c r="B10" s="573" t="s">
        <x:v>26</x:v>
      </x:c>
      <x:c r="C10" s="611" t="s">
        <x:v>1264</x:v>
      </x:c>
      <x:c r="D10" s="607">
        <x:v>45922</x:v>
      </x:c>
      <x:c r="E10" s="639">
        <x:v>117</x:v>
      </x:c>
      <x:c r="F10" s="466">
        <x:v>17.55</x:v>
      </x:c>
      <x:c r="G10" s="570">
        <x:v>114.37</x:v>
      </x:c>
      <x:c r="H10" s="466">
        <x:v>14.92</x:v>
      </x:c>
      <x:c r="I10" s="467">
        <x:v>45922</x:v>
      </x:c>
      <x:c r="J10" s="433">
        <x:f>+E10-F10</x:f>
      </x:c>
      <x:c r="K10" s="468">
        <x:f>+I10-D10</x:f>
      </x:c>
      <x:c r="L10" s="503">
        <x:v>0.04</x:v>
      </x:c>
      <x:c r="M10" s="504">
        <x:f>+J10*L10</x:f>
      </x:c>
      <x:c r="O10" s="432"/>
    </x:row>
    <x:row r="11" spans="1:16" ht="15" customHeight="1" x14ac:dyDescent="0.25">
      <x:c r="A11" s="606" t="s">
        <x:v>136</x:v>
      </x:c>
      <x:c r="B11" s="573" t="s">
        <x:v>26</x:v>
      </x:c>
      <x:c r="C11" s="611" t="s">
        <x:v>1265</x:v>
      </x:c>
      <x:c r="D11" s="607">
        <x:v>45929</x:v>
      </x:c>
      <x:c r="E11" s="639">
        <x:v>68</x:v>
      </x:c>
      <x:c r="F11" s="466">
        <x:v>10.2</x:v>
      </x:c>
      <x:c r="G11" s="502">
        <x:v>62.86</x:v>
      </x:c>
      <x:c r="H11" s="466">
        <x:v>8.67</x:v>
      </x:c>
      <x:c r="I11" s="467">
        <x:v>45929</x:v>
      </x:c>
      <x:c r="J11" s="433">
        <x:f>+E11-F11</x:f>
      </x:c>
      <x:c r="K11" s="468">
        <x:f>+I11-D11</x:f>
      </x:c>
      <x:c r="L11" s="503">
        <x:v>0.04</x:v>
      </x:c>
      <x:c r="M11" s="504">
        <x:f>+J11*L11</x:f>
      </x:c>
      <x:c r="O11" s="432"/>
    </x:row>
    <x:row r="12" spans="1:16" ht="15" customHeight="1" x14ac:dyDescent="0.25">
      <x:c r="A12" s="606" t="s">
        <x:v>114</x:v>
      </x:c>
      <x:c r="B12" s="573" t="s">
        <x:v>26</x:v>
      </x:c>
      <x:c r="C12" s="611" t="s">
        <x:v>1266</x:v>
      </x:c>
      <x:c r="D12" s="607">
        <x:v>45908</x:v>
      </x:c>
      <x:c r="E12" s="639">
        <x:v>10.2</x:v>
      </x:c>
      <x:c r="F12" s="466">
        <x:v>1.326</x:v>
      </x:c>
      <x:c r="G12" s="502">
        <x:v>9.64</x:v>
      </x:c>
      <x:c r="H12" s="466">
        <x:v>1.33</x:v>
      </x:c>
      <x:c r="I12" s="467">
        <x:v>45909</x:v>
      </x:c>
      <x:c r="J12" s="433">
        <x:f>+E12-F12</x:f>
      </x:c>
      <x:c r="K12" s="468">
        <x:f>+I12-D12</x:f>
      </x:c>
      <x:c r="L12" s="503">
        <x:v>0.04</x:v>
      </x:c>
      <x:c r="M12" s="504">
        <x:f>+J12*L12</x:f>
      </x:c>
      <x:c r="O12" s="432">
        <x:f>G12-J12</x:f>
      </x:c>
    </x:row>
    <x:row r="13" spans="1:16" ht="15" customHeight="1" x14ac:dyDescent="0.25">
      <x:c r="A13" s="606" t="s">
        <x:v>205</x:v>
      </x:c>
      <x:c r="B13" s="573" t="s">
        <x:v>26</x:v>
      </x:c>
      <x:c r="C13" s="611" t="s">
        <x:v>1267</x:v>
      </x:c>
      <x:c r="D13" s="607">
        <x:v>45909</x:v>
      </x:c>
      <x:c r="E13" s="639">
        <x:v>122.4</x:v>
      </x:c>
      <x:c r="F13" s="466">
        <x:v>0</x:v>
      </x:c>
      <x:c r="G13" s="570">
        <x:v>140.76</x:v>
      </x:c>
      <x:c r="H13" s="466">
        <x:v>18.36</x:v>
      </x:c>
      <x:c r="I13" s="467">
        <x:v>45910</x:v>
      </x:c>
      <x:c r="J13" s="433">
        <x:f>+E13-F13</x:f>
      </x:c>
      <x:c r="K13" s="468">
        <x:f>+I13-D13</x:f>
      </x:c>
      <x:c r="L13" s="503">
        <x:v>0.04</x:v>
      </x:c>
      <x:c r="M13" s="504">
        <x:f>+J13*L13</x:f>
      </x:c>
      <x:c r="O13" s="432"/>
    </x:row>
    <x:row r="14" spans="1:16" ht="15" customHeight="1" x14ac:dyDescent="0.25">
      <x:c r="A14" s="606" t="s">
        <x:v>805</x:v>
      </x:c>
      <x:c r="B14" s="573" t="s">
        <x:v>806</x:v>
      </x:c>
      <x:c r="C14" s="611" t="s">
        <x:v>1268</x:v>
      </x:c>
      <x:c r="D14" s="607">
        <x:v>45922</x:v>
      </x:c>
      <x:c r="E14" s="639">
        <x:v>71.28</x:v>
      </x:c>
      <x:c r="F14" s="466">
        <x:v>10.692</x:v>
      </x:c>
      <x:c r="G14" s="570">
        <x:v>69.68</x:v>
      </x:c>
      <x:c r="H14" s="466">
        <x:v>9.09</x:v>
      </x:c>
      <x:c r="I14" s="467">
        <x:v>45923</x:v>
      </x:c>
      <x:c r="J14" s="433">
        <x:f>+E14-F14</x:f>
      </x:c>
      <x:c r="K14" s="468">
        <x:f>+I14-D14</x:f>
      </x:c>
      <x:c r="L14" s="503">
        <x:v>0.04</x:v>
      </x:c>
      <x:c r="M14" s="504">
        <x:f>+J14*L14</x:f>
      </x:c>
      <x:c r="O14" s="432"/>
    </x:row>
    <x:row r="15" spans="1:16" ht="15" customHeight="1" x14ac:dyDescent="0.25">
      <x:c r="A15" s="606" t="s">
        <x:v>225</x:v>
      </x:c>
      <x:c r="B15" s="573" t="s">
        <x:v>105</x:v>
      </x:c>
      <x:c r="C15" s="611" t="s">
        <x:v>1269</x:v>
      </x:c>
      <x:c r="D15" s="607">
        <x:v>45918</x:v>
      </x:c>
      <x:c r="E15" s="639">
        <x:v>806.64</x:v>
      </x:c>
      <x:c r="F15" s="466">
        <x:v>201.66</x:v>
      </x:c>
      <x:c r="G15" s="502">
        <x:v>657.91</x:v>
      </x:c>
      <x:c r="H15" s="466">
        <x:v>90.75</x:v>
      </x:c>
      <x:c r="I15" s="467">
        <x:v>45922</x:v>
      </x:c>
      <x:c r="J15" s="433">
        <x:f>+E15-F15</x:f>
      </x:c>
      <x:c r="K15" s="468">
        <x:f>+I15-D15</x:f>
      </x:c>
      <x:c r="L15" s="503">
        <x:v>0.04</x:v>
      </x:c>
      <x:c r="M15" s="504">
        <x:f>+J15*L15</x:f>
      </x:c>
      <x:c r="O15" s="432"/>
    </x:row>
    <x:row r="16" spans="1:16" ht="15" customHeight="1" x14ac:dyDescent="0.25">
      <x:c r="A16" s="606" t="s">
        <x:v>225</x:v>
      </x:c>
      <x:c r="B16" s="573" t="s">
        <x:v>105</x:v>
      </x:c>
      <x:c r="C16" s="611" t="s">
        <x:v>1270</x:v>
      </x:c>
      <x:c r="D16" s="607">
        <x:v>45897.6966666667</x:v>
      </x:c>
      <x:c r="E16" s="502">
        <x:v>829.68</x:v>
      </x:c>
      <x:c r="F16" s="502">
        <x:v>207.42</x:v>
      </x:c>
      <x:c r="G16" s="502">
        <x:v>676.71</x:v>
      </x:c>
      <x:c r="H16" s="569">
        <x:v>93.34</x:v>
      </x:c>
      <x:c r="I16" s="467">
        <x:v>45903</x:v>
      </x:c>
      <x:c r="J16" s="433">
        <x:f>+E16-F16</x:f>
      </x:c>
      <x:c r="K16" s="468">
        <x:f>+I16-D16</x:f>
      </x:c>
      <x:c r="L16" s="503">
        <x:v>0.04</x:v>
      </x:c>
      <x:c r="M16" s="504">
        <x:f>+J16*L16</x:f>
      </x:c>
      <x:c r="O16" s="432">
        <x:f>G16-J16</x:f>
      </x:c>
    </x:row>
    <x:row r="17" spans="1:16" ht="15" customHeight="1" x14ac:dyDescent="0.25">
      <x:c r="A17" s="606" t="s">
        <x:v>1271</x:v>
      </x:c>
      <x:c r="B17" s="573" t="s">
        <x:v>105</x:v>
      </x:c>
      <x:c r="C17" s="611" t="s">
        <x:v>1272</x:v>
      </x:c>
      <x:c r="D17" s="607">
        <x:v>45916</x:v>
      </x:c>
      <x:c r="E17" s="639">
        <x:v>1888.1</x:v>
      </x:c>
      <x:c r="F17" s="466">
        <x:v>245.453</x:v>
      </x:c>
      <x:c r="G17" s="502">
        <x:v>1613.9</x:v>
      </x:c>
      <x:c r="H17" s="466">
        <x:v>246.4</x:v>
      </x:c>
      <x:c r="I17" s="467">
        <x:v>45929</x:v>
      </x:c>
      <x:c r="J17" s="433">
        <x:f>+E17-F17</x:f>
      </x:c>
      <x:c r="K17" s="468">
        <x:f>+I17-D17</x:f>
      </x:c>
      <x:c r="L17" s="503">
        <x:v>0.035</x:v>
      </x:c>
      <x:c r="M17" s="504">
        <x:f>+J17*L17</x:f>
      </x:c>
      <x:c r="O17" s="432"/>
    </x:row>
    <x:row r="18" spans="1:16" ht="15" customHeight="1" x14ac:dyDescent="0.25">
      <x:c r="A18" s="606" t="s">
        <x:v>332</x:v>
      </x:c>
      <x:c r="B18" s="573" t="s">
        <x:v>333</x:v>
      </x:c>
      <x:c r="C18" s="611" t="s">
        <x:v>1273</x:v>
      </x:c>
      <x:c r="D18" s="607">
        <x:v>45908.3707291667</x:v>
      </x:c>
      <x:c r="E18" s="502">
        <x:v>152.76</x:v>
      </x:c>
      <x:c r="F18" s="502">
        <x:v>22.91</x:v>
      </x:c>
      <x:c r="G18" s="502">
        <x:v>149.33</x:v>
      </x:c>
      <x:c r="H18" s="569">
        <x:v>19.48</x:v>
      </x:c>
      <x:c r="I18" s="467">
        <x:v>45922</x:v>
      </x:c>
      <x:c r="J18" s="433">
        <x:f>+E18-F18</x:f>
      </x:c>
      <x:c r="K18" s="468">
        <x:f>+I18-D18</x:f>
      </x:c>
      <x:c r="L18" s="503">
        <x:v>0.035</x:v>
      </x:c>
      <x:c r="M18" s="504">
        <x:f>+J18*L18</x:f>
      </x:c>
      <x:c r="O18" s="432">
        <x:f>G18-J18</x:f>
      </x:c>
    </x:row>
    <x:row r="19" spans="1:16" ht="15" customHeight="1" x14ac:dyDescent="0.25">
      <x:c r="A19" s="606" t="s">
        <x:v>697</x:v>
      </x:c>
      <x:c r="B19" s="573" t="s">
        <x:v>53</x:v>
      </x:c>
      <x:c r="C19" s="611" t="s">
        <x:v>1274</x:v>
      </x:c>
      <x:c r="D19" s="607">
        <x:v>45902.4182060185</x:v>
      </x:c>
      <x:c r="E19" s="502">
        <x:v>64.8</x:v>
      </x:c>
      <x:c r="F19" s="502">
        <x:v>16.2</x:v>
      </x:c>
      <x:c r="G19" s="502">
        <x:v>52.85</x:v>
      </x:c>
      <x:c r="H19" s="569">
        <x:v>7.29</x:v>
      </x:c>
      <x:c r="I19" s="467">
        <x:v>45922</x:v>
      </x:c>
      <x:c r="J19" s="433">
        <x:f>+E19-F19</x:f>
      </x:c>
      <x:c r="K19" s="468">
        <x:f>+I19-D19</x:f>
      </x:c>
      <x:c r="L19" s="503">
        <x:v>0.035</x:v>
      </x:c>
      <x:c r="M19" s="504">
        <x:f>+J19*L19</x:f>
      </x:c>
      <x:c r="O19" s="432">
        <x:f>G19-J19</x:f>
      </x:c>
    </x:row>
    <x:row r="20" spans="1:16" ht="15" customHeight="1" x14ac:dyDescent="0.25">
      <x:c r="A20" s="606" t="s">
        <x:v>697</x:v>
      </x:c>
      <x:c r="B20" s="573" t="s">
        <x:v>53</x:v>
      </x:c>
      <x:c r="C20" s="611" t="s">
        <x:v>1275</x:v>
      </x:c>
      <x:c r="D20" s="607">
        <x:v>45902.4162152778</x:v>
      </x:c>
      <x:c r="E20" s="502">
        <x:v>818.4</x:v>
      </x:c>
      <x:c r="F20" s="502">
        <x:v>204.6</x:v>
      </x:c>
      <x:c r="G20" s="502">
        <x:v>667.51</x:v>
      </x:c>
      <x:c r="H20" s="569">
        <x:v>92.07</x:v>
      </x:c>
      <x:c r="I20" s="467">
        <x:v>45922</x:v>
      </x:c>
      <x:c r="J20" s="433">
        <x:f>+E20-F20</x:f>
      </x:c>
      <x:c r="K20" s="468">
        <x:f>+I20-D20</x:f>
      </x:c>
      <x:c r="L20" s="503">
        <x:v>0.035</x:v>
      </x:c>
      <x:c r="M20" s="504">
        <x:f>+J20*L20</x:f>
      </x:c>
      <x:c r="O20" s="432">
        <x:f>G20-J20</x:f>
      </x:c>
    </x:row>
    <x:row r="21" spans="1:16" ht="15" customHeight="1" x14ac:dyDescent="0.25">
      <x:c r="A21" s="606" t="s">
        <x:v>523</x:v>
      </x:c>
      <x:c r="B21" s="573" t="s">
        <x:v>26</x:v>
      </x:c>
      <x:c r="C21" s="611" t="s">
        <x:v>1276</x:v>
      </x:c>
      <x:c r="D21" s="607">
        <x:v>45902.3694791667</x:v>
      </x:c>
      <x:c r="E21" s="502">
        <x:v>1203.6</x:v>
      </x:c>
      <x:c r="F21" s="502">
        <x:v>240.72</x:v>
      </x:c>
      <x:c r="G21" s="502">
        <x:v>953.25</x:v>
      </x:c>
      <x:c r="H21" s="569">
        <x:v>144.43</x:v>
      </x:c>
      <x:c r="I21" s="467">
        <x:v>45929</x:v>
      </x:c>
      <x:c r="J21" s="433">
        <x:f>+E21-F21</x:f>
      </x:c>
      <x:c r="K21" s="468">
        <x:f>+I21-D21</x:f>
      </x:c>
      <x:c r="L21" s="503">
        <x:v>0.035</x:v>
      </x:c>
      <x:c r="M21" s="504">
        <x:f>+J21*L21</x:f>
      </x:c>
      <x:c r="O21" s="432">
        <x:f>G21-J21</x:f>
      </x:c>
    </x:row>
    <x:row r="22" spans="1:16" ht="15" customHeight="1" x14ac:dyDescent="0.25">
      <x:c r="A22" s="606" t="s">
        <x:v>25</x:v>
      </x:c>
      <x:c r="B22" s="573" t="s">
        <x:v>26</x:v>
      </x:c>
      <x:c r="C22" s="611" t="s">
        <x:v>1277</x:v>
      </x:c>
      <x:c r="D22" s="607">
        <x:v>45901.3909375</x:v>
      </x:c>
      <x:c r="E22" s="502">
        <x:v>102</x:v>
      </x:c>
      <x:c r="F22" s="502">
        <x:v>20.4</x:v>
      </x:c>
      <x:c r="G22" s="502">
        <x:v>88.74</x:v>
      </x:c>
      <x:c r="H22" s="569">
        <x:v>12.24</x:v>
      </x:c>
      <x:c r="I22" s="467">
        <x:v>45930</x:v>
      </x:c>
      <x:c r="J22" s="433">
        <x:f>+E22-F22</x:f>
      </x:c>
      <x:c r="K22" s="468">
        <x:f>+I22-D22</x:f>
      </x:c>
      <x:c r="L22" s="503">
        <x:v>0.035</x:v>
      </x:c>
      <x:c r="M22" s="504">
        <x:f>+J22*L22</x:f>
      </x:c>
      <x:c r="O22" s="432">
        <x:f>G22-J22</x:f>
      </x:c>
    </x:row>
    <x:row r="23" spans="1:16" ht="15" customHeight="1" x14ac:dyDescent="0.25">
      <x:c r="A23" s="606" t="s">
        <x:v>25</x:v>
      </x:c>
      <x:c r="B23" s="573" t="s">
        <x:v>26</x:v>
      </x:c>
      <x:c r="C23" s="611" t="s">
        <x:v>1278</x:v>
      </x:c>
      <x:c r="D23" s="607">
        <x:v>45901.3702083333</x:v>
      </x:c>
      <x:c r="E23" s="502">
        <x:v>469.2</x:v>
      </x:c>
      <x:c r="F23" s="502">
        <x:v>93.84</x:v>
      </x:c>
      <x:c r="G23" s="502">
        <x:v>408.2</x:v>
      </x:c>
      <x:c r="H23" s="569">
        <x:v>56.3</x:v>
      </x:c>
      <x:c r="I23" s="467">
        <x:v>45930</x:v>
      </x:c>
      <x:c r="J23" s="433">
        <x:f>+E23-F23</x:f>
      </x:c>
      <x:c r="K23" s="468">
        <x:f>+I23-D23</x:f>
      </x:c>
      <x:c r="L23" s="503">
        <x:v>0.035</x:v>
      </x:c>
      <x:c r="M23" s="504">
        <x:f>+J23*L23</x:f>
      </x:c>
      <x:c r="O23" s="432">
        <x:f>G23-J23</x:f>
      </x:c>
    </x:row>
    <x:row r="24" spans="1:16" ht="15" customHeight="1" x14ac:dyDescent="0.25">
      <x:c r="A24" s="606" t="s">
        <x:v>822</x:v>
      </x:c>
      <x:c r="B24" s="573" t="s">
        <x:v>26</x:v>
      </x:c>
      <x:c r="C24" s="611" t="s">
        <x:v>1279</x:v>
      </x:c>
      <x:c r="D24" s="607">
        <x:v>45888.5696296296</x:v>
      </x:c>
      <x:c r="E24" s="491">
        <x:v>93.6</x:v>
      </x:c>
      <x:c r="F24" s="491">
        <x:v>14.04</x:v>
      </x:c>
      <x:c r="G24" s="491">
        <x:v>86.52</x:v>
      </x:c>
      <x:c r="H24" s="569">
        <x:v>11.93</x:v>
      </x:c>
      <x:c r="I24" s="492">
        <x:v>45919</x:v>
      </x:c>
      <x:c r="J24" s="433">
        <x:f>+E24-F24</x:f>
      </x:c>
      <x:c r="K24" s="468">
        <x:f>+I24-D24</x:f>
      </x:c>
      <x:c r="L24" s="503">
        <x:v>0.035</x:v>
      </x:c>
      <x:c r="M24" s="504">
        <x:f>+J24*L24</x:f>
      </x:c>
      <x:c r="O24" s="432">
        <x:f>G24-J24</x:f>
      </x:c>
    </x:row>
    <x:row r="25" spans="1:16" ht="15" customHeight="1" x14ac:dyDescent="0.25">
      <x:c r="A25" s="606" t="s">
        <x:v>118</x:v>
      </x:c>
      <x:c r="B25" s="462" t="s">
        <x:v>26</x:v>
      </x:c>
      <x:c r="C25" s="611" t="s">
        <x:v>1280</x:v>
      </x:c>
      <x:c r="D25" s="607">
        <x:v>45894.5058449074</x:v>
      </x:c>
      <x:c r="E25" s="491">
        <x:v>2724.55</x:v>
      </x:c>
      <x:c r="F25" s="491">
        <x:v>681.14</x:v>
      </x:c>
      <x:c r="G25" s="491">
        <x:v>2222.21</x:v>
      </x:c>
      <x:c r="H25" s="569">
        <x:v>306.51</x:v>
      </x:c>
      <x:c r="I25" s="492">
        <x:v>45929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>
        <x:f>G25-J25</x:f>
      </x:c>
    </x:row>
    <x:row r="26" spans="1:16" ht="15" customHeight="1" x14ac:dyDescent="0.25">
      <x:c r="A26" s="606" t="s">
        <x:v>296</x:v>
      </x:c>
      <x:c r="B26" s="462" t="s">
        <x:v>26</x:v>
      </x:c>
      <x:c r="C26" s="611" t="s">
        <x:v>1281</x:v>
      </x:c>
      <x:c r="D26" s="607">
        <x:v>45870.3697106481</x:v>
      </x:c>
      <x:c r="E26" s="491">
        <x:v>93.6</x:v>
      </x:c>
      <x:c r="F26" s="491">
        <x:v>14.04</x:v>
      </x:c>
      <x:c r="G26" s="491">
        <x:v>91.49</x:v>
      </x:c>
      <x:c r="H26" s="569">
        <x:v>11.93</x:v>
      </x:c>
      <x:c r="I26" s="492">
        <x:v>45912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>
        <x:f>G26-J26</x:f>
      </x:c>
    </x:row>
    <x:row r="27" spans="1:16" ht="15" customHeight="1" x14ac:dyDescent="0.25">
      <x:c r="A27" s="606" t="s">
        <x:v>67</x:v>
      </x:c>
      <x:c r="B27" s="462" t="s">
        <x:v>26</x:v>
      </x:c>
      <x:c r="C27" s="611" t="s">
        <x:v>1282</x:v>
      </x:c>
      <x:c r="D27" s="607">
        <x:v>45848</x:v>
      </x:c>
      <x:c r="E27" s="465">
        <x:v>479.4</x:v>
      </x:c>
      <x:c r="F27" s="465">
        <x:v>95.88</x:v>
      </x:c>
      <x:c r="G27" s="621">
        <x:v>441.05</x:v>
      </x:c>
      <x:c r="H27" s="569">
        <x:v>57.53</x:v>
      </x:c>
      <x:c r="I27" s="492">
        <x:v>45912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>
        <x:f>G27-J27</x:f>
      </x:c>
    </x:row>
    <x:row r="28" spans="1:16" ht="15" customHeight="1" x14ac:dyDescent="0.25">
      <x:c r="A28" s="606" t="s">
        <x:v>82</x:v>
      </x:c>
      <x:c r="B28" s="462" t="s">
        <x:v>80</x:v>
      </x:c>
      <x:c r="C28" s="611" t="s">
        <x:v>1283</x:v>
      </x:c>
      <x:c r="D28" s="607">
        <x:v>45859</x:v>
      </x:c>
      <x:c r="E28" s="465">
        <x:v>118.8</x:v>
      </x:c>
      <x:c r="F28" s="465">
        <x:v>23.76</x:v>
      </x:c>
      <x:c r="G28" s="621">
        <x:v>103.36</x:v>
      </x:c>
      <x:c r="H28" s="569">
        <x:v>14.26</x:v>
      </x:c>
      <x:c r="I28" s="492">
        <x:v>45930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>
        <x:f>G28-J28</x:f>
      </x:c>
    </x:row>
    <x:row r="29" spans="1:16" ht="15" customHeight="1" x14ac:dyDescent="0.25">
      <x:c r="A29" s="606" t="s">
        <x:v>460</x:v>
      </x:c>
      <x:c r="B29" s="462" t="s">
        <x:v>333</x:v>
      </x:c>
      <x:c r="C29" s="611" t="s">
        <x:v>1284</x:v>
      </x:c>
      <x:c r="D29" s="607">
        <x:v>45831.4700810185</x:v>
      </x:c>
      <x:c r="E29" s="465">
        <x:v>52.8</x:v>
      </x:c>
      <x:c r="F29" s="465">
        <x:v>7.92</x:v>
      </x:c>
      <x:c r="G29" s="621">
        <x:v>51.61</x:v>
      </x:c>
      <x:c r="H29" s="569">
        <x:v>6.73</x:v>
      </x:c>
      <x:c r="I29" s="492">
        <x:v>45908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>
        <x:f>G29-J29</x:f>
      </x:c>
    </x:row>
    <x:row r="30" spans="1:16" ht="15" customHeight="1" x14ac:dyDescent="0.25">
      <x:c r="A30" s="606" t="s">
        <x:v>364</x:v>
      </x:c>
      <x:c r="B30" s="462" t="s">
        <x:v>336</x:v>
      </x:c>
      <x:c r="C30" s="611" t="s">
        <x:v>1285</x:v>
      </x:c>
      <x:c r="D30" s="607">
        <x:v>45831.3481481482</x:v>
      </x:c>
      <x:c r="E30" s="465">
        <x:v>129.96</x:v>
      </x:c>
      <x:c r="F30" s="465">
        <x:v>19.49</x:v>
      </x:c>
      <x:c r="G30" s="621">
        <x:v>127.04</x:v>
      </x:c>
      <x:c r="H30" s="569">
        <x:v>16.57</x:v>
      </x:c>
      <x:c r="I30" s="492">
        <x:v>45909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>
        <x:f>G30-J30</x:f>
      </x:c>
    </x:row>
    <x:row r="31" spans="1:16" ht="15" customHeight="1" x14ac:dyDescent="0.25">
      <x:c r="A31" s="606" t="s">
        <x:v>79</x:v>
      </x:c>
      <x:c r="B31" s="462" t="s">
        <x:v>80</x:v>
      </x:c>
      <x:c r="C31" s="611" t="s">
        <x:v>1286</x:v>
      </x:c>
      <x:c r="D31" s="607">
        <x:v>45825.6353125</x:v>
      </x:c>
      <x:c r="E31" s="465">
        <x:v>485.76</x:v>
      </x:c>
      <x:c r="F31" s="465">
        <x:v>97.15</x:v>
      </x:c>
      <x:c r="G31" s="621">
        <x:v>422.61</x:v>
      </x:c>
      <x:c r="H31" s="569">
        <x:v>58.29</x:v>
      </x:c>
      <x:c r="I31" s="492">
        <x:v>45908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>
        <x:f>G31-J31</x:f>
      </x:c>
    </x:row>
    <x:row r="32" spans="1:16" ht="15" customHeight="1" x14ac:dyDescent="0.25">
      <x:c r="A32" s="606" t="s">
        <x:v>485</x:v>
      </x:c>
      <x:c r="B32" s="462" t="s">
        <x:v>105</x:v>
      </x:c>
      <x:c r="C32" s="611" t="s">
        <x:v>1287</x:v>
      </x:c>
      <x:c r="D32" s="607">
        <x:v>45811.3589930556</x:v>
      </x:c>
      <x:c r="E32" s="465">
        <x:v>247.68</x:v>
      </x:c>
      <x:c r="F32" s="465">
        <x:v>37.15</x:v>
      </x:c>
      <x:c r="G32" s="621">
        <x:v>242.11</x:v>
      </x:c>
      <x:c r="H32" s="569">
        <x:v>31.58</x:v>
      </x:c>
      <x:c r="I32" s="492">
        <x:v>45901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  <x:c r="O32" s="432">
        <x:f>G32-J32</x:f>
      </x:c>
    </x:row>
    <x:row r="33" spans="1:16" ht="15" customHeight="1" x14ac:dyDescent="0.25">
      <x:c r="A33" s="606" t="s">
        <x:v>1261</x:v>
      </x:c>
      <x:c r="B33" s="462" t="s">
        <x:v>80</x:v>
      </x:c>
      <x:c r="C33" s="611" t="s">
        <x:v>1288</x:v>
      </x:c>
      <x:c r="D33" s="607">
        <x:v>45813.5372106481</x:v>
      </x:c>
      <x:c r="E33" s="465">
        <x:v>1072.8</x:v>
      </x:c>
      <x:c r="F33" s="465">
        <x:v>268.2</x:v>
      </x:c>
      <x:c r="G33" s="621">
        <x:v>925.29</x:v>
      </x:c>
      <x:c r="H33" s="569">
        <x:v>120.69</x:v>
      </x:c>
      <x:c r="I33" s="492">
        <x:v>45904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>
        <x:f>G33-J33</x:f>
      </x:c>
    </x:row>
    <x:row r="34" spans="1:16" ht="15" customHeight="1" x14ac:dyDescent="0.25">
      <x:c r="A34" s="606" t="s">
        <x:v>25</x:v>
      </x:c>
      <x:c r="B34" s="462" t="s">
        <x:v>26</x:v>
      </x:c>
      <x:c r="C34" s="611" t="s">
        <x:v>1289</x:v>
      </x:c>
      <x:c r="D34" s="607">
        <x:v>45827.3513425926</x:v>
      </x:c>
      <x:c r="E34" s="465">
        <x:v>510</x:v>
      </x:c>
      <x:c r="F34" s="465">
        <x:v>102</x:v>
      </x:c>
      <x:c r="G34" s="621">
        <x:v>443.7</x:v>
      </x:c>
      <x:c r="H34" s="569">
        <x:v>61.2</x:v>
      </x:c>
      <x:c r="I34" s="492">
        <x:v>45923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  <x:c r="O34" s="432">
        <x:f>G34-J34</x:f>
      </x:c>
    </x:row>
    <x:row r="35" spans="1:16" ht="15" customHeight="1" x14ac:dyDescent="0.25">
      <x:c r="A35" s="606" t="s">
        <x:v>491</x:v>
      </x:c>
      <x:c r="B35" s="462" t="s">
        <x:v>492</x:v>
      </x:c>
      <x:c r="C35" s="611" t="s">
        <x:v>1290</x:v>
      </x:c>
      <x:c r="D35" s="607">
        <x:v>45810.5934837963</x:v>
      </x:c>
      <x:c r="E35" s="465">
        <x:v>4359.67</x:v>
      </x:c>
      <x:c r="F35" s="465">
        <x:v>1089.92</x:v>
      </x:c>
      <x:c r="G35" s="621">
        <x:v>580.36</x:v>
      </x:c>
      <x:c r="H35" s="465">
        <x:v>490.46</x:v>
      </x:c>
      <x:c r="I35" s="492">
        <x:v>45915</x:v>
      </x:c>
      <x:c r="J35" s="433">
        <x:f>580.36/1.15</x:f>
      </x:c>
      <x:c r="K35" s="468">
        <x:f>+I35-D35</x:f>
      </x:c>
      <x:c r="L35" s="503">
        <x:v>0.03</x:v>
      </x:c>
      <x:c r="M35" s="504">
        <x:f>+J35*L35</x:f>
      </x:c>
      <x:c r="O35" s="432">
        <x:f>G35-J35</x:f>
      </x:c>
    </x:row>
    <x:row r="36" spans="1:16" ht="15" customHeight="1" x14ac:dyDescent="0.25">
      <x:c r="A36" s="606" t="s">
        <x:v>25</x:v>
      </x:c>
      <x:c r="B36" s="462" t="s">
        <x:v>26</x:v>
      </x:c>
      <x:c r="C36" s="611" t="s">
        <x:v>1291</x:v>
      </x:c>
      <x:c r="D36" s="607">
        <x:v>45818.3959375</x:v>
      </x:c>
      <x:c r="E36" s="465">
        <x:v>204</x:v>
      </x:c>
      <x:c r="F36" s="465">
        <x:v>40.8</x:v>
      </x:c>
      <x:c r="G36" s="466">
        <x:v>177.48</x:v>
      </x:c>
      <x:c r="H36" s="465">
        <x:v>24.48</x:v>
      </x:c>
      <x:c r="I36" s="492">
        <x:v>45923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  <x:c r="O36" s="432">
        <x:f>G36-J36</x:f>
      </x:c>
    </x:row>
    <x:row r="37" spans="1:16" ht="15" customHeight="1" x14ac:dyDescent="0.25">
      <x:c r="A37" s="606" t="s">
        <x:v>491</x:v>
      </x:c>
      <x:c r="B37" s="462" t="s">
        <x:v>492</x:v>
      </x:c>
      <x:c r="C37" s="611" t="s">
        <x:v>1290</x:v>
      </x:c>
      <x:c r="D37" s="607">
        <x:v>45810.5934837963</x:v>
      </x:c>
      <x:c r="E37" s="465">
        <x:v>4359.67</x:v>
      </x:c>
      <x:c r="F37" s="465">
        <x:v>1089.92</x:v>
      </x:c>
      <x:c r="G37" s="466">
        <x:v>500</x:v>
      </x:c>
      <x:c r="H37" s="465">
        <x:v>490.46</x:v>
      </x:c>
      <x:c r="I37" s="492">
        <x:v>45926</x:v>
      </x:c>
      <x:c r="J37" s="433">
        <x:f>500/1.15</x:f>
      </x:c>
      <x:c r="K37" s="468">
        <x:f>+I37-D37</x:f>
      </x:c>
      <x:c r="L37" s="503">
        <x:v>0.03</x:v>
      </x:c>
      <x:c r="M37" s="504">
        <x:f>+J37*L37</x:f>
      </x:c>
      <x:c r="O37" s="432">
        <x:f>G37-J37</x:f>
      </x:c>
    </x:row>
    <x:row r="38" spans="1:16" ht="15" customHeight="1" x14ac:dyDescent="0.25">
      <x:c r="A38" s="606" t="s">
        <x:v>584</x:v>
      </x:c>
      <x:c r="B38" s="462" t="s">
        <x:v>734</x:v>
      </x:c>
      <x:c r="C38" s="611" t="s">
        <x:v>1292</x:v>
      </x:c>
      <x:c r="D38" s="607">
        <x:v>45758</x:v>
      </x:c>
      <x:c r="E38" s="465">
        <x:v>238.2</x:v>
      </x:c>
      <x:c r="F38" s="465">
        <x:v>35.73</x:v>
      </x:c>
      <x:c r="G38" s="621">
        <x:v>220.19</x:v>
      </x:c>
      <x:c r="H38" s="465">
        <x:v>30.37</x:v>
      </x:c>
      <x:c r="I38" s="492">
        <x:v>45901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  <x:c r="O38" s="432">
        <x:f>G38-J38</x:f>
      </x:c>
    </x:row>
    <x:row r="39" spans="1:16" ht="15" customHeight="1" x14ac:dyDescent="0.25">
      <x:c r="A39" s="606" t="s">
        <x:v>400</x:v>
      </x:c>
      <x:c r="B39" s="462" t="s">
        <x:v>401</x:v>
      </x:c>
      <x:c r="C39" s="611" t="s">
        <x:v>1097</x:v>
      </x:c>
      <x:c r="D39" s="607">
        <x:v>45757</x:v>
      </x:c>
      <x:c r="E39" s="465">
        <x:v>369</x:v>
      </x:c>
      <x:c r="F39" s="465">
        <x:v>55.35</x:v>
      </x:c>
      <x:c r="G39" s="621">
        <x:v>50</x:v>
      </x:c>
      <x:c r="H39" s="465">
        <x:v>47.05</x:v>
      </x:c>
      <x:c r="I39" s="492">
        <x:v>45905</x:v>
      </x:c>
      <x:c r="J39" s="433">
        <x:f>50/1.15</x:f>
      </x:c>
      <x:c r="K39" s="468">
        <x:f>+I39-D39</x:f>
      </x:c>
      <x:c r="L39" s="503">
        <x:v>0.03</x:v>
      </x:c>
      <x:c r="M39" s="504">
        <x:f>+J39*L39</x:f>
      </x:c>
      <x:c r="O39" s="432">
        <x:f>G39-J39</x:f>
      </x:c>
    </x:row>
    <x:row r="40" spans="1:16" ht="15" customHeight="1" x14ac:dyDescent="0.25">
      <x:c r="A40" s="606" t="s">
        <x:v>25</x:v>
      </x:c>
      <x:c r="B40" s="462" t="s">
        <x:v>26</x:v>
      </x:c>
      <x:c r="C40" s="611" t="s">
        <x:v>1293</x:v>
      </x:c>
      <x:c r="D40" s="607">
        <x:v>45758</x:v>
      </x:c>
      <x:c r="E40" s="465">
        <x:v>306</x:v>
      </x:c>
      <x:c r="F40" s="465">
        <x:v>61.2</x:v>
      </x:c>
      <x:c r="G40" s="466">
        <x:v>266.22</x:v>
      </x:c>
      <x:c r="H40" s="621">
        <x:v>36.72</x:v>
      </x:c>
      <x:c r="I40" s="492">
        <x:v>45923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>
        <x:f>G40-J40</x:f>
      </x:c>
    </x:row>
    <x:row r="41" spans="1:16" ht="15" customHeight="1" x14ac:dyDescent="0.25">
      <x:c r="A41" s="606" t="s">
        <x:v>1261</x:v>
      </x:c>
      <x:c r="B41" s="462" t="s">
        <x:v>80</x:v>
      </x:c>
      <x:c r="C41" s="611" t="s">
        <x:v>1294</x:v>
      </x:c>
      <x:c r="D41" s="607">
        <x:v>45754</x:v>
      </x:c>
      <x:c r="E41" s="465">
        <x:v>3472.8</x:v>
      </x:c>
      <x:c r="F41" s="465">
        <x:v>868.2</x:v>
      </x:c>
      <x:c r="G41" s="466">
        <x:v>1495.29</x:v>
      </x:c>
      <x:c r="H41" s="465">
        <x:v>390.69</x:v>
      </x:c>
      <x:c r="I41" s="492">
        <x:v>45930</x:v>
      </x:c>
      <x:c r="J41" s="433">
        <x:f>1495.29/1.15</x:f>
      </x:c>
      <x:c r="K41" s="468">
        <x:f>+I41-D41</x:f>
      </x:c>
      <x:c r="L41" s="503">
        <x:v>0.03</x:v>
      </x:c>
      <x:c r="M41" s="504">
        <x:f>+J41*L41</x:f>
      </x:c>
      <x:c r="O41" s="432">
        <x:f>G41-J41</x:f>
      </x:c>
    </x:row>
    <x:row r="42" spans="1:16" ht="15" customHeight="1" x14ac:dyDescent="0.25">
      <x:c r="A42" s="606" t="s">
        <x:v>822</x:v>
      </x:c>
      <x:c r="B42" s="462" t="s">
        <x:v>26</x:v>
      </x:c>
      <x:c r="C42" s="611" t="s">
        <x:v>1295</x:v>
      </x:c>
      <x:c r="D42" s="607">
        <x:v>45721</x:v>
      </x:c>
      <x:c r="E42" s="465">
        <x:v>90.96</x:v>
      </x:c>
      <x:c r="F42" s="465">
        <x:v>13.64</x:v>
      </x:c>
      <x:c r="G42" s="621">
        <x:v>84.09</x:v>
      </x:c>
      <x:c r="H42" s="465">
        <x:v>11.6</x:v>
      </x:c>
      <x:c r="I42" s="492">
        <x:v>45916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>
        <x:f>G42-J42</x:f>
      </x:c>
    </x:row>
    <x:row r="43" spans="1:16" ht="15" customHeight="1" x14ac:dyDescent="0.25">
      <x:c r="A43" s="606"/>
      <x:c r="B43" s="573"/>
      <x:c r="C43" s="611"/>
      <x:c r="D43" s="607"/>
      <x:c r="E43" s="502"/>
      <x:c r="F43" s="502"/>
      <x:c r="G43" s="502"/>
      <x:c r="H43" s="569"/>
      <x:c r="I43" s="467"/>
      <x:c r="J43" s="433"/>
      <x:c r="K43" s="468"/>
      <x:c r="L43" s="503"/>
      <x:c r="M43" s="504"/>
      <x:c r="O43" s="432"/>
    </x:row>
    <x:row r="44" spans="1:16" ht="15" customHeight="1" x14ac:dyDescent="0.25">
      <x:c r="A44" s="606"/>
      <x:c r="B44" s="573"/>
      <x:c r="C44" s="606"/>
      <x:c r="D44" s="629"/>
      <x:c r="E44" s="569"/>
      <x:c r="F44" s="569"/>
      <x:c r="G44" s="466"/>
      <x:c r="H44" s="569"/>
      <x:c r="I44" s="467"/>
      <x:c r="J44" s="433"/>
      <x:c r="K44" s="468"/>
      <x:c r="L44" s="503"/>
      <x:c r="M44" s="504"/>
      <x:c r="O44" s="432"/>
    </x:row>
    <x:row r="45" spans="1:16" ht="15" customHeight="1" x14ac:dyDescent="0.3">
      <x:c r="G45" s="516">
        <x:f>SUM(G8:G44)</x:f>
      </x:c>
      <x:c r="J45" s="516">
        <x:f>SUM(J8:J44)</x:f>
      </x:c>
      <x:c r="M45" s="516">
        <x:f>SUM(M8:M44)</x:f>
      </x:c>
    </x:row>
    <x:row r="46" spans="1:16" ht="15" customHeight="1" x14ac:dyDescent="0.25">
      <x:c r="G46" s="435"/>
      <x:c r="H46" s="435"/>
    </x:row>
    <x:row r="47" spans="1:16" ht="15" customHeight="1" x14ac:dyDescent="0.25">
      <x:c r="A47" s="517" t="s">
        <x:v>30</x:v>
      </x:c>
      <x:c r="B47" s="518" t="s">
        <x:v>31</x:v>
      </x:c>
      <x:c r="C47" s="518" t="s">
        <x:v>32</x:v>
      </x:c>
      <x:c r="I47" s="608"/>
      <x:c r="J47" s="435"/>
    </x:row>
    <x:row r="48" spans="1:16" ht="15" customHeight="1" s="434" customFormat="1" x14ac:dyDescent="0.25">
      <x:c r="A48" s="487" t="s">
        <x:v>64</x:v>
      </x:c>
      <x:c r="B48" s="487" t="s">
        <x:v>1296</x:v>
      </x:c>
      <x:c r="C48" s="462" t="s">
        <x:v>1297</x:v>
      </x:c>
      <x:c r="D48" s="492">
        <x:v>45818.3959375</x:v>
      </x:c>
      <x:c r="E48" s="490">
        <x:f>155.86+27.5</x:f>
      </x:c>
      <x:c r="F48" s="490">
        <x:v>27.5</x:v>
      </x:c>
      <x:c r="G48" s="491">
        <x:f>179.24</x:f>
      </x:c>
      <x:c r="H48" s="490">
        <x:v>23.38</x:v>
      </x:c>
      <x:c r="I48" s="492">
        <x:v>45952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  <x:c r="N48" s="470"/>
      <x:c r="O48" s="432">
        <x:f>G48-J48</x:f>
      </x:c>
    </x:row>
    <x:row r="49" spans="1:16" ht="15" customHeight="1" s="434" customFormat="1" x14ac:dyDescent="0.25">
      <x:c r="A49" s="487" t="s">
        <x:v>36</x:v>
      </x:c>
      <x:c r="B49" s="487" t="s">
        <x:v>1298</x:v>
      </x:c>
      <x:c r="C49" s="462" t="s">
        <x:v>1299</x:v>
      </x:c>
      <x:c r="D49" s="492">
        <x:v>45889.4437384259</x:v>
      </x:c>
      <x:c r="E49" s="491">
        <x:v>194.64</x:v>
      </x:c>
      <x:c r="F49" s="491">
        <x:v>48.66</x:v>
      </x:c>
      <x:c r="G49" s="491">
        <x:v>159.85</x:v>
      </x:c>
      <x:c r="H49" s="610">
        <x:v>21.9</x:v>
      </x:c>
      <x:c r="I49" s="492">
        <x:v>45940</x:v>
      </x:c>
      <x:c r="J49" s="433">
        <x:f>+E49-F49</x:f>
      </x:c>
      <x:c r="K49" s="468">
        <x:f>+I49-D49</x:f>
      </x:c>
      <x:c r="L49" s="469">
        <x:v>0.03</x:v>
      </x:c>
      <x:c r="M49" s="433">
        <x:f>+J49*L49</x:f>
      </x:c>
      <x:c r="N49" s="470"/>
      <x:c r="O49" s="432">
        <x:f>G49-J49</x:f>
      </x:c>
    </x:row>
    <x:row r="50" spans="1:16" ht="15" customHeight="1" s="434" customFormat="1" x14ac:dyDescent="0.25">
      <x:c r="A50" s="487" t="s">
        <x:v>164</x:v>
      </x:c>
      <x:c r="B50" s="487" t="s">
        <x:v>1300</x:v>
      </x:c>
      <x:c r="C50" s="462" t="s">
        <x:v>1301</x:v>
      </x:c>
      <x:c r="D50" s="492">
        <x:v>45890.4711921296</x:v>
      </x:c>
      <x:c r="E50" s="491">
        <x:v>176.76</x:v>
      </x:c>
      <x:c r="F50" s="491">
        <x:v>26.51</x:v>
      </x:c>
      <x:c r="G50" s="491">
        <x:v>172.79</x:v>
      </x:c>
      <x:c r="H50" s="610">
        <x:v>22.54</x:v>
      </x:c>
      <x:c r="I50" s="492">
        <x:v>45933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  <x:c r="O50" s="432">
        <x:f>G50-J50</x:f>
      </x:c>
    </x:row>
    <x:row r="51" spans="1:16" ht="15" customHeight="1" s="434" customFormat="1" x14ac:dyDescent="0.25">
      <x:c r="A51" s="487" t="s">
        <x:v>136</x:v>
      </x:c>
      <x:c r="B51" s="487" t="s">
        <x:v>1302</x:v>
      </x:c>
      <x:c r="C51" s="462" t="s">
        <x:v>1303</x:v>
      </x:c>
      <x:c r="D51" s="492">
        <x:v>45903.4422569444</x:v>
      </x:c>
      <x:c r="E51" s="491">
        <x:f>872.1+290.7</x:f>
      </x:c>
      <x:c r="F51" s="491">
        <x:v>290.7</x:v>
      </x:c>
      <x:c r="G51" s="491">
        <x:v>948.41</x:v>
      </x:c>
      <x:c r="H51" s="610">
        <x:v>130.82</x:v>
      </x:c>
      <x:c r="I51" s="492">
        <x:v>45933</x:v>
      </x:c>
      <x:c r="J51" s="433">
        <x:f>+E51-F51</x:f>
      </x:c>
      <x:c r="K51" s="468">
        <x:f>+I51-D51</x:f>
      </x:c>
      <x:c r="L51" s="469">
        <x:v>0.03</x:v>
      </x:c>
      <x:c r="M51" s="433">
        <x:f>+J51*L51</x:f>
      </x:c>
      <x:c r="N51" s="470"/>
      <x:c r="O51" s="432">
        <x:f>G51-J51</x:f>
      </x:c>
    </x:row>
    <x:row r="52" spans="1:16" ht="15" customHeight="1" s="434" customFormat="1" x14ac:dyDescent="0.25">
      <x:c r="A52" s="487" t="s">
        <x:v>36</x:v>
      </x:c>
      <x:c r="B52" s="487" t="s">
        <x:v>1304</x:v>
      </x:c>
      <x:c r="C52" s="462" t="s">
        <x:v>1305</x:v>
      </x:c>
      <x:c r="D52" s="492">
        <x:v>45905.4197916667</x:v>
      </x:c>
      <x:c r="E52" s="491">
        <x:f>258.66+86.22</x:f>
      </x:c>
      <x:c r="F52" s="491">
        <x:v>86.22</x:v>
      </x:c>
      <x:c r="G52" s="491">
        <x:v>283.23</x:v>
      </x:c>
      <x:c r="H52" s="610">
        <x:v>38.8</x:v>
      </x:c>
      <x:c r="I52" s="492">
        <x:v>45966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633"/>
      <x:c r="O52" s="432">
        <x:f>G52-J52</x:f>
      </x:c>
    </x:row>
    <x:row r="53" spans="1:16" ht="15" customHeight="1" s="434" customFormat="1" x14ac:dyDescent="0.25">
      <x:c r="A53" s="487" t="s">
        <x:v>136</x:v>
      </x:c>
      <x:c r="B53" s="487" t="s">
        <x:v>1306</x:v>
      </x:c>
      <x:c r="C53" s="462" t="s">
        <x:v>1307</x:v>
      </x:c>
      <x:c r="D53" s="492">
        <x:v>45915</x:v>
      </x:c>
      <x:c r="E53" s="613">
        <x:v>501.6</x:v>
      </x:c>
      <x:c r="F53" s="491">
        <x:v>125.4</x:v>
      </x:c>
      <x:c r="G53" s="491">
        <x:v>409.12</x:v>
      </x:c>
      <x:c r="H53" s="491">
        <x:v>56.43</x:v>
      </x:c>
      <x:c r="I53" s="467">
        <x:v>45945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633"/>
      <x:c r="O53" s="432"/>
    </x:row>
    <x:row r="54" spans="1:16" ht="15" customHeight="1" s="434" customFormat="1" x14ac:dyDescent="0.25">
      <x:c r="A54" s="487"/>
      <x:c r="B54" s="462"/>
      <x:c r="C54" s="462"/>
      <x:c r="D54" s="492"/>
      <x:c r="E54" s="491"/>
      <x:c r="F54" s="491"/>
      <x:c r="G54" s="491"/>
      <x:c r="H54" s="610"/>
      <x:c r="I54" s="492"/>
      <x:c r="J54" s="433"/>
      <x:c r="K54" s="468"/>
      <x:c r="L54" s="469"/>
      <x:c r="M54" s="433"/>
      <x:c r="N54" s="470"/>
      <x:c r="O54" s="432"/>
    </x:row>
    <x:row r="55" spans="1:16" ht="15.6" customHeight="1" s="434" customFormat="1" x14ac:dyDescent="0.3">
      <x:c r="A55" s="487"/>
      <x:c r="B55" s="462"/>
      <x:c r="C55" s="487"/>
      <x:c r="D55" s="492"/>
      <x:c r="E55" s="490"/>
      <x:c r="F55" s="490"/>
      <x:c r="G55" s="491"/>
      <x:c r="H55" s="490"/>
      <x:c r="I55" s="492"/>
      <x:c r="J55" s="433"/>
      <x:c r="K55" s="468"/>
      <x:c r="L55" s="469"/>
      <x:c r="M55" s="433"/>
      <x:c r="N55" s="470"/>
      <x:c r="O55" s="432"/>
    </x:row>
    <x:row r="56" spans="1:16" ht="15" customHeight="1" x14ac:dyDescent="0.35">
      <x:c r="A56" s="493" t="s">
        <x:v>43</x:v>
      </x:c>
      <x:c r="B56" s="493"/>
      <x:c r="C56" s="493"/>
      <x:c r="D56" s="493"/>
      <x:c r="E56" s="493"/>
      <x:c r="F56" s="493"/>
      <x:c r="G56" s="516">
        <x:f>SUM(G45:G55)</x:f>
      </x:c>
      <x:c r="J56" s="516">
        <x:f>SUM(J45:J55)</x:f>
      </x:c>
      <x:c r="L56" s="495"/>
      <x:c r="M56" s="564">
        <x:f>SUM(M45:M55)</x:f>
      </x:c>
    </x:row>
    <x:row r="57" spans="1:16" ht="15" customHeight="1" x14ac:dyDescent="0.3">
      <x:c r="A57" s="520"/>
      <x:c r="G57" s="435"/>
    </x:row>
    <x:row r="58" spans="1:16" ht="15" customHeight="1" x14ac:dyDescent="0.3">
      <x:c r="A58" s="520"/>
      <x:c r="G58" s="435"/>
    </x:row>
    <x:row r="59" spans="1:16" ht="15" customHeight="1" x14ac:dyDescent="0.3">
      <x:c r="A59" s="520"/>
      <x:c r="G59" s="435"/>
    </x:row>
    <x:row r="60" spans="1:16" ht="15" customHeight="1" x14ac:dyDescent="0.3">
      <x:c r="A60" s="499"/>
      <x:c r="G60" s="435"/>
      <x:c r="J60" s="435"/>
    </x:row>
    <x:row r="61" spans="1:16" ht="15" customHeight="1" x14ac:dyDescent="0.3">
      <x:c r="A61" s="499"/>
      <x:c r="G61" s="435"/>
      <x:c r="J61" s="435"/>
      <x:c r="M61" s="565">
        <x:f>M56/12</x:f>
      </x:c>
      <x:c r="N61" s="431" t="s">
        <x:v>1180</x:v>
      </x:c>
    </x:row>
    <x:row r="62" spans="1:16" ht="15" customHeight="1" x14ac:dyDescent="0.3">
      <x:c r="A62" s="499"/>
      <x:c r="G62" s="435"/>
      <x:c r="J62" s="435"/>
      <x:c r="M62" s="565">
        <x:f>M56/24</x:f>
      </x:c>
      <x:c r="N62" s="431" t="s">
        <x:v>1180</x:v>
      </x:c>
    </x:row>
    <x:row r="63" spans="1:16" ht="15" customHeight="1" x14ac:dyDescent="0.25">
      <x:c r="A63" s="436" t="s">
        <x:v>0</x:v>
      </x:c>
      <x:c r="B63" s="436"/>
      <x:c r="C63" s="436"/>
      <x:c r="D63" s="436"/>
      <x:c r="E63" s="436"/>
      <x:c r="F63" s="436"/>
      <x:c r="G63" s="437"/>
      <x:c r="H63" s="438"/>
      <x:c r="I63" s="439"/>
      <x:c r="J63" s="440"/>
      <x:c r="K63" s="441"/>
      <x:c r="L63" s="442"/>
      <x:c r="M63" s="443"/>
    </x:row>
    <x:row r="64" spans="1:16" ht="15" customHeight="1" x14ac:dyDescent="0.25">
      <x:c r="A64" s="436" t="s">
        <x:v>1</x:v>
      </x:c>
      <x:c r="B64" s="436"/>
      <x:c r="C64" s="436"/>
      <x:c r="D64" s="436"/>
      <x:c r="E64" s="436"/>
      <x:c r="F64" s="436"/>
      <x:c r="G64" s="437"/>
      <x:c r="H64" s="438"/>
      <x:c r="I64" s="439"/>
      <x:c r="J64" s="441"/>
      <x:c r="K64" s="441"/>
      <x:c r="L64" s="442"/>
      <x:c r="M64" s="443"/>
    </x:row>
    <x:row r="65" spans="1:16" ht="15" customHeight="1" x14ac:dyDescent="0.25">
      <x:c r="A65" s="436"/>
      <x:c r="B65" s="436" t="s">
        <x:v>1260</x:v>
      </x:c>
      <x:c r="C65" s="436"/>
      <x:c r="D65" s="445"/>
      <x:c r="E65" s="436"/>
      <x:c r="F65" s="436"/>
      <x:c r="G65" s="437"/>
      <x:c r="H65" s="438"/>
      <x:c r="I65" s="439"/>
      <x:c r="J65" s="441"/>
      <x:c r="K65" s="441"/>
      <x:c r="L65" s="442"/>
      <x:c r="M65" s="443"/>
    </x:row>
    <x:row r="66" spans="1:16" ht="15" customHeight="1" x14ac:dyDescent="0.3">
      <x:c r="A66" s="436"/>
      <x:c r="B66" s="436" t="s">
        <x:v>1181</x:v>
      </x:c>
      <x:c r="C66" s="436"/>
      <x:c r="D66" s="445"/>
      <x:c r="E66" s="436"/>
      <x:c r="F66" s="436"/>
      <x:c r="G66" s="443"/>
      <x:c r="H66" s="437"/>
      <x:c r="I66" s="446"/>
      <x:c r="J66" s="441"/>
      <x:c r="K66" s="441"/>
      <x:c r="L66" s="442"/>
      <x:c r="M66" s="443"/>
    </x:row>
    <x:row r="67" spans="1:16" ht="15" customHeight="1" x14ac:dyDescent="0.25">
      <x:c r="A67" s="447" t="s">
        <x:v>4</x:v>
      </x:c>
      <x:c r="B67" s="609"/>
      <x:c r="C67" s="441"/>
      <x:c r="D67" s="439"/>
      <x:c r="E67" s="441"/>
      <x:c r="F67" s="441"/>
      <x:c r="G67" s="448" t="s">
        <x:v>5</x:v>
      </x:c>
      <x:c r="H67" s="441"/>
      <x:c r="I67" s="439"/>
      <x:c r="J67" s="449" t="s">
        <x:v>6</x:v>
      </x:c>
      <x:c r="K67" s="450" t="s">
        <x:v>7</x:v>
      </x:c>
      <x:c r="L67" s="451" t="s">
        <x:v>8</x:v>
      </x:c>
      <x:c r="M67" s="449" t="s">
        <x:v>9</x:v>
      </x:c>
      <x:c r="O67" s="435"/>
    </x:row>
    <x:row r="68" spans="1:16" ht="15" customHeight="1" x14ac:dyDescent="0.3">
      <x:c r="A68" s="452" t="s">
        <x:v>10</x:v>
      </x:c>
      <x:c r="B68" s="452" t="s">
        <x:v>11</x:v>
      </x:c>
      <x:c r="C68" s="452" t="s">
        <x:v>12</x:v>
      </x:c>
      <x:c r="D68" s="453" t="s">
        <x:v>13</x:v>
      </x:c>
      <x:c r="E68" s="452" t="s">
        <x:v>14</x:v>
      </x:c>
      <x:c r="F68" s="454" t="s">
        <x:v>15</x:v>
      </x:c>
      <x:c r="G68" s="455" t="s">
        <x:v>16</x:v>
      </x:c>
      <x:c r="H68" s="456" t="s">
        <x:v>17</x:v>
      </x:c>
      <x:c r="I68" s="457" t="s">
        <x:v>18</x:v>
      </x:c>
      <x:c r="J68" s="458" t="s">
        <x:v>19</x:v>
      </x:c>
      <x:c r="K68" s="459"/>
      <x:c r="L68" s="460" t="s">
        <x:v>20</x:v>
      </x:c>
      <x:c r="M68" s="458" t="s">
        <x:v>21</x:v>
      </x:c>
      <x:c r="O68" s="435"/>
    </x:row>
    <x:row r="69" spans="1:16" ht="15" customHeight="1" x14ac:dyDescent="0.25">
      <x:c r="A69" s="606" t="s">
        <x:v>1308</x:v>
      </x:c>
      <x:c r="B69" s="573" t="s">
        <x:v>288</x:v>
      </x:c>
      <x:c r="C69" s="611" t="s">
        <x:v>1309</x:v>
      </x:c>
      <x:c r="D69" s="607">
        <x:v>45812.3645023148</x:v>
      </x:c>
      <x:c r="E69" s="569">
        <x:v>1447.2</x:v>
      </x:c>
      <x:c r="F69" s="569">
        <x:v>289.44</x:v>
      </x:c>
      <x:c r="G69" s="466">
        <x:v>399.43</x:v>
      </x:c>
      <x:c r="H69" s="569">
        <x:v>173.66</x:v>
      </x:c>
      <x:c r="I69" s="467">
        <x:v>45905</x:v>
      </x:c>
      <x:c r="J69" s="433">
        <x:f>399.43/1.15</x:f>
      </x:c>
      <x:c r="K69" s="468">
        <x:f>+I69-D69</x:f>
      </x:c>
      <x:c r="L69" s="469">
        <x:v>0.03</x:v>
      </x:c>
      <x:c r="M69" s="433">
        <x:f>+J69*L69</x:f>
      </x:c>
    </x:row>
    <x:row r="70" spans="1:16" ht="15" customHeight="1" x14ac:dyDescent="0.25">
      <x:c r="A70" s="606" t="s">
        <x:v>1308</x:v>
      </x:c>
      <x:c r="B70" s="573" t="s">
        <x:v>288</x:v>
      </x:c>
      <x:c r="C70" s="611" t="s">
        <x:v>1309</x:v>
      </x:c>
      <x:c r="D70" s="607">
        <x:v>45812.3645023148</x:v>
      </x:c>
      <x:c r="E70" s="569">
        <x:v>1447.2</x:v>
      </x:c>
      <x:c r="F70" s="569">
        <x:v>289.44</x:v>
      </x:c>
      <x:c r="G70" s="466">
        <x:v>466</x:v>
      </x:c>
      <x:c r="H70" s="569">
        <x:v>173.66</x:v>
      </x:c>
      <x:c r="I70" s="467">
        <x:v>45915</x:v>
      </x:c>
      <x:c r="J70" s="433">
        <x:f>466/1.15</x:f>
      </x:c>
      <x:c r="K70" s="468">
        <x:f>+I70-D70</x:f>
      </x:c>
      <x:c r="L70" s="469">
        <x:v>0.03</x:v>
      </x:c>
      <x:c r="M70" s="433">
        <x:f>+J70*L70</x:f>
      </x:c>
    </x:row>
    <x:row r="71" spans="1:16" ht="15" customHeight="1" x14ac:dyDescent="0.25">
      <x:c r="A71" s="606" t="s">
        <x:v>1308</x:v>
      </x:c>
      <x:c r="B71" s="573" t="s">
        <x:v>288</x:v>
      </x:c>
      <x:c r="C71" s="611" t="s">
        <x:v>1309</x:v>
      </x:c>
      <x:c r="D71" s="607">
        <x:v>45812.3645023148</x:v>
      </x:c>
      <x:c r="E71" s="569">
        <x:v>1447.2</x:v>
      </x:c>
      <x:c r="F71" s="569">
        <x:v>289.44</x:v>
      </x:c>
      <x:c r="G71" s="466">
        <x:v>465.99</x:v>
      </x:c>
      <x:c r="H71" s="569">
        <x:v>173.66</x:v>
      </x:c>
      <x:c r="I71" s="467">
        <x:v>45924</x:v>
      </x:c>
      <x:c r="J71" s="433">
        <x:f>465.99/1.15</x:f>
      </x:c>
      <x:c r="K71" s="468">
        <x:f>+I71-D71</x:f>
      </x:c>
      <x:c r="L71" s="469">
        <x:v>0.03</x:v>
      </x:c>
      <x:c r="M71" s="433">
        <x:f>+J71*L71</x:f>
      </x:c>
    </x:row>
    <x:row r="72" spans="1:16" ht="15" customHeight="1" x14ac:dyDescent="0.25">
      <x:c r="A72" s="606" t="s">
        <x:v>1310</x:v>
      </x:c>
      <x:c r="B72" s="573" t="s">
        <x:v>1185</x:v>
      </x:c>
      <x:c r="C72" s="611" t="s">
        <x:v>1311</x:v>
      </x:c>
      <x:c r="D72" s="607">
        <x:v>45840</x:v>
      </x:c>
      <x:c r="E72" s="569">
        <x:v>91.92</x:v>
      </x:c>
      <x:c r="F72" s="569">
        <x:v>13.79</x:v>
      </x:c>
      <x:c r="G72" s="466">
        <x:v>89.85</x:v>
      </x:c>
      <x:c r="H72" s="569">
        <x:v>11.72</x:v>
      </x:c>
      <x:c r="I72" s="467">
        <x:v>45901</x:v>
      </x:c>
      <x:c r="J72" s="433">
        <x:f>+E72-F72</x:f>
      </x:c>
      <x:c r="K72" s="468">
        <x:f>+I72-D72</x:f>
      </x:c>
      <x:c r="L72" s="469">
        <x:v>0.03</x:v>
      </x:c>
      <x:c r="M72" s="433">
        <x:f>+J72*L72</x:f>
      </x:c>
    </x:row>
    <x:row r="73" spans="1:16" ht="15" customHeight="1" x14ac:dyDescent="0.25">
      <x:c r="A73" s="606" t="s">
        <x:v>1312</x:v>
      </x:c>
      <x:c r="B73" s="573" t="s">
        <x:v>1251</x:v>
      </x:c>
      <x:c r="C73" s="611" t="s">
        <x:v>1313</x:v>
      </x:c>
      <x:c r="D73" s="607">
        <x:v>45860</x:v>
      </x:c>
      <x:c r="E73" s="569">
        <x:v>102</x:v>
      </x:c>
      <x:c r="F73" s="569">
        <x:v>13.26</x:v>
      </x:c>
      <x:c r="G73" s="466">
        <x:v>102.05</x:v>
      </x:c>
      <x:c r="H73" s="569">
        <x:v>13.31</x:v>
      </x:c>
      <x:c r="I73" s="467">
        <x:v>45922</x:v>
      </x:c>
      <x:c r="J73" s="433">
        <x:f>+E73-F73</x:f>
      </x:c>
      <x:c r="K73" s="468">
        <x:f>+I73-D73</x:f>
      </x:c>
      <x:c r="L73" s="469">
        <x:v>0.03</x:v>
      </x:c>
      <x:c r="M73" s="433">
        <x:f>+J73*L73</x:f>
      </x:c>
    </x:row>
    <x:row r="74" spans="1:16" ht="15" customHeight="1" x14ac:dyDescent="0.25">
      <x:c r="A74" s="606" t="s">
        <x:v>1314</x:v>
      </x:c>
      <x:c r="B74" s="573" t="s">
        <x:v>288</x:v>
      </x:c>
      <x:c r="C74" s="611" t="s">
        <x:v>1315</x:v>
      </x:c>
      <x:c r="D74" s="607">
        <x:v>45860</x:v>
      </x:c>
      <x:c r="E74" s="569">
        <x:v>383.52</x:v>
      </x:c>
      <x:c r="F74" s="569">
        <x:v>49.86</x:v>
      </x:c>
      <x:c r="G74" s="466">
        <x:v>383.71</x:v>
      </x:c>
      <x:c r="H74" s="569">
        <x:v>50.05</x:v>
      </x:c>
      <x:c r="I74" s="467">
        <x:v>45901</x:v>
      </x:c>
      <x:c r="J74" s="433">
        <x:f>+E74-F74</x:f>
      </x:c>
      <x:c r="K74" s="468">
        <x:f>+I74-D74</x:f>
      </x:c>
      <x:c r="L74" s="469">
        <x:v>0.03</x:v>
      </x:c>
      <x:c r="M74" s="433">
        <x:f>+J74*L74</x:f>
      </x:c>
    </x:row>
    <x:row r="75" spans="1:16" ht="15" customHeight="1" x14ac:dyDescent="0.25">
      <x:c r="A75" s="606" t="s">
        <x:v>1316</x:v>
      </x:c>
      <x:c r="B75" s="573" t="s">
        <x:v>288</x:v>
      </x:c>
      <x:c r="C75" s="611" t="s">
        <x:v>1317</x:v>
      </x:c>
      <x:c r="D75" s="607">
        <x:v>45860</x:v>
      </x:c>
      <x:c r="E75" s="569">
        <x:v>100.32</x:v>
      </x:c>
      <x:c r="F75" s="569">
        <x:v>13.04</x:v>
      </x:c>
      <x:c r="G75" s="466">
        <x:v>100.37</x:v>
      </x:c>
      <x:c r="H75" s="569">
        <x:v>13.09</x:v>
      </x:c>
      <x:c r="I75" s="467">
        <x:v>45903</x:v>
      </x:c>
      <x:c r="J75" s="433">
        <x:f>+E75-F75</x:f>
      </x:c>
      <x:c r="K75" s="468">
        <x:f>+I75-D75</x:f>
      </x:c>
      <x:c r="L75" s="469">
        <x:v>0.03</x:v>
      </x:c>
      <x:c r="M75" s="433">
        <x:f>+J75*L75</x:f>
      </x:c>
    </x:row>
    <x:row r="76" spans="1:16" ht="15" customHeight="1" x14ac:dyDescent="0.25">
      <x:c r="A76" s="606" t="s">
        <x:v>1318</x:v>
      </x:c>
      <x:c r="B76" s="462" t="s">
        <x:v>288</x:v>
      </x:c>
      <x:c r="C76" s="611" t="s">
        <x:v>1319</x:v>
      </x:c>
      <x:c r="D76" s="607">
        <x:v>45901.5117476852</x:v>
      </x:c>
      <x:c r="E76" s="491">
        <x:v>355.44</x:v>
      </x:c>
      <x:c r="F76" s="491">
        <x:v>46.21</x:v>
      </x:c>
      <x:c r="G76" s="491">
        <x:v>100</x:v>
      </x:c>
      <x:c r="H76" s="569">
        <x:v>46.38</x:v>
      </x:c>
      <x:c r="I76" s="492">
        <x:v>45909</x:v>
      </x:c>
      <x:c r="J76" s="433">
        <x:f>100/1.15</x:f>
      </x:c>
      <x:c r="K76" s="468">
        <x:f>+I76-D76</x:f>
      </x:c>
      <x:c r="L76" s="469">
        <x:v>0.035</x:v>
      </x:c>
      <x:c r="M76" s="433">
        <x:f>+J76*L76</x:f>
      </x:c>
    </x:row>
    <x:row r="77" spans="1:16" ht="15" customHeight="1" x14ac:dyDescent="0.25">
      <x:c r="A77" s="606" t="s">
        <x:v>1318</x:v>
      </x:c>
      <x:c r="B77" s="462" t="s">
        <x:v>288</x:v>
      </x:c>
      <x:c r="C77" s="611" t="s">
        <x:v>1319</x:v>
      </x:c>
      <x:c r="D77" s="607">
        <x:v>45901.5117476852</x:v>
      </x:c>
      <x:c r="E77" s="491">
        <x:v>355.44</x:v>
      </x:c>
      <x:c r="F77" s="491">
        <x:v>46.21</x:v>
      </x:c>
      <x:c r="G77" s="491">
        <x:v>100</x:v>
      </x:c>
      <x:c r="H77" s="569">
        <x:v>46.38</x:v>
      </x:c>
      <x:c r="I77" s="492">
        <x:v>45912</x:v>
      </x:c>
      <x:c r="J77" s="433">
        <x:f>100/1.15</x:f>
      </x:c>
      <x:c r="K77" s="468">
        <x:f>+I77-D77</x:f>
      </x:c>
      <x:c r="L77" s="469">
        <x:v>0.035</x:v>
      </x:c>
      <x:c r="M77" s="433">
        <x:f>+J77*L77</x:f>
      </x:c>
    </x:row>
    <x:row r="78" spans="1:16" ht="15" customHeight="1" x14ac:dyDescent="0.25">
      <x:c r="A78" s="606" t="s">
        <x:v>1318</x:v>
      </x:c>
      <x:c r="B78" s="462" t="s">
        <x:v>288</x:v>
      </x:c>
      <x:c r="C78" s="611" t="s">
        <x:v>1319</x:v>
      </x:c>
      <x:c r="D78" s="607">
        <x:v>45901.5117476852</x:v>
      </x:c>
      <x:c r="E78" s="491">
        <x:v>355.44</x:v>
      </x:c>
      <x:c r="F78" s="491">
        <x:v>46.21</x:v>
      </x:c>
      <x:c r="G78" s="491">
        <x:v>80</x:v>
      </x:c>
      <x:c r="H78" s="569">
        <x:v>46.38</x:v>
      </x:c>
      <x:c r="I78" s="492">
        <x:v>45915</x:v>
      </x:c>
      <x:c r="J78" s="433">
        <x:f>80/1.15</x:f>
      </x:c>
      <x:c r="K78" s="468">
        <x:f>+I78-D78</x:f>
      </x:c>
      <x:c r="L78" s="469">
        <x:v>0.035</x:v>
      </x:c>
      <x:c r="M78" s="433">
        <x:f>+J78*L78</x:f>
      </x:c>
    </x:row>
    <x:row r="79" spans="1:16" ht="15" customHeight="1" x14ac:dyDescent="0.25">
      <x:c r="A79" s="606" t="s">
        <x:v>1318</x:v>
      </x:c>
      <x:c r="B79" s="462" t="s">
        <x:v>288</x:v>
      </x:c>
      <x:c r="C79" s="611" t="s">
        <x:v>1319</x:v>
      </x:c>
      <x:c r="D79" s="607">
        <x:v>45901.5117476852</x:v>
      </x:c>
      <x:c r="E79" s="491">
        <x:v>355.44</x:v>
      </x:c>
      <x:c r="F79" s="491">
        <x:v>46.21</x:v>
      </x:c>
      <x:c r="G79" s="491">
        <x:v>34.81</x:v>
      </x:c>
      <x:c r="H79" s="569">
        <x:v>46.38</x:v>
      </x:c>
      <x:c r="I79" s="492">
        <x:v>45922</x:v>
      </x:c>
      <x:c r="J79" s="433">
        <x:f>34.81/1.15</x:f>
      </x:c>
      <x:c r="K79" s="468">
        <x:f>+I79-D79</x:f>
      </x:c>
      <x:c r="L79" s="469">
        <x:v>0.035</x:v>
      </x:c>
      <x:c r="M79" s="433">
        <x:f>+J79*L79</x:f>
      </x:c>
    </x:row>
    <x:row r="80" spans="1:16" ht="15" customHeight="1" x14ac:dyDescent="0.25">
      <x:c r="A80" s="606" t="s">
        <x:v>1320</x:v>
      </x:c>
      <x:c r="B80" s="462" t="s">
        <x:v>288</x:v>
      </x:c>
      <x:c r="C80" s="611" t="s">
        <x:v>1321</x:v>
      </x:c>
      <x:c r="D80" s="607">
        <x:v>45901.5191666667</x:v>
      </x:c>
      <x:c r="E80" s="491">
        <x:v>130.92</x:v>
      </x:c>
      <x:c r="F80" s="491">
        <x:v>17.02</x:v>
      </x:c>
      <x:c r="G80" s="491">
        <x:v>130.98</x:v>
      </x:c>
      <x:c r="H80" s="569">
        <x:v>17.08</x:v>
      </x:c>
      <x:c r="I80" s="492">
        <x:v>45915</x:v>
      </x:c>
      <x:c r="J80" s="433">
        <x:f>+E80-F80</x:f>
      </x:c>
      <x:c r="K80" s="468">
        <x:f>+I80-D80</x:f>
      </x:c>
      <x:c r="L80" s="469">
        <x:v>0.035</x:v>
      </x:c>
      <x:c r="M80" s="433">
        <x:f>+J80*L80</x:f>
      </x:c>
    </x:row>
    <x:row r="81" spans="1:16" ht="15" customHeight="1" x14ac:dyDescent="0.25">
      <x:c r="A81" s="606"/>
      <x:c r="B81" s="573"/>
      <x:c r="C81" s="606"/>
      <x:c r="D81" s="607"/>
      <x:c r="E81" s="569"/>
      <x:c r="F81" s="569"/>
      <x:c r="G81" s="466"/>
      <x:c r="H81" s="569"/>
      <x:c r="I81" s="467"/>
      <x:c r="J81" s="433"/>
      <x:c r="K81" s="468"/>
      <x:c r="L81" s="469"/>
      <x:c r="M81" s="433"/>
    </x:row>
    <x:row r="82" spans="1:16" ht="15" customHeight="1" x14ac:dyDescent="0.3">
      <x:c r="A82" s="471"/>
      <x:c r="B82" s="472"/>
      <x:c r="C82" s="472"/>
      <x:c r="D82" s="473"/>
      <x:c r="E82" s="474"/>
      <x:c r="F82" s="474"/>
      <x:c r="G82" s="475"/>
      <x:c r="H82" s="476"/>
      <x:c r="I82" s="477"/>
      <x:c r="J82" s="433"/>
      <x:c r="K82" s="468"/>
      <x:c r="L82" s="469"/>
      <x:c r="M82" s="433"/>
    </x:row>
    <x:row r="83" spans="1:16" ht="15" customHeight="1" x14ac:dyDescent="0.25">
      <x:c r="A83" s="478"/>
      <x:c r="B83" s="478"/>
      <x:c r="C83" s="478"/>
      <x:c r="D83" s="478"/>
      <x:c r="E83" s="478"/>
      <x:c r="F83" s="478"/>
      <x:c r="G83" s="479">
        <x:f>SUM(G69:G82)</x:f>
      </x:c>
      <x:c r="H83" s="480"/>
      <x:c r="I83" s="481"/>
      <x:c r="J83" s="479">
        <x:f>SUM(J69:J82)</x:f>
      </x:c>
      <x:c r="K83" s="482"/>
      <x:c r="L83" s="482"/>
      <x:c r="M83" s="479">
        <x:f>SUM(M69:M82)</x:f>
      </x:c>
    </x:row>
    <x:row r="84" spans="1:16" ht="15" customHeight="1" x14ac:dyDescent="0.25">
      <x:c r="A84" s="483"/>
      <x:c r="B84" s="483"/>
      <x:c r="C84" s="483"/>
      <x:c r="D84" s="484"/>
      <x:c r="E84" s="483"/>
      <x:c r="F84" s="483"/>
      <x:c r="G84" s="432"/>
      <x:c r="H84" s="434"/>
      <x:c r="I84" s="485"/>
      <x:c r="J84" s="434"/>
      <x:c r="K84" s="434"/>
      <x:c r="L84" s="434"/>
      <x:c r="M84" s="434"/>
    </x:row>
    <x:row r="85" spans="1:16" x14ac:dyDescent="0.25">
      <x:c r="A85" s="483"/>
      <x:c r="B85" s="483"/>
      <x:c r="C85" s="483"/>
      <x:c r="D85" s="484"/>
      <x:c r="E85" s="483"/>
      <x:c r="F85" s="483"/>
      <x:c r="G85" s="432"/>
      <x:c r="H85" s="434"/>
      <x:c r="I85" s="485"/>
      <x:c r="J85" s="432"/>
      <x:c r="K85" s="434"/>
      <x:c r="L85" s="434"/>
      <x:c r="M85" s="432"/>
    </x:row>
    <x:row r="86" spans="1:16" x14ac:dyDescent="0.25">
      <x:c r="A86" s="434" t="s">
        <x:v>30</x:v>
      </x:c>
      <x:c r="B86" s="483" t="s">
        <x:v>31</x:v>
      </x:c>
      <x:c r="C86" s="483" t="s">
        <x:v>32</x:v>
      </x:c>
      <x:c r="D86" s="485"/>
      <x:c r="E86" s="434"/>
      <x:c r="F86" s="434"/>
      <x:c r="G86" s="432"/>
      <x:c r="H86" s="434"/>
      <x:c r="I86" s="485"/>
      <x:c r="J86" s="434"/>
      <x:c r="K86" s="434"/>
      <x:c r="L86" s="434"/>
      <x:c r="M86" s="434"/>
    </x:row>
    <x:row r="87" spans="1:16" ht="15" customHeight="1" s="434" customFormat="1" x14ac:dyDescent="0.25">
      <x:c r="A87" s="487"/>
      <x:c r="B87" s="487"/>
      <x:c r="C87" s="462"/>
      <x:c r="D87" s="492"/>
      <x:c r="E87" s="490"/>
      <x:c r="F87" s="490"/>
      <x:c r="G87" s="491"/>
      <x:c r="H87" s="490"/>
      <x:c r="I87" s="492"/>
      <x:c r="J87" s="433"/>
      <x:c r="K87" s="468"/>
      <x:c r="L87" s="469"/>
      <x:c r="M87" s="433"/>
      <x:c r="N87" s="470"/>
    </x:row>
    <x:row r="88" spans="1:16" ht="15.6" customHeight="1" x14ac:dyDescent="0.3">
      <x:c r="A88" s="486"/>
      <x:c r="B88" s="462"/>
      <x:c r="C88" s="488"/>
      <x:c r="D88" s="489"/>
      <x:c r="E88" s="490"/>
      <x:c r="F88" s="490"/>
      <x:c r="G88" s="491"/>
      <x:c r="H88" s="490"/>
      <x:c r="I88" s="492"/>
      <x:c r="J88" s="433"/>
      <x:c r="K88" s="468"/>
      <x:c r="L88" s="469"/>
      <x:c r="M88" s="433"/>
    </x:row>
    <x:row r="89" spans="1:16" ht="16.2" customHeight="1" x14ac:dyDescent="0.35">
      <x:c r="A89" s="493" t="s">
        <x:v>43</x:v>
      </x:c>
      <x:c r="B89" s="493"/>
      <x:c r="C89" s="493"/>
      <x:c r="D89" s="493"/>
      <x:c r="E89" s="493"/>
      <x:c r="F89" s="493"/>
      <x:c r="G89" s="494">
        <x:f>SUM(G83:G88)</x:f>
      </x:c>
      <x:c r="I89" s="430"/>
      <x:c r="J89" s="494">
        <x:f>SUM(J83:J88)</x:f>
      </x:c>
      <x:c r="L89" s="495"/>
      <x:c r="M89" s="496">
        <x:f>SUM(M83:M88)</x:f>
      </x:c>
    </x:row>
    <x:row r="90" spans="1:16" x14ac:dyDescent="0.25">
      <x:c r="A90" s="497"/>
      <x:c r="E90" s="497"/>
      <x:c r="F90" s="497"/>
      <x:c r="G90" s="435"/>
      <x:c r="I90" s="430"/>
    </x:row>
    <x:row r="92" spans="1:16" x14ac:dyDescent="0.25">
      <x:c r="J92" s="435"/>
    </x:row>
    <x:row r="93" spans="1:16" x14ac:dyDescent="0.25">
      <x:c r="J93" s="435"/>
    </x:row>
    <x:row r="94" spans="1:16" x14ac:dyDescent="0.25">
      <x:c r="J94" s="435">
        <x:f>(J56+J89)*2%</x:f>
      </x:c>
      <x:c r="M94" s="565">
        <x:f>M89/12</x:f>
      </x:c>
      <x:c r="N94" s="431" t="s">
        <x:v>1199</x:v>
      </x:c>
    </x:row>
    <x:row r="95" spans="1:16" x14ac:dyDescent="0.25">
      <x:c r="J95" s="565">
        <x:f>J94/12</x:f>
      </x:c>
      <x:c r="K95" s="429" t="s">
        <x:v>655</x:v>
      </x:c>
      <x:c r="M95" s="565">
        <x:f>M89/24</x:f>
      </x:c>
      <x:c r="N95" s="431" t="s">
        <x:v>1199</x:v>
      </x:c>
    </x:row>
    <x:row r="96" spans="1:16" x14ac:dyDescent="0.25">
      <x:c r="J96" s="565">
        <x:f>J94/24</x:f>
      </x:c>
      <x:c r="K96" s="429" t="s">
        <x:v>655</x:v>
      </x:c>
    </x:row>
  </x:sheetData>
  <x:sortState xmlns:xlrd2="http://schemas.microsoft.com/office/spreadsheetml/2017/richdata2" ref="A8:O42">
    <x:sortCondition ref="K8:K42"/>
  </x:sortState>
  <x:mergeCells count="2">
    <x:mergeCell ref="A3:F3"/>
    <x:mergeCell ref="A56:F56"/>
  </x:mergeCells>
  <x:printOptions horizontalCentered="0" verticalCentered="0" headings="0" gridLines="0"/>
  <x:pageMargins left="0.3937007874015748" right="0" top="0.1968503937007874" bottom="0" header="0" footer="0"/>
  <x:pageSetup paperSize="9" scale="72" pageOrder="downThenOver" orientation="landscape" blackAndWhite="0" draft="0" cellComments="none" errors="displayed" r:id="rId1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15D416A-8492-47D6-9003-718C468C213E}" mc:Ignorable="x14ac xr xr2 xr3">
  <x:sheetPr>
    <x:outlinePr summaryBelow="1" summaryRight="1"/>
  </x:sheetPr>
  <x:dimension ref="A1:O79"/>
  <x:sheetViews>
    <x:sheetView topLeftCell="G59" workbookViewId="0">
      <x:selection activeCell="J73" sqref="J73 J73:N79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1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1322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551" t="s">
        <x:v>57</x:v>
      </x:c>
      <x:c r="B8" s="524" t="s">
        <x:v>26</x:v>
      </x:c>
      <x:c r="C8" s="644" t="s">
        <x:v>1323</x:v>
      </x:c>
      <x:c r="D8" s="645">
        <x:v>45742</x:v>
      </x:c>
      <x:c r="E8" s="527">
        <x:v>2805</x:v>
      </x:c>
      <x:c r="F8" s="527">
        <x:v>561</x:v>
      </x:c>
      <x:c r="G8" s="504">
        <x:v>525.79</x:v>
      </x:c>
      <x:c r="H8" s="527">
        <x:v>336.6</x:v>
      </x:c>
      <x:c r="I8" s="646">
        <x:v>45937</x:v>
      </x:c>
      <x:c r="J8" s="433">
        <x:v>457.21</x:v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551" t="s">
        <x:v>46</x:v>
      </x:c>
      <x:c r="B9" s="552" t="s">
        <x:v>47</x:v>
      </x:c>
      <x:c r="C9" s="644" t="s">
        <x:v>1324</x:v>
      </x:c>
      <x:c r="D9" s="647">
        <x:v>45742</x:v>
      </x:c>
      <x:c r="E9" s="648">
        <x:v>1627.68</x:v>
      </x:c>
      <x:c r="F9" s="648">
        <x:v>244.15</x:v>
      </x:c>
      <x:c r="G9" s="504">
        <x:v>202.18</x:v>
      </x:c>
      <x:c r="H9" s="648">
        <x:v>207.53</x:v>
      </x:c>
      <x:c r="I9" s="646">
        <x:v>45957</x:v>
      </x:c>
      <x:c r="J9" s="433">
        <x:v>175.81</x:v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551" t="s">
        <x:v>1093</x:v>
      </x:c>
      <x:c r="B10" s="552" t="s">
        <x:v>47</x:v>
      </x:c>
      <x:c r="C10" s="644" t="s">
        <x:v>1325</x:v>
      </x:c>
      <x:c r="D10" s="647">
        <x:v>45742</x:v>
      </x:c>
      <x:c r="E10" s="648">
        <x:v>403.92</x:v>
      </x:c>
      <x:c r="F10" s="648">
        <x:v>60.59</x:v>
      </x:c>
      <x:c r="G10" s="504">
        <x:v>150</x:v>
      </x:c>
      <x:c r="H10" s="648">
        <x:v>51.5</x:v>
      </x:c>
      <x:c r="I10" s="646">
        <x:v>45957</x:v>
      </x:c>
      <x:c r="J10" s="433">
        <x:v>130.43</x:v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551" t="s">
        <x:v>1261</x:v>
      </x:c>
      <x:c r="B11" s="524" t="s">
        <x:v>80</x:v>
      </x:c>
      <x:c r="C11" s="644" t="s">
        <x:v>1326</x:v>
      </x:c>
      <x:c r="D11" s="645">
        <x:v>45754</x:v>
      </x:c>
      <x:c r="E11" s="527">
        <x:v>3472.8</x:v>
      </x:c>
      <x:c r="F11" s="527">
        <x:v>868.2</x:v>
      </x:c>
      <x:c r="G11" s="504">
        <x:v>750</x:v>
      </x:c>
      <x:c r="H11" s="527">
        <x:v>390.69</x:v>
      </x:c>
      <x:c r="I11" s="646">
        <x:v>45945</x:v>
      </x:c>
      <x:c r="J11" s="433">
        <x:v>652.17</x:v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551" t="s">
        <x:v>308</x:v>
      </x:c>
      <x:c r="B12" s="524" t="s">
        <x:v>309</x:v>
      </x:c>
      <x:c r="C12" s="644" t="s">
        <x:v>1327</x:v>
      </x:c>
      <x:c r="D12" s="645">
        <x:v>45810.5301157407</x:v>
      </x:c>
      <x:c r="E12" s="527">
        <x:v>149.52</x:v>
      </x:c>
      <x:c r="F12" s="527">
        <x:v>22.43</x:v>
      </x:c>
      <x:c r="G12" s="504">
        <x:v>6.15</x:v>
      </x:c>
      <x:c r="H12" s="527">
        <x:v>19.06</x:v>
      </x:c>
      <x:c r="I12" s="646">
        <x:v>45931</x:v>
      </x:c>
      <x:c r="J12" s="433">
        <x:v>5.35</x:v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551" t="s">
        <x:v>57</x:v>
      </x:c>
      <x:c r="B13" s="524" t="s">
        <x:v>26</x:v>
      </x:c>
      <x:c r="C13" s="644" t="s">
        <x:v>1328</x:v>
      </x:c>
      <x:c r="D13" s="645">
        <x:v>45821.5376273148</x:v>
      </x:c>
      <x:c r="E13" s="527">
        <x:v>364.32</x:v>
      </x:c>
      <x:c r="F13" s="527">
        <x:v>72.86</x:v>
      </x:c>
      <x:c r="G13" s="504">
        <x:v>172.8</x:v>
      </x:c>
      <x:c r="H13" s="527">
        <x:v>43.72</x:v>
      </x:c>
      <x:c r="I13" s="646">
        <x:v>45937</x:v>
      </x:c>
      <x:c r="J13" s="433">
        <x:v>150.26</x:v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551" t="s">
        <x:v>494</x:v>
      </x:c>
      <x:c r="B14" s="524" t="s">
        <x:v>110</x:v>
      </x:c>
      <x:c r="C14" s="644" t="s">
        <x:v>1329</x:v>
      </x:c>
      <x:c r="D14" s="645">
        <x:v>45834.4220833333</x:v>
      </x:c>
      <x:c r="E14" s="527">
        <x:v>487.2</x:v>
      </x:c>
      <x:c r="F14" s="527">
        <x:v>73.08</x:v>
      </x:c>
      <x:c r="G14" s="504">
        <x:v>468.99</x:v>
      </x:c>
      <x:c r="H14" s="527">
        <x:v>62.12</x:v>
      </x:c>
      <x:c r="I14" s="646">
        <x:v>45961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551" t="s">
        <x:v>686</x:v>
      </x:c>
      <x:c r="B15" s="524" t="s">
        <x:v>105</x:v>
      </x:c>
      <x:c r="C15" s="644" t="s">
        <x:v>1330</x:v>
      </x:c>
      <x:c r="D15" s="645">
        <x:v>45859</x:v>
      </x:c>
      <x:c r="E15" s="527">
        <x:v>96</x:v>
      </x:c>
      <x:c r="F15" s="527">
        <x:v>14.4</x:v>
      </x:c>
      <x:c r="G15" s="504">
        <x:v>93.84</x:v>
      </x:c>
      <x:c r="H15" s="527">
        <x:v>12.24</x:v>
      </x:c>
      <x:c r="I15" s="646">
        <x:v>45933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551" t="s">
        <x:v>1331</x:v>
      </x:c>
      <x:c r="B16" s="524" t="s">
        <x:v>53</x:v>
      </x:c>
      <x:c r="C16" s="644" t="s">
        <x:v>1332</x:v>
      </x:c>
      <x:c r="D16" s="645">
        <x:v>45859</x:v>
      </x:c>
      <x:c r="E16" s="527">
        <x:v>127.32</x:v>
      </x:c>
      <x:c r="F16" s="527">
        <x:v>16.55</x:v>
      </x:c>
      <x:c r="G16" s="504">
        <x:v>127.38</x:v>
      </x:c>
      <x:c r="H16" s="649">
        <x:v>16.61</x:v>
      </x:c>
      <x:c r="I16" s="646">
        <x:v>45944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551" t="s">
        <x:v>109</x:v>
      </x:c>
      <x:c r="B17" s="650" t="s">
        <x:v>110</x:v>
      </x:c>
      <x:c r="C17" s="644" t="s">
        <x:v>1333</x:v>
      </x:c>
      <x:c r="D17" s="645">
        <x:v>45866</x:v>
      </x:c>
      <x:c r="E17" s="649">
        <x:v>313.44</x:v>
      </x:c>
      <x:c r="F17" s="649">
        <x:v>47.02</x:v>
      </x:c>
      <x:c r="G17" s="504">
        <x:v>289.73</x:v>
      </x:c>
      <x:c r="H17" s="649">
        <x:v>39.96</x:v>
      </x:c>
      <x:c r="I17" s="646">
        <x:v>45951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551" t="s">
        <x:v>308</x:v>
      </x:c>
      <x:c r="B18" s="524" t="s">
        <x:v>309</x:v>
      </x:c>
      <x:c r="C18" s="644" t="s">
        <x:v>1334</x:v>
      </x:c>
      <x:c r="D18" s="645">
        <x:v>45883.4586111111</x:v>
      </x:c>
      <x:c r="E18" s="433">
        <x:v>87.12</x:v>
      </x:c>
      <x:c r="F18" s="433">
        <x:v>13.07</x:v>
      </x:c>
      <x:c r="G18" s="504">
        <x:v>85.16</x:v>
      </x:c>
      <x:c r="H18" s="527">
        <x:v>11.11</x:v>
      </x:c>
      <x:c r="I18" s="646">
        <x:v>45931</x:v>
      </x:c>
      <x:c r="J18" s="433">
        <x:v>74.05</x:v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551" t="s">
        <x:v>57</x:v>
      </x:c>
      <x:c r="B19" s="524" t="s">
        <x:v>26</x:v>
      </x:c>
      <x:c r="C19" s="644" t="s">
        <x:v>1335</x:v>
      </x:c>
      <x:c r="D19" s="645">
        <x:v>45888.4168865741</x:v>
      </x:c>
      <x:c r="E19" s="433">
        <x:v>63.36</x:v>
      </x:c>
      <x:c r="F19" s="433">
        <x:v>12.67</x:v>
      </x:c>
      <x:c r="G19" s="504">
        <x:v>55.11</x:v>
      </x:c>
      <x:c r="H19" s="527">
        <x:v>7.6</x:v>
      </x:c>
      <x:c r="I19" s="646">
        <x:v>45937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551" t="s">
        <x:v>975</x:v>
      </x:c>
      <x:c r="B20" s="650" t="s">
        <x:v>1336</x:v>
      </x:c>
      <x:c r="C20" s="644" t="s">
        <x:v>1337</x:v>
      </x:c>
      <x:c r="D20" s="645">
        <x:v>45894.4923148148</x:v>
      </x:c>
      <x:c r="E20" s="532">
        <x:v>552.6</x:v>
      </x:c>
      <x:c r="F20" s="532">
        <x:v>82.89</x:v>
      </x:c>
      <x:c r="G20" s="504">
        <x:v>528.56</x:v>
      </x:c>
      <x:c r="H20" s="649">
        <x:v>70.46</x:v>
      </x:c>
      <x:c r="I20" s="646">
        <x:v>45946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551" t="s">
        <x:v>690</x:v>
      </x:c>
      <x:c r="B21" s="524" t="s">
        <x:v>105</x:v>
      </x:c>
      <x:c r="C21" s="644" t="s">
        <x:v>1338</x:v>
      </x:c>
      <x:c r="D21" s="645">
        <x:v>45897.6154050926</x:v>
      </x:c>
      <x:c r="E21" s="433">
        <x:v>99.36</x:v>
      </x:c>
      <x:c r="F21" s="433">
        <x:v>14.9</x:v>
      </x:c>
      <x:c r="G21" s="504">
        <x:v>97.13</x:v>
      </x:c>
      <x:c r="H21" s="649">
        <x:v>12.67</x:v>
      </x:c>
      <x:c r="I21" s="646">
        <x:v>45933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551" t="s">
        <x:v>523</x:v>
      </x:c>
      <x:c r="B22" s="552" t="s">
        <x:v>26</x:v>
      </x:c>
      <x:c r="C22" s="644" t="s">
        <x:v>1339</x:v>
      </x:c>
      <x:c r="D22" s="645">
        <x:v>45902.3694791667</x:v>
      </x:c>
      <x:c r="E22" s="433">
        <x:v>1203.6</x:v>
      </x:c>
      <x:c r="F22" s="433">
        <x:v>240.72</x:v>
      </x:c>
      <x:c r="G22" s="504">
        <x:v>953.25</x:v>
      </x:c>
      <x:c r="H22" s="527">
        <x:v>144.43</x:v>
      </x:c>
      <x:c r="I22" s="646">
        <x:v>45931</x:v>
      </x:c>
      <x:c r="J22" s="433">
        <x:f>+E22-F22</x:f>
      </x:c>
      <x:c r="K22" s="468">
        <x:f>+I22-D22</x:f>
      </x:c>
      <x:c r="L22" s="503">
        <x:v>0.035</x:v>
      </x:c>
      <x:c r="M22" s="504">
        <x:f>+J22*L22</x:f>
      </x:c>
      <x:c r="O22" s="432"/>
    </x:row>
    <x:row r="23" spans="1:16" ht="15" customHeight="1" x14ac:dyDescent="0.25">
      <x:c r="A23" s="551" t="s">
        <x:v>228</x:v>
      </x:c>
      <x:c r="B23" s="524" t="s">
        <x:v>155</x:v>
      </x:c>
      <x:c r="C23" s="644" t="s">
        <x:v>1340</x:v>
      </x:c>
      <x:c r="D23" s="645">
        <x:v>45908.3471527778</x:v>
      </x:c>
      <x:c r="E23" s="433">
        <x:v>399.24</x:v>
      </x:c>
      <x:c r="F23" s="433">
        <x:v>79.85</x:v>
      </x:c>
      <x:c r="G23" s="504">
        <x:v>347.34</x:v>
      </x:c>
      <x:c r="H23" s="527">
        <x:v>47.91</x:v>
      </x:c>
      <x:c r="I23" s="646">
        <x:v>45944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551" t="s">
        <x:v>52</x:v>
      </x:c>
      <x:c r="B24" s="650" t="s">
        <x:v>53</x:v>
      </x:c>
      <x:c r="C24" s="644" t="s">
        <x:v>1341</x:v>
      </x:c>
      <x:c r="D24" s="645">
        <x:v>45910</x:v>
      </x:c>
      <x:c r="E24" s="651">
        <x:v>255</x:v>
      </x:c>
      <x:c r="F24" s="528">
        <x:v>63.75</x:v>
      </x:c>
      <x:c r="G24" s="504">
        <x:v>207.98</x:v>
      </x:c>
      <x:c r="H24" s="528">
        <x:v>28.69</x:v>
      </x:c>
      <x:c r="I24" s="646">
        <x:v>45945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551" t="s">
        <x:v>170</x:v>
      </x:c>
      <x:c r="B25" s="524" t="s">
        <x:v>105</x:v>
      </x:c>
      <x:c r="C25" s="644" t="s">
        <x:v>1342</x:v>
      </x:c>
      <x:c r="D25" s="645">
        <x:v>45912</x:v>
      </x:c>
      <x:c r="E25" s="614">
        <x:v>610.12</x:v>
      </x:c>
      <x:c r="F25" s="504">
        <x:v>164.7324</x:v>
      </x:c>
      <x:c r="G25" s="504">
        <x:v>512.2</x:v>
      </x:c>
      <x:c r="H25" s="504">
        <x:v>66.81</x:v>
      </x:c>
      <x:c r="I25" s="646">
        <x:v>45944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551" t="s">
        <x:v>52</x:v>
      </x:c>
      <x:c r="B26" s="524" t="s">
        <x:v>53</x:v>
      </x:c>
      <x:c r="C26" s="644" t="s">
        <x:v>1343</x:v>
      </x:c>
      <x:c r="D26" s="645">
        <x:v>45917</x:v>
      </x:c>
      <x:c r="E26" s="614">
        <x:v>765</x:v>
      </x:c>
      <x:c r="F26" s="504">
        <x:v>191.25</x:v>
      </x:c>
      <x:c r="G26" s="504">
        <x:v>623.95</x:v>
      </x:c>
      <x:c r="H26" s="504">
        <x:v>86.06</x:v>
      </x:c>
      <x:c r="I26" s="646">
        <x:v>45945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25">
      <x:c r="A27" s="551" t="s">
        <x:v>296</x:v>
      </x:c>
      <x:c r="B27" s="524" t="s">
        <x:v>26</x:v>
      </x:c>
      <x:c r="C27" s="644" t="s">
        <x:v>1344</x:v>
      </x:c>
      <x:c r="D27" s="645">
        <x:v>45919</x:v>
      </x:c>
      <x:c r="E27" s="614">
        <x:v>93.6</x:v>
      </x:c>
      <x:c r="F27" s="504">
        <x:v>14.04</x:v>
      </x:c>
      <x:c r="G27" s="504">
        <x:v>91.49</x:v>
      </x:c>
      <x:c r="H27" s="504">
        <x:v>11.93</x:v>
      </x:c>
      <x:c r="I27" s="646">
        <x:v>45947</x:v>
      </x:c>
      <x:c r="J27" s="433">
        <x:f>+E27-F27</x:f>
      </x:c>
      <x:c r="K27" s="468">
        <x:f>+I27-D27</x:f>
      </x:c>
      <x:c r="L27" s="503">
        <x:v>0.035</x:v>
      </x:c>
      <x:c r="M27" s="504">
        <x:f>+J27*L27</x:f>
      </x:c>
      <x:c r="O27" s="432"/>
    </x:row>
    <x:row r="28" spans="1:16" ht="15" customHeight="1" x14ac:dyDescent="0.25">
      <x:c r="A28" s="551" t="s">
        <x:v>705</x:v>
      </x:c>
      <x:c r="B28" s="552" t="s">
        <x:v>333</x:v>
      </x:c>
      <x:c r="C28" s="644" t="s">
        <x:v>1345</x:v>
      </x:c>
      <x:c r="D28" s="647">
        <x:v>45924</x:v>
      </x:c>
      <x:c r="E28" s="648">
        <x:v>166.68</x:v>
      </x:c>
      <x:c r="F28" s="648">
        <x:v>25</x:v>
      </x:c>
      <x:c r="G28" s="504">
        <x:v>162.93</x:v>
      </x:c>
      <x:c r="H28" s="648">
        <x:v>21.25</x:v>
      </x:c>
      <x:c r="I28" s="646">
        <x:v>45952</x:v>
      </x:c>
      <x:c r="J28" s="433">
        <x:f>+E28-F28</x:f>
      </x:c>
      <x:c r="K28" s="468">
        <x:f>+I28-D28</x:f>
      </x:c>
      <x:c r="L28" s="503">
        <x:v>0.035</x:v>
      </x:c>
      <x:c r="M28" s="504">
        <x:f>+J28*L28</x:f>
      </x:c>
      <x:c r="O28" s="432"/>
    </x:row>
    <x:row r="29" spans="1:16" ht="15" customHeight="1" x14ac:dyDescent="0.25">
      <x:c r="A29" s="551" t="s">
        <x:v>549</x:v>
      </x:c>
      <x:c r="B29" s="552" t="s">
        <x:v>60</x:v>
      </x:c>
      <x:c r="C29" s="644" t="s">
        <x:v>1346</x:v>
      </x:c>
      <x:c r="D29" s="647">
        <x:v>45931</x:v>
      </x:c>
      <x:c r="E29" s="648">
        <x:v>792</x:v>
      </x:c>
      <x:c r="F29" s="648">
        <x:v>198</x:v>
      </x:c>
      <x:c r="G29" s="504">
        <x:v>683.1</x:v>
      </x:c>
      <x:c r="H29" s="648">
        <x:v>89.1</x:v>
      </x:c>
      <x:c r="I29" s="646">
        <x:v>45944</x:v>
      </x:c>
      <x:c r="J29" s="433">
        <x:f>+E29-F29</x:f>
      </x:c>
      <x:c r="K29" s="468">
        <x:f>+I29-D29</x:f>
      </x:c>
      <x:c r="L29" s="503">
        <x:v>0.035</x:v>
      </x:c>
      <x:c r="M29" s="504">
        <x:f>+J29*L29</x:f>
      </x:c>
      <x:c r="O29" s="432"/>
    </x:row>
    <x:row r="30" spans="1:16" ht="15" customHeight="1" x14ac:dyDescent="0.25">
      <x:c r="A30" s="551" t="s">
        <x:v>136</x:v>
      </x:c>
      <x:c r="B30" s="524" t="s">
        <x:v>26</x:v>
      </x:c>
      <x:c r="C30" s="644" t="s">
        <x:v>1347</x:v>
      </x:c>
      <x:c r="D30" s="645">
        <x:v>45937</x:v>
      </x:c>
      <x:c r="E30" s="554">
        <x:v>387</x:v>
      </x:c>
      <x:c r="F30" s="554">
        <x:v>96.75</x:v>
      </x:c>
      <x:c r="G30" s="504">
        <x:v>315.654</x:v>
      </x:c>
      <x:c r="H30" s="554">
        <x:v>43.54</x:v>
      </x:c>
      <x:c r="I30" s="646">
        <x:v>45937</x:v>
      </x:c>
      <x:c r="J30" s="433">
        <x:f>+E30-F30</x:f>
      </x:c>
      <x:c r="K30" s="468">
        <x:f>+I30-D30</x:f>
      </x:c>
      <x:c r="L30" s="503">
        <x:v>0.04</x:v>
      </x:c>
      <x:c r="M30" s="504">
        <x:f>+J30*L30</x:f>
      </x:c>
      <x:c r="O30" s="432"/>
    </x:row>
    <x:row r="31" spans="1:16" ht="15" customHeight="1" x14ac:dyDescent="0.25">
      <x:c r="A31" s="551" t="s">
        <x:v>700</x:v>
      </x:c>
      <x:c r="B31" s="552" t="s">
        <x:v>105</x:v>
      </x:c>
      <x:c r="C31" s="644" t="s">
        <x:v>1348</x:v>
      </x:c>
      <x:c r="D31" s="647">
        <x:v>45938</x:v>
      </x:c>
      <x:c r="E31" s="648">
        <x:v>90</x:v>
      </x:c>
      <x:c r="F31" s="648">
        <x:v>9</x:v>
      </x:c>
      <x:c r="G31" s="504">
        <x:v>93.15</x:v>
      </x:c>
      <x:c r="H31" s="648">
        <x:v>12.15</x:v>
      </x:c>
      <x:c r="I31" s="646">
        <x:v>45950</x:v>
      </x:c>
      <x:c r="J31" s="433">
        <x:f>+E31-F31</x:f>
      </x:c>
      <x:c r="K31" s="468">
        <x:f>+I31-D31</x:f>
      </x:c>
      <x:c r="L31" s="503">
        <x:v>0.035</x:v>
      </x:c>
      <x:c r="M31" s="504">
        <x:f>+J31*L31</x:f>
      </x:c>
      <x:c r="O31" s="432"/>
    </x:row>
    <x:row r="32" spans="1:16" ht="15" customHeight="1" x14ac:dyDescent="0.25">
      <x:c r="A32" s="551" t="s">
        <x:v>114</x:v>
      </x:c>
      <x:c r="B32" s="524" t="s">
        <x:v>26</x:v>
      </x:c>
      <x:c r="C32" s="644" t="s">
        <x:v>1349</x:v>
      </x:c>
      <x:c r="D32" s="647">
        <x:v>45946</x:v>
      </x:c>
      <x:c r="E32" s="648">
        <x:v>40.8</x:v>
      </x:c>
      <x:c r="F32" s="648">
        <x:v>6.12</x:v>
      </x:c>
      <x:c r="G32" s="504">
        <x:f>37.51+0.2</x:f>
      </x:c>
      <x:c r="H32" s="648">
        <x:v>5.2</x:v>
      </x:c>
      <x:c r="I32" s="646">
        <x:v>45947</x:v>
      </x:c>
      <x:c r="J32" s="433">
        <x:f>+E32-F32</x:f>
      </x:c>
      <x:c r="K32" s="468">
        <x:f>+I32-D32</x:f>
      </x:c>
      <x:c r="L32" s="503">
        <x:v>0.04</x:v>
      </x:c>
      <x:c r="M32" s="504">
        <x:f>+J32*L32</x:f>
      </x:c>
      <x:c r="O32" s="432"/>
    </x:row>
    <x:row r="33" spans="1:16" ht="15" customHeight="1" x14ac:dyDescent="0.25">
      <x:c r="A33" s="551" t="s">
        <x:v>1271</x:v>
      </x:c>
      <x:c r="B33" s="552" t="s">
        <x:v>105</x:v>
      </x:c>
      <x:c r="C33" s="644" t="s">
        <x:v>1350</x:v>
      </x:c>
      <x:c r="D33" s="647">
        <x:v>45946</x:v>
      </x:c>
      <x:c r="E33" s="648">
        <x:v>680</x:v>
      </x:c>
      <x:c r="F33" s="648">
        <x:v>88.4</x:v>
      </x:c>
      <x:c r="G33" s="504">
        <x:v>581.25</x:v>
      </x:c>
      <x:c r="H33" s="648">
        <x:v>88.74</x:v>
      </x:c>
      <x:c r="I33" s="646">
        <x:v>45957</x:v>
      </x:c>
      <x:c r="J33" s="433">
        <x:f>+E33-F33</x:f>
      </x:c>
      <x:c r="K33" s="468">
        <x:f>+I33-D33</x:f>
      </x:c>
      <x:c r="L33" s="503">
        <x:v>0.035</x:v>
      </x:c>
      <x:c r="M33" s="504">
        <x:f>+J33*L33</x:f>
      </x:c>
      <x:c r="O33" s="432"/>
    </x:row>
    <x:row r="34" spans="1:16" ht="15" customHeight="1" x14ac:dyDescent="0.25">
      <x:c r="A34" s="606"/>
      <x:c r="B34" s="573"/>
      <x:c r="C34" s="611"/>
      <x:c r="D34" s="631"/>
      <x:c r="E34" s="502"/>
      <x:c r="F34" s="502"/>
      <x:c r="G34" s="502"/>
      <x:c r="H34" s="569"/>
      <x:c r="I34" s="652"/>
      <x:c r="J34" s="433"/>
      <x:c r="K34" s="468"/>
      <x:c r="L34" s="503"/>
      <x:c r="M34" s="504"/>
      <x:c r="O34" s="432"/>
    </x:row>
    <x:row r="35" spans="1:16" ht="15" customHeight="1" x14ac:dyDescent="0.25">
      <x:c r="A35" s="606"/>
      <x:c r="B35" s="573"/>
      <x:c r="C35" s="606"/>
      <x:c r="D35" s="629"/>
      <x:c r="E35" s="569"/>
      <x:c r="F35" s="569"/>
      <x:c r="G35" s="466"/>
      <x:c r="H35" s="569"/>
      <x:c r="I35" s="652"/>
      <x:c r="J35" s="433"/>
      <x:c r="K35" s="468"/>
      <x:c r="L35" s="503"/>
      <x:c r="M35" s="504"/>
      <x:c r="O35" s="432"/>
    </x:row>
    <x:row r="36" spans="1:16" ht="15" customHeight="1" x14ac:dyDescent="0.3">
      <x:c r="G36" s="516">
        <x:f>SUM(G8:G35)</x:f>
      </x:c>
      <x:c r="J36" s="516">
        <x:f>SUM(J8:J35)</x:f>
      </x:c>
      <x:c r="M36" s="516">
        <x:f>SUM(M8:M35)</x:f>
      </x:c>
      <x:c r="O36" s="432"/>
    </x:row>
    <x:row r="37" spans="1:16" ht="15" customHeight="1" x14ac:dyDescent="0.25">
      <x:c r="G37" s="435"/>
      <x:c r="H37" s="435"/>
      <x:c r="O37" s="432"/>
    </x:row>
    <x:row r="38" spans="1:16" ht="15" customHeight="1" x14ac:dyDescent="0.25">
      <x:c r="A38" s="517" t="s">
        <x:v>30</x:v>
      </x:c>
      <x:c r="B38" s="518" t="s">
        <x:v>31</x:v>
      </x:c>
      <x:c r="C38" s="518" t="s">
        <x:v>32</x:v>
      </x:c>
      <x:c r="J38" s="435"/>
      <x:c r="O38" s="432"/>
    </x:row>
    <x:row r="39" spans="1:16" s="434" customFormat="1" x14ac:dyDescent="0.25">
      <x:c r="A39" s="551" t="s">
        <x:v>118</x:v>
      </x:c>
      <x:c r="B39" s="551" t="s">
        <x:v>1351</x:v>
      </x:c>
      <x:c r="C39" s="644" t="s">
        <x:v>1352</x:v>
      </x:c>
      <x:c r="D39" s="645">
        <x:v>45932</x:v>
      </x:c>
      <x:c r="E39" s="554">
        <x:v>1659.84</x:v>
      </x:c>
      <x:c r="F39" s="554">
        <x:v>414.96</x:v>
      </x:c>
      <x:c r="G39" s="504">
        <x:v>1353.8</x:v>
      </x:c>
      <x:c r="H39" s="554">
        <x:v>186.73</x:v>
      </x:c>
      <x:c r="I39" s="646">
        <x:v>45964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16" s="434" customFormat="1" x14ac:dyDescent="0.25">
      <x:c r="A40" s="551" t="s">
        <x:v>36</x:v>
      </x:c>
      <x:c r="B40" s="551" t="s">
        <x:v>1353</x:v>
      </x:c>
      <x:c r="C40" s="644" t="s">
        <x:v>1354</x:v>
      </x:c>
      <x:c r="D40" s="645">
        <x:v>45919</x:v>
      </x:c>
      <x:c r="E40" s="614">
        <x:v>479.4</x:v>
      </x:c>
      <x:c r="F40" s="504">
        <x:v>119.85</x:v>
      </x:c>
      <x:c r="G40" s="504">
        <x:v>393.7</x:v>
      </x:c>
      <x:c r="H40" s="504">
        <x:v>53.93</x:v>
      </x:c>
      <x:c r="I40" s="646">
        <x:v>45969</x:v>
      </x:c>
      <x:c r="J40" s="433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16" s="434" customFormat="1" x14ac:dyDescent="0.25">
      <x:c r="A41" s="551" t="s">
        <x:v>70</x:v>
      </x:c>
      <x:c r="B41" s="551" t="s">
        <x:v>1355</x:v>
      </x:c>
      <x:c r="C41" s="644" t="s">
        <x:v>1356</x:v>
      </x:c>
      <x:c r="D41" s="645">
        <x:v>45938</x:v>
      </x:c>
      <x:c r="E41" s="554">
        <x:f>453.6+113.4</x:f>
      </x:c>
      <x:c r="F41" s="554">
        <x:v>113.4</x:v>
      </x:c>
      <x:c r="G41" s="504">
        <x:v>496.69</x:v>
      </x:c>
      <x:c r="H41" s="554">
        <x:v>68.04</x:v>
      </x:c>
      <x:c r="I41" s="646">
        <x:v>45970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s="434" customFormat="1" x14ac:dyDescent="0.25">
      <x:c r="A42" s="551" t="s">
        <x:v>430</x:v>
      </x:c>
      <x:c r="B42" s="551" t="s">
        <x:v>1357</x:v>
      </x:c>
      <x:c r="C42" s="644" t="s">
        <x:v>1358</x:v>
      </x:c>
      <x:c r="D42" s="645">
        <x:v>45957</x:v>
      </x:c>
      <x:c r="E42" s="554">
        <x:f>130.05+22.95</x:f>
      </x:c>
      <x:c r="F42" s="554">
        <x:v>22.95</x:v>
      </x:c>
      <x:c r="G42" s="504">
        <x:v>141.43</x:v>
      </x:c>
      <x:c r="H42" s="554">
        <x:v>19.51</x:v>
      </x:c>
      <x:c r="I42" s="646">
        <x:v>45971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s="434" customFormat="1" x14ac:dyDescent="0.25">
      <x:c r="A43" s="551" t="s">
        <x:v>36</x:v>
      </x:c>
      <x:c r="B43" s="551" t="s">
        <x:v>1359</x:v>
      </x:c>
      <x:c r="C43" s="644" t="s">
        <x:v>1360</x:v>
      </x:c>
      <x:c r="D43" s="645">
        <x:v>45937</x:v>
      </x:c>
      <x:c r="E43" s="554">
        <x:f>278.37+92.79</x:f>
      </x:c>
      <x:c r="F43" s="554">
        <x:v>92.79</x:v>
      </x:c>
      <x:c r="G43" s="504">
        <x:v>304.82</x:v>
      </x:c>
      <x:c r="H43" s="554">
        <x:v>41.76</x:v>
      </x:c>
      <x:c r="I43" s="646">
        <x:v>45991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633"/>
      <x:c r="O43" s="432"/>
    </x:row>
    <x:row r="44" spans="1:16" ht="15" customHeight="1" s="434" customFormat="1" x14ac:dyDescent="0.25">
      <x:c r="A44" s="487"/>
      <x:c r="B44" s="462"/>
      <x:c r="C44" s="462"/>
      <x:c r="D44" s="492"/>
      <x:c r="E44" s="491"/>
      <x:c r="F44" s="491"/>
      <x:c r="G44" s="491"/>
      <x:c r="H44" s="610"/>
      <x:c r="I44" s="653"/>
      <x:c r="J44" s="433"/>
      <x:c r="K44" s="468"/>
      <x:c r="L44" s="469"/>
      <x:c r="M44" s="433"/>
      <x:c r="N44" s="470"/>
      <x:c r="O44" s="432"/>
    </x:row>
    <x:row r="45" spans="1:16" ht="15.6" customHeight="1" s="434" customFormat="1" x14ac:dyDescent="0.3">
      <x:c r="A45" s="487"/>
      <x:c r="B45" s="462"/>
      <x:c r="C45" s="487"/>
      <x:c r="D45" s="492"/>
      <x:c r="E45" s="490"/>
      <x:c r="F45" s="490"/>
      <x:c r="G45" s="491"/>
      <x:c r="H45" s="490"/>
      <x:c r="I45" s="653"/>
      <x:c r="J45" s="433"/>
      <x:c r="K45" s="468"/>
      <x:c r="L45" s="469"/>
      <x:c r="M45" s="433"/>
      <x:c r="N45" s="470"/>
      <x:c r="O45" s="432"/>
    </x:row>
    <x:row r="46" spans="1:16" ht="15" customHeight="1" x14ac:dyDescent="0.35">
      <x:c r="A46" s="493" t="s">
        <x:v>43</x:v>
      </x:c>
      <x:c r="B46" s="493"/>
      <x:c r="C46" s="493"/>
      <x:c r="D46" s="493"/>
      <x:c r="E46" s="493"/>
      <x:c r="F46" s="493"/>
      <x:c r="G46" s="516">
        <x:f>SUM(G36:G45)</x:f>
      </x:c>
      <x:c r="J46" s="516">
        <x:f>SUM(J36:J45)</x:f>
      </x:c>
      <x:c r="L46" s="495"/>
      <x:c r="M46" s="564">
        <x:f>SUM(M36:M45)</x:f>
      </x:c>
    </x:row>
    <x:row r="47" spans="1:16" ht="15" customHeight="1" x14ac:dyDescent="0.3">
      <x:c r="A47" s="520"/>
      <x:c r="G47" s="435"/>
    </x:row>
    <x:row r="48" spans="1:16" ht="15" customHeight="1" x14ac:dyDescent="0.3">
      <x:c r="A48" s="520"/>
      <x:c r="G48" s="435"/>
    </x:row>
    <x:row r="49" spans="1:16" ht="15" customHeight="1" x14ac:dyDescent="0.3">
      <x:c r="A49" s="520"/>
      <x:c r="G49" s="435"/>
    </x:row>
    <x:row r="50" spans="1:16" ht="15" customHeight="1" x14ac:dyDescent="0.3">
      <x:c r="A50" s="499"/>
      <x:c r="G50" s="435"/>
      <x:c r="J50" s="435"/>
    </x:row>
    <x:row r="51" spans="1:16" ht="15" customHeight="1" x14ac:dyDescent="0.3">
      <x:c r="A51" s="499"/>
      <x:c r="G51" s="435"/>
      <x:c r="J51" s="435"/>
      <x:c r="M51" s="565">
        <x:f>M46/12</x:f>
      </x:c>
      <x:c r="N51" s="431" t="s">
        <x:v>1180</x:v>
      </x:c>
    </x:row>
    <x:row r="52" spans="1:16" ht="15" customHeight="1" x14ac:dyDescent="0.3">
      <x:c r="A52" s="499"/>
      <x:c r="G52" s="435"/>
      <x:c r="J52" s="435"/>
      <x:c r="M52" s="565">
        <x:f>M46/24</x:f>
      </x:c>
      <x:c r="N52" s="431" t="s">
        <x:v>1180</x:v>
      </x:c>
    </x:row>
    <x:row r="53" spans="1:16" ht="15" customHeight="1" x14ac:dyDescent="0.25">
      <x:c r="A53" s="436" t="s">
        <x:v>0</x:v>
      </x:c>
      <x:c r="B53" s="436"/>
      <x:c r="C53" s="436"/>
      <x:c r="D53" s="436"/>
      <x:c r="E53" s="436"/>
      <x:c r="F53" s="436"/>
      <x:c r="G53" s="437"/>
      <x:c r="H53" s="438"/>
      <x:c r="I53" s="654"/>
      <x:c r="J53" s="440"/>
      <x:c r="K53" s="441"/>
      <x:c r="L53" s="442"/>
      <x:c r="M53" s="443"/>
    </x:row>
    <x:row r="54" spans="1:16" ht="15" customHeight="1" x14ac:dyDescent="0.25">
      <x:c r="A54" s="436" t="s">
        <x:v>1</x:v>
      </x:c>
      <x:c r="B54" s="436"/>
      <x:c r="C54" s="436"/>
      <x:c r="D54" s="436"/>
      <x:c r="E54" s="436"/>
      <x:c r="F54" s="436"/>
      <x:c r="G54" s="437"/>
      <x:c r="H54" s="438"/>
      <x:c r="I54" s="654"/>
      <x:c r="J54" s="441"/>
      <x:c r="K54" s="441"/>
      <x:c r="L54" s="442"/>
      <x:c r="M54" s="443"/>
    </x:row>
    <x:row r="55" spans="1:16" ht="15" customHeight="1" x14ac:dyDescent="0.25">
      <x:c r="A55" s="436"/>
      <x:c r="B55" s="436" t="s">
        <x:v>1322</x:v>
      </x:c>
      <x:c r="C55" s="436"/>
      <x:c r="D55" s="445"/>
      <x:c r="E55" s="436"/>
      <x:c r="F55" s="436"/>
      <x:c r="G55" s="437"/>
      <x:c r="H55" s="438"/>
      <x:c r="I55" s="654"/>
      <x:c r="J55" s="441"/>
      <x:c r="K55" s="441"/>
      <x:c r="L55" s="442"/>
      <x:c r="M55" s="443"/>
    </x:row>
    <x:row r="56" spans="1:16" ht="15" customHeight="1" x14ac:dyDescent="0.3">
      <x:c r="A56" s="436"/>
      <x:c r="B56" s="436" t="s">
        <x:v>1181</x:v>
      </x:c>
      <x:c r="C56" s="436"/>
      <x:c r="D56" s="445"/>
      <x:c r="E56" s="436"/>
      <x:c r="F56" s="436"/>
      <x:c r="G56" s="443"/>
      <x:c r="H56" s="437"/>
      <x:c r="I56" s="655"/>
      <x:c r="J56" s="441"/>
      <x:c r="K56" s="441"/>
      <x:c r="L56" s="442"/>
      <x:c r="M56" s="443"/>
    </x:row>
    <x:row r="57" spans="1:16" ht="15" customHeight="1" x14ac:dyDescent="0.25">
      <x:c r="A57" s="447" t="s">
        <x:v>4</x:v>
      </x:c>
      <x:c r="B57" s="609"/>
      <x:c r="C57" s="441"/>
      <x:c r="D57" s="439"/>
      <x:c r="E57" s="441"/>
      <x:c r="F57" s="441"/>
      <x:c r="G57" s="448" t="s">
        <x:v>5</x:v>
      </x:c>
      <x:c r="H57" s="441"/>
      <x:c r="I57" s="654"/>
      <x:c r="J57" s="449" t="s">
        <x:v>6</x:v>
      </x:c>
      <x:c r="K57" s="450" t="s">
        <x:v>7</x:v>
      </x:c>
      <x:c r="L57" s="451" t="s">
        <x:v>8</x:v>
      </x:c>
      <x:c r="M57" s="449" t="s">
        <x:v>9</x:v>
      </x:c>
      <x:c r="O57" s="435"/>
    </x:row>
    <x:row r="58" spans="1:16" ht="15" customHeight="1" x14ac:dyDescent="0.3">
      <x:c r="A58" s="452" t="s">
        <x:v>10</x:v>
      </x:c>
      <x:c r="B58" s="452" t="s">
        <x:v>11</x:v>
      </x:c>
      <x:c r="C58" s="452" t="s">
        <x:v>12</x:v>
      </x:c>
      <x:c r="D58" s="453" t="s">
        <x:v>13</x:v>
      </x:c>
      <x:c r="E58" s="452" t="s">
        <x:v>14</x:v>
      </x:c>
      <x:c r="F58" s="454" t="s">
        <x:v>15</x:v>
      </x:c>
      <x:c r="G58" s="455" t="s">
        <x:v>16</x:v>
      </x:c>
      <x:c r="H58" s="456" t="s">
        <x:v>17</x:v>
      </x:c>
      <x:c r="I58" s="656" t="s">
        <x:v>18</x:v>
      </x:c>
      <x:c r="J58" s="458" t="s">
        <x:v>19</x:v>
      </x:c>
      <x:c r="K58" s="459"/>
      <x:c r="L58" s="460" t="s">
        <x:v>20</x:v>
      </x:c>
      <x:c r="M58" s="458" t="s">
        <x:v>21</x:v>
      </x:c>
      <x:c r="O58" s="435"/>
    </x:row>
    <x:row r="59" spans="1:16" ht="15" customHeight="1" x14ac:dyDescent="0.25">
      <x:c r="A59" s="551" t="s">
        <x:v>1361</x:v>
      </x:c>
      <x:c r="B59" s="552" t="s">
        <x:v>1362</x:v>
      </x:c>
      <x:c r="C59" s="644" t="s">
        <x:v>1363</x:v>
      </x:c>
      <x:c r="D59" s="647">
        <x:v>45875</x:v>
      </x:c>
      <x:c r="E59" s="648">
        <x:v>391.44</x:v>
      </x:c>
      <x:c r="F59" s="648">
        <x:v>50.89</x:v>
      </x:c>
      <x:c r="G59" s="504">
        <x:v>150</x:v>
      </x:c>
      <x:c r="H59" s="648">
        <x:v>51.08</x:v>
      </x:c>
      <x:c r="I59" s="646">
        <x:v>45957</x:v>
      </x:c>
      <x:c r="J59" s="433">
        <x:v>130.43</x:v>
      </x:c>
      <x:c r="K59" s="468">
        <x:f>+I59-D59</x:f>
      </x:c>
      <x:c r="L59" s="469">
        <x:v>0.03</x:v>
      </x:c>
      <x:c r="M59" s="433">
        <x:f>+J59*L59</x:f>
      </x:c>
    </x:row>
    <x:row r="60" spans="1:16" ht="15" customHeight="1" x14ac:dyDescent="0.25">
      <x:c r="A60" s="551" t="s">
        <x:v>1364</x:v>
      </x:c>
      <x:c r="B60" s="524" t="s">
        <x:v>23</x:v>
      </x:c>
      <x:c r="C60" s="644" t="s">
        <x:v>1365</x:v>
      </x:c>
      <x:c r="D60" s="645">
        <x:v>45875.3895949074</x:v>
      </x:c>
      <x:c r="E60" s="433">
        <x:v>320.76</x:v>
      </x:c>
      <x:c r="F60" s="433">
        <x:v>64.15</x:v>
      </x:c>
      <x:c r="G60" s="504">
        <x:v>279.06</x:v>
      </x:c>
      <x:c r="H60" s="649">
        <x:v>38.49</x:v>
      </x:c>
      <x:c r="I60" s="646">
        <x:v>45947</x:v>
      </x:c>
      <x:c r="J60" s="433">
        <x:f>+E60-F60</x:f>
      </x:c>
      <x:c r="K60" s="468">
        <x:f>+I60-D60</x:f>
      </x:c>
      <x:c r="L60" s="469">
        <x:v>0.03</x:v>
      </x:c>
      <x:c r="M60" s="433">
        <x:f>+J60*L60</x:f>
      </x:c>
    </x:row>
    <x:row r="61" spans="1:16" ht="15" customHeight="1" x14ac:dyDescent="0.25">
      <x:c r="A61" s="551" t="s">
        <x:v>565</x:v>
      </x:c>
      <x:c r="B61" s="524" t="s">
        <x:v>80</x:v>
      </x:c>
      <x:c r="C61" s="644" t="s">
        <x:v>1366</x:v>
      </x:c>
      <x:c r="D61" s="645">
        <x:v>45894.3401273148</x:v>
      </x:c>
      <x:c r="E61" s="433">
        <x:v>297</x:v>
      </x:c>
      <x:c r="F61" s="433">
        <x:v>38.61</x:v>
      </x:c>
      <x:c r="G61" s="504">
        <x:v>297.15</x:v>
      </x:c>
      <x:c r="H61" s="649">
        <x:v>38.76</x:v>
      </x:c>
      <x:c r="I61" s="646">
        <x:v>45946</x:v>
      </x:c>
      <x:c r="J61" s="433">
        <x:f>+E61-F61</x:f>
      </x:c>
      <x:c r="K61" s="468">
        <x:f>+I61-D61</x:f>
      </x:c>
      <x:c r="L61" s="469">
        <x:v>0.03</x:v>
      </x:c>
      <x:c r="M61" s="433">
        <x:f>+J61*L61</x:f>
      </x:c>
    </x:row>
    <x:row r="62" spans="1:16" ht="15" customHeight="1" x14ac:dyDescent="0.25">
      <x:c r="A62" s="551" t="s">
        <x:v>1192</x:v>
      </x:c>
      <x:c r="B62" s="524" t="s">
        <x:v>1190</x:v>
      </x:c>
      <x:c r="C62" s="644" t="s">
        <x:v>1367</x:v>
      </x:c>
      <x:c r="D62" s="645">
        <x:v>45912</x:v>
      </x:c>
      <x:c r="E62" s="614">
        <x:v>356.4</x:v>
      </x:c>
      <x:c r="F62" s="504">
        <x:v>46.332</x:v>
      </x:c>
      <x:c r="G62" s="504">
        <x:v>356.58</x:v>
      </x:c>
      <x:c r="H62" s="504">
        <x:v>46.51</x:v>
      </x:c>
      <x:c r="I62" s="646">
        <x:v>45945</x:v>
      </x:c>
      <x:c r="J62" s="433">
        <x:f>+E62-F62</x:f>
      </x:c>
      <x:c r="K62" s="468">
        <x:f>+I62-D62</x:f>
      </x:c>
      <x:c r="L62" s="469">
        <x:v>0.03</x:v>
      </x:c>
      <x:c r="M62" s="433">
        <x:f>+J62*L62</x:f>
      </x:c>
    </x:row>
    <x:row r="63" spans="1:16" ht="15" customHeight="1" x14ac:dyDescent="0.25">
      <x:c r="A63" s="551" t="s">
        <x:v>1368</x:v>
      </x:c>
      <x:c r="B63" s="552" t="s">
        <x:v>806</x:v>
      </x:c>
      <x:c r="C63" s="644" t="s">
        <x:v>1369</x:v>
      </x:c>
      <x:c r="D63" s="647">
        <x:v>45936</x:v>
      </x:c>
      <x:c r="E63" s="648">
        <x:v>57</x:v>
      </x:c>
      <x:c r="F63" s="648">
        <x:v>0</x:v>
      </x:c>
      <x:c r="G63" s="504">
        <x:v>65.55</x:v>
      </x:c>
      <x:c r="H63" s="648">
        <x:v>8.55</x:v>
      </x:c>
      <x:c r="I63" s="646">
        <x:v>45936</x:v>
      </x:c>
      <x:c r="J63" s="433">
        <x:f>+E63-F63</x:f>
      </x:c>
      <x:c r="K63" s="468">
        <x:f>+I63-D63</x:f>
      </x:c>
      <x:c r="L63" s="469">
        <x:v>0.03</x:v>
      </x:c>
      <x:c r="M63" s="433">
        <x:f>+J63*L63</x:f>
      </x:c>
    </x:row>
    <x:row r="64" spans="1:16" ht="15" customHeight="1" x14ac:dyDescent="0.25">
      <x:c r="A64" s="606"/>
      <x:c r="B64" s="573"/>
      <x:c r="C64" s="606"/>
      <x:c r="D64" s="607"/>
      <x:c r="E64" s="569"/>
      <x:c r="F64" s="569"/>
      <x:c r="G64" s="466"/>
      <x:c r="H64" s="569"/>
      <x:c r="I64" s="652"/>
      <x:c r="J64" s="433"/>
      <x:c r="K64" s="468"/>
      <x:c r="L64" s="469"/>
      <x:c r="M64" s="433"/>
    </x:row>
    <x:row r="65" spans="1:16" ht="15" customHeight="1" x14ac:dyDescent="0.3">
      <x:c r="A65" s="471"/>
      <x:c r="B65" s="472"/>
      <x:c r="C65" s="472"/>
      <x:c r="D65" s="473"/>
      <x:c r="E65" s="474"/>
      <x:c r="F65" s="474"/>
      <x:c r="G65" s="475"/>
      <x:c r="H65" s="476"/>
      <x:c r="I65" s="657"/>
      <x:c r="J65" s="433"/>
      <x:c r="K65" s="468"/>
      <x:c r="L65" s="469"/>
      <x:c r="M65" s="433"/>
    </x:row>
    <x:row r="66" spans="1:16" ht="15" customHeight="1" x14ac:dyDescent="0.25">
      <x:c r="A66" s="478"/>
      <x:c r="B66" s="478"/>
      <x:c r="C66" s="478"/>
      <x:c r="D66" s="478"/>
      <x:c r="E66" s="478"/>
      <x:c r="F66" s="478"/>
      <x:c r="G66" s="479">
        <x:f>SUM(G59:G65)</x:f>
      </x:c>
      <x:c r="H66" s="480"/>
      <x:c r="I66" s="658"/>
      <x:c r="J66" s="479">
        <x:f>SUM(J59:J65)</x:f>
      </x:c>
      <x:c r="K66" s="482"/>
      <x:c r="L66" s="482"/>
      <x:c r="M66" s="479">
        <x:f>SUM(M59:M65)</x:f>
      </x:c>
    </x:row>
    <x:row r="67" spans="1:16" ht="15" customHeight="1" x14ac:dyDescent="0.25">
      <x:c r="A67" s="483"/>
      <x:c r="B67" s="483"/>
      <x:c r="C67" s="483"/>
      <x:c r="D67" s="484"/>
      <x:c r="E67" s="483"/>
      <x:c r="F67" s="483"/>
      <x:c r="G67" s="432"/>
      <x:c r="H67" s="434"/>
      <x:c r="I67" s="659"/>
      <x:c r="J67" s="434"/>
      <x:c r="K67" s="434"/>
      <x:c r="L67" s="434"/>
      <x:c r="M67" s="434"/>
    </x:row>
    <x:row r="68" spans="1:16" x14ac:dyDescent="0.25">
      <x:c r="A68" s="483"/>
      <x:c r="B68" s="483"/>
      <x:c r="C68" s="483"/>
      <x:c r="D68" s="484"/>
      <x:c r="E68" s="483"/>
      <x:c r="F68" s="483"/>
      <x:c r="G68" s="432"/>
      <x:c r="H68" s="434"/>
      <x:c r="I68" s="659"/>
      <x:c r="J68" s="432"/>
      <x:c r="K68" s="434"/>
      <x:c r="L68" s="434"/>
      <x:c r="M68" s="432"/>
    </x:row>
    <x:row r="69" spans="1:16" x14ac:dyDescent="0.25">
      <x:c r="A69" s="434" t="s">
        <x:v>30</x:v>
      </x:c>
      <x:c r="B69" s="483" t="s">
        <x:v>31</x:v>
      </x:c>
      <x:c r="C69" s="483" t="s">
        <x:v>32</x:v>
      </x:c>
      <x:c r="D69" s="485"/>
      <x:c r="E69" s="434"/>
      <x:c r="F69" s="434"/>
      <x:c r="G69" s="432"/>
      <x:c r="H69" s="434"/>
      <x:c r="I69" s="659"/>
      <x:c r="J69" s="434"/>
      <x:c r="K69" s="434"/>
      <x:c r="L69" s="434"/>
      <x:c r="M69" s="434"/>
    </x:row>
    <x:row r="70" spans="1:16" ht="15" customHeight="1" s="434" customFormat="1" x14ac:dyDescent="0.25">
      <x:c r="A70" s="487"/>
      <x:c r="B70" s="487"/>
      <x:c r="C70" s="462"/>
      <x:c r="D70" s="492"/>
      <x:c r="E70" s="490"/>
      <x:c r="F70" s="490"/>
      <x:c r="G70" s="491"/>
      <x:c r="H70" s="490"/>
      <x:c r="I70" s="653"/>
      <x:c r="J70" s="433"/>
      <x:c r="K70" s="468"/>
      <x:c r="L70" s="469"/>
      <x:c r="M70" s="433"/>
      <x:c r="N70" s="470"/>
    </x:row>
    <x:row r="71" spans="1:16" ht="15.6" customHeight="1" x14ac:dyDescent="0.3">
      <x:c r="A71" s="486"/>
      <x:c r="B71" s="462"/>
      <x:c r="C71" s="488"/>
      <x:c r="D71" s="489"/>
      <x:c r="E71" s="490"/>
      <x:c r="F71" s="490"/>
      <x:c r="G71" s="491"/>
      <x:c r="H71" s="490"/>
      <x:c r="I71" s="653"/>
      <x:c r="J71" s="433"/>
      <x:c r="K71" s="468"/>
      <x:c r="L71" s="469"/>
      <x:c r="M71" s="433"/>
    </x:row>
    <x:row r="72" spans="1:16" ht="16.2" customHeight="1" x14ac:dyDescent="0.35">
      <x:c r="A72" s="493" t="s">
        <x:v>43</x:v>
      </x:c>
      <x:c r="B72" s="493"/>
      <x:c r="C72" s="493"/>
      <x:c r="D72" s="493"/>
      <x:c r="E72" s="493"/>
      <x:c r="F72" s="493"/>
      <x:c r="G72" s="494">
        <x:f>SUM(G66:G71)</x:f>
      </x:c>
      <x:c r="I72" s="660"/>
      <x:c r="J72" s="494">
        <x:f>SUM(J66:J71)</x:f>
      </x:c>
      <x:c r="L72" s="495"/>
      <x:c r="M72" s="496">
        <x:f>SUM(M66:M71)</x:f>
      </x:c>
    </x:row>
    <x:row r="73" spans="1:16" x14ac:dyDescent="0.25">
      <x:c r="A73" s="497"/>
      <x:c r="E73" s="497"/>
      <x:c r="F73" s="497"/>
      <x:c r="G73" s="435"/>
      <x:c r="I73" s="660"/>
    </x:row>
    <x:row r="75" spans="1:16" x14ac:dyDescent="0.25">
      <x:c r="J75" s="435"/>
    </x:row>
    <x:row r="76" spans="1:16" x14ac:dyDescent="0.25">
      <x:c r="J76" s="435"/>
    </x:row>
    <x:row r="77" spans="1:16" x14ac:dyDescent="0.25">
      <x:c r="J77" s="435">
        <x:f>(J46+J72)*2%</x:f>
      </x:c>
      <x:c r="M77" s="565">
        <x:f>M72/12</x:f>
      </x:c>
      <x:c r="N77" s="431" t="s">
        <x:v>1199</x:v>
      </x:c>
    </x:row>
    <x:row r="78" spans="1:16" x14ac:dyDescent="0.25">
      <x:c r="J78" s="565">
        <x:f>J77/12</x:f>
      </x:c>
      <x:c r="K78" s="429" t="s">
        <x:v>655</x:v>
      </x:c>
      <x:c r="M78" s="565">
        <x:f>M72/24</x:f>
      </x:c>
      <x:c r="N78" s="431" t="s">
        <x:v>1199</x:v>
      </x:c>
    </x:row>
    <x:row r="79" spans="1:16" x14ac:dyDescent="0.25">
      <x:c r="J79" s="565">
        <x:f>J77/24</x:f>
      </x:c>
      <x:c r="K79" s="429" t="s">
        <x:v>655</x:v>
      </x:c>
    </x:row>
  </x:sheetData>
  <x:sortState xmlns:xlrd2="http://schemas.microsoft.com/office/spreadsheetml/2017/richdata2" ref="A8:O33">
    <x:sortCondition ref="D8:D33"/>
  </x:sortState>
  <x:mergeCells count="2">
    <x:mergeCell ref="A3:F3"/>
    <x:mergeCell ref="A46:F46"/>
  </x:mergeCells>
  <x:printOptions horizontalCentered="0" verticalCentered="0" headings="0" gridLines="0"/>
  <x:pageMargins left="0.3937007874015748" right="0" top="0.5905511811023623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4248C61-18E6-45CD-B79B-7F2322690F3E}" mc:Ignorable="x14ac xr xr2 xr3">
  <x:sheetPr>
    <x:outlinePr summaryBelow="1" summaryRight="1"/>
  </x:sheetPr>
  <x:dimension ref="A1:O68"/>
  <x:sheetViews>
    <x:sheetView topLeftCell="D48" workbookViewId="0">
      <x:selection activeCell="B37" sqref="B37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1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1370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551" t="s">
        <x:v>136</x:v>
      </x:c>
      <x:c r="B8" s="552" t="s">
        <x:v>26</x:v>
      </x:c>
      <x:c r="C8" s="644" t="s">
        <x:v>1371</x:v>
      </x:c>
      <x:c r="D8" s="553">
        <x:v>45966</x:v>
      </x:c>
      <x:c r="E8" s="554">
        <x:v>313.2</x:v>
      </x:c>
      <x:c r="F8" s="554">
        <x:v>78.3</x:v>
      </x:c>
      <x:c r="G8" s="504">
        <x:v>255.46</x:v>
      </x:c>
      <x:c r="H8" s="554">
        <x:v>35.24</x:v>
      </x:c>
      <x:c r="I8" s="553">
        <x:v>45967</x:v>
      </x:c>
      <x:c r="J8" s="433">
        <x:f>+E8-F8</x:f>
      </x:c>
      <x:c r="K8" s="468">
        <x:f>+I8-D8</x:f>
      </x:c>
      <x:c r="L8" s="503">
        <x:v>0.04</x:v>
      </x:c>
      <x:c r="M8" s="504">
        <x:f>+J8*L8</x:f>
      </x:c>
      <x:c r="O8" s="432"/>
    </x:row>
    <x:row r="9" spans="1:16" ht="15" customHeight="1" x14ac:dyDescent="0.25">
      <x:c r="A9" s="551" t="s">
        <x:v>114</x:v>
      </x:c>
      <x:c r="B9" s="551" t="s">
        <x:v>26</x:v>
      </x:c>
      <x:c r="C9" s="644" t="s">
        <x:v>1372</x:v>
      </x:c>
      <x:c r="D9" s="553">
        <x:v>45971</x:v>
      </x:c>
      <x:c r="E9" s="504">
        <x:f>51.61+9.11</x:f>
      </x:c>
      <x:c r="F9" s="504">
        <x:v>9.11</x:v>
      </x:c>
      <x:c r="G9" s="551">
        <x:v>56.13</x:v>
      </x:c>
      <x:c r="H9" s="504">
        <x:v>7.74</x:v>
      </x:c>
      <x:c r="I9" s="553">
        <x:v>45972</x:v>
      </x:c>
      <x:c r="J9" s="433">
        <x:f>+E9-F9</x:f>
      </x:c>
      <x:c r="K9" s="468">
        <x:f>+I9-D9</x:f>
      </x:c>
      <x:c r="L9" s="503">
        <x:v>0.04</x:v>
      </x:c>
      <x:c r="M9" s="504">
        <x:f>+J9*L9</x:f>
      </x:c>
      <x:c r="O9" s="432"/>
    </x:row>
    <x:row r="10" spans="1:16" ht="15" customHeight="1" x14ac:dyDescent="0.25">
      <x:c r="A10" s="551" t="s">
        <x:v>114</x:v>
      </x:c>
      <x:c r="B10" s="551" t="s">
        <x:v>26</x:v>
      </x:c>
      <x:c r="C10" s="644" t="s">
        <x:v>1373</x:v>
      </x:c>
      <x:c r="D10" s="553">
        <x:v>45971</x:v>
      </x:c>
      <x:c r="E10" s="504">
        <x:f>42.64+7.52</x:f>
      </x:c>
      <x:c r="F10" s="504">
        <x:v>7.52</x:v>
      </x:c>
      <x:c r="G10" s="551">
        <x:v>46.37</x:v>
      </x:c>
      <x:c r="H10" s="504">
        <x:v>6.4</x:v>
      </x:c>
      <x:c r="I10" s="553">
        <x:v>45972</x:v>
      </x:c>
      <x:c r="J10" s="433">
        <x:f>+E10-F10</x:f>
      </x:c>
      <x:c r="K10" s="468">
        <x:f>+I10-D10</x:f>
      </x:c>
      <x:c r="L10" s="503">
        <x:v>0.04</x:v>
      </x:c>
      <x:c r="M10" s="504">
        <x:f>+J10*L10</x:f>
      </x:c>
      <x:c r="O10" s="432"/>
    </x:row>
    <x:row r="11" spans="1:16" ht="15" customHeight="1" x14ac:dyDescent="0.25">
      <x:c r="A11" s="551" t="s">
        <x:v>697</x:v>
      </x:c>
      <x:c r="B11" s="524" t="s">
        <x:v>53</x:v>
      </x:c>
      <x:c r="C11" s="644" t="s">
        <x:v>1374</x:v>
      </x:c>
      <x:c r="D11" s="553">
        <x:v>45968</x:v>
      </x:c>
      <x:c r="E11" s="504">
        <x:f>322.2+107.4</x:f>
      </x:c>
      <x:c r="F11" s="504">
        <x:v>107.4</x:v>
      </x:c>
      <x:c r="G11" s="551">
        <x:v>350.29</x:v>
      </x:c>
      <x:c r="H11" s="504">
        <x:v>48.33</x:v>
      </x:c>
      <x:c r="I11" s="553">
        <x:v>45973</x:v>
      </x:c>
      <x:c r="J11" s="433">
        <x:f>+E11-F11</x:f>
      </x:c>
      <x:c r="K11" s="468">
        <x:f>+I11-D11</x:f>
      </x:c>
      <x:c r="L11" s="503">
        <x:v>0.04</x:v>
      </x:c>
      <x:c r="M11" s="504">
        <x:f>+J11*L11</x:f>
      </x:c>
      <x:c r="O11" s="432"/>
    </x:row>
    <x:row r="12" spans="1:16" ht="15" customHeight="1" x14ac:dyDescent="0.25">
      <x:c r="A12" s="551" t="s">
        <x:v>697</x:v>
      </x:c>
      <x:c r="B12" s="650" t="s">
        <x:v>53</x:v>
      </x:c>
      <x:c r="C12" s="644" t="s">
        <x:v>1375</x:v>
      </x:c>
      <x:c r="D12" s="553">
        <x:v>45958</x:v>
      </x:c>
      <x:c r="E12" s="528">
        <x:f>612+204</x:f>
      </x:c>
      <x:c r="F12" s="528">
        <x:v>204</x:v>
      </x:c>
      <x:c r="G12" s="551">
        <x:v>665.55</x:v>
      </x:c>
      <x:c r="H12" s="528">
        <x:v>91.8</x:v>
      </x:c>
      <x:c r="I12" s="553">
        <x:v>45973</x:v>
      </x:c>
      <x:c r="J12" s="433">
        <x:f>+E12-F12</x:f>
      </x:c>
      <x:c r="K12" s="468">
        <x:f>+I12-D12</x:f>
      </x:c>
      <x:c r="L12" s="503">
        <x:v>0.035</x:v>
      </x:c>
      <x:c r="M12" s="504">
        <x:f>+J12*L12</x:f>
      </x:c>
      <x:c r="O12" s="432"/>
    </x:row>
    <x:row r="13" spans="1:16" ht="15" customHeight="1" x14ac:dyDescent="0.25">
      <x:c r="A13" s="551" t="s">
        <x:v>25</x:v>
      </x:c>
      <x:c r="B13" s="551" t="s">
        <x:v>26</x:v>
      </x:c>
      <x:c r="C13" s="644" t="s">
        <x:v>1376</x:v>
      </x:c>
      <x:c r="D13" s="553">
        <x:v>45946</x:v>
      </x:c>
      <x:c r="E13" s="504">
        <x:f>367.2+91.8</x:f>
      </x:c>
      <x:c r="F13" s="504">
        <x:v>91.8</x:v>
      </x:c>
      <x:c r="G13" s="551">
        <x:v>399.33</x:v>
      </x:c>
      <x:c r="H13" s="504">
        <x:v>55.08</x:v>
      </x:c>
      <x:c r="I13" s="553">
        <x:v>45972</x:v>
      </x:c>
      <x:c r="J13" s="433">
        <x:f>+E13-F13</x:f>
      </x:c>
      <x:c r="K13" s="468">
        <x:f>+I13-D13</x:f>
      </x:c>
      <x:c r="L13" s="503">
        <x:v>0.035</x:v>
      </x:c>
      <x:c r="M13" s="504">
        <x:f>+J13*L13</x:f>
      </x:c>
      <x:c r="O13" s="432"/>
    </x:row>
    <x:row r="14" spans="1:16" ht="15" customHeight="1" x14ac:dyDescent="0.25">
      <x:c r="A14" s="551" t="s">
        <x:v>25</x:v>
      </x:c>
      <x:c r="B14" s="524" t="s">
        <x:v>26</x:v>
      </x:c>
      <x:c r="C14" s="644" t="s">
        <x:v>1377</x:v>
      </x:c>
      <x:c r="D14" s="553">
        <x:v>45933</x:v>
      </x:c>
      <x:c r="E14" s="554">
        <x:f>408+102</x:f>
      </x:c>
      <x:c r="F14" s="554">
        <x:v>102</x:v>
      </x:c>
      <x:c r="G14" s="504">
        <x:v>443.7</x:v>
      </x:c>
      <x:c r="H14" s="555">
        <x:v>61.2</x:v>
      </x:c>
      <x:c r="I14" s="553">
        <x:v>45968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551" t="s">
        <x:v>52</x:v>
      </x:c>
      <x:c r="B15" s="552" t="s">
        <x:v>53</x:v>
      </x:c>
      <x:c r="C15" s="644" t="s">
        <x:v>1378</x:v>
      </x:c>
      <x:c r="D15" s="553">
        <x:v>45932</x:v>
      </x:c>
      <x:c r="E15" s="554">
        <x:f>839.66+279.89</x:f>
      </x:c>
      <x:c r="F15" s="554">
        <x:v>279.89</x:v>
      </x:c>
      <x:c r="G15" s="504">
        <x:v>913.14</x:v>
      </x:c>
      <x:c r="H15" s="554">
        <x:v>125.95</x:v>
      </x:c>
      <x:c r="I15" s="553">
        <x:v>45968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551" t="s">
        <x:v>690</x:v>
      </x:c>
      <x:c r="B16" s="524" t="s">
        <x:v>105</x:v>
      </x:c>
      <x:c r="C16" s="644" t="s">
        <x:v>1379</x:v>
      </x:c>
      <x:c r="D16" s="553">
        <x:v>45929</x:v>
      </x:c>
      <x:c r="E16" s="531">
        <x:v>118.8</x:v>
      </x:c>
      <x:c r="F16" s="554">
        <x:v>17.82</x:v>
      </x:c>
      <x:c r="G16" s="504">
        <x:v>116.13</x:v>
      </x:c>
      <x:c r="H16" s="554">
        <x:v>15.15</x:v>
      </x:c>
      <x:c r="I16" s="553">
        <x:v>45966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551" t="s">
        <x:v>339</x:v>
      </x:c>
      <x:c r="B17" s="524" t="s">
        <x:v>333</x:v>
      </x:c>
      <x:c r="C17" s="644" t="s">
        <x:v>1380</x:v>
      </x:c>
      <x:c r="D17" s="553">
        <x:v>45930</x:v>
      </x:c>
      <x:c r="E17" s="531">
        <x:v>85</x:v>
      </x:c>
      <x:c r="F17" s="554">
        <x:v>12.75</x:v>
      </x:c>
      <x:c r="G17" s="504">
        <x:v>83.09</x:v>
      </x:c>
      <x:c r="H17" s="555">
        <x:v>10.84</x:v>
      </x:c>
      <x:c r="I17" s="553">
        <x:v>45968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551" t="s">
        <x:v>25</x:v>
      </x:c>
      <x:c r="B18" s="524" t="s">
        <x:v>26</x:v>
      </x:c>
      <x:c r="C18" s="644" t="s">
        <x:v>1381</x:v>
      </x:c>
      <x:c r="D18" s="553">
        <x:v>45924</x:v>
      </x:c>
      <x:c r="E18" s="531">
        <x:v>561</x:v>
      </x:c>
      <x:c r="F18" s="554">
        <x:v>112.2</x:v>
      </x:c>
      <x:c r="G18" s="504">
        <x:v>488.07</x:v>
      </x:c>
      <x:c r="H18" s="554">
        <x:v>67.32</x:v>
      </x:c>
      <x:c r="I18" s="553">
        <x:v>45968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551" t="s">
        <x:v>335</x:v>
      </x:c>
      <x:c r="B19" s="524" t="s">
        <x:v>336</x:v>
      </x:c>
      <x:c r="C19" s="644" t="s">
        <x:v>1382</x:v>
      </x:c>
      <x:c r="D19" s="553">
        <x:v>45908</x:v>
      </x:c>
      <x:c r="E19" s="531">
        <x:v>643.56</x:v>
      </x:c>
      <x:c r="F19" s="554">
        <x:v>109.4052</x:v>
      </x:c>
      <x:c r="G19" s="504">
        <x:v>529.34</x:v>
      </x:c>
      <x:c r="H19" s="554">
        <x:v>80.12</x:v>
      </x:c>
      <x:c r="I19" s="553">
        <x:v>45966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551" t="s">
        <x:v>114</x:v>
      </x:c>
      <x:c r="B20" s="524" t="s">
        <x:v>26</x:v>
      </x:c>
      <x:c r="C20" s="644" t="s">
        <x:v>1383</x:v>
      </x:c>
      <x:c r="D20" s="553">
        <x:v>45877</x:v>
      </x:c>
      <x:c r="E20" s="531">
        <x:v>891.24</x:v>
      </x:c>
      <x:c r="F20" s="531">
        <x:v>178.25</x:v>
      </x:c>
      <x:c r="G20" s="504">
        <x:v>775.37</x:v>
      </x:c>
      <x:c r="H20" s="527">
        <x:v>106.95</x:v>
      </x:c>
      <x:c r="I20" s="553">
        <x:v>45968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551" t="s">
        <x:v>1261</x:v>
      </x:c>
      <x:c r="B21" s="524" t="s">
        <x:v>80</x:v>
      </x:c>
      <x:c r="C21" s="644" t="s">
        <x:v>1326</x:v>
      </x:c>
      <x:c r="D21" s="553">
        <x:v>45754</x:v>
      </x:c>
      <x:c r="E21" s="527">
        <x:f>2604.6+868.2</x:f>
      </x:c>
      <x:c r="F21" s="527">
        <x:v>868.2</x:v>
      </x:c>
      <x:c r="G21" s="504">
        <x:v>750</x:v>
      </x:c>
      <x:c r="H21" s="527">
        <x:v>390.69</x:v>
      </x:c>
      <x:c r="I21" s="553">
        <x:v>45966</x:v>
      </x:c>
      <x:c r="J21" s="433">
        <x:f>750/1.15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551" t="s">
        <x:v>127</x:v>
      </x:c>
      <x:c r="C22" s="644" t="s">
        <x:v>1384</x:v>
      </x:c>
      <x:c r="D22" s="553">
        <x:v>45975</x:v>
      </x:c>
      <x:c r="E22" s="527">
        <x:f>25.08</x:f>
      </x:c>
      <x:c r="F22" s="527">
        <x:v>0</x:v>
      </x:c>
      <x:c r="G22" s="551">
        <x:v>27.27</x:v>
      </x:c>
      <x:c r="H22" s="527">
        <x:v>3.76</x:v>
      </x:c>
      <x:c r="I22" s="553">
        <x:v>45975</x:v>
      </x:c>
      <x:c r="J22" s="433">
        <x:f>+E22-F22</x:f>
      </x:c>
      <x:c r="K22" s="468">
        <x:f>+I22-D22</x:f>
      </x:c>
      <x:c r="L22" s="503">
        <x:v>0.04</x:v>
      </x:c>
      <x:c r="M22" s="504">
        <x:f>+J22*L22</x:f>
      </x:c>
      <x:c r="O22" s="432"/>
    </x:row>
    <x:row r="23" spans="1:16" ht="15" customHeight="1" x14ac:dyDescent="0.25">
      <x:c r="A23" s="606"/>
      <x:c r="B23" s="573"/>
      <x:c r="C23" s="611"/>
      <x:c r="D23" s="631"/>
      <x:c r="E23" s="502"/>
      <x:c r="F23" s="502"/>
      <x:c r="G23" s="502"/>
      <x:c r="H23" s="569"/>
      <x:c r="I23" s="652"/>
      <x:c r="J23" s="433"/>
      <x:c r="K23" s="468"/>
      <x:c r="L23" s="503"/>
      <x:c r="M23" s="504"/>
      <x:c r="O23" s="432"/>
    </x:row>
    <x:row r="24" spans="1:16" ht="15" customHeight="1" x14ac:dyDescent="0.25">
      <x:c r="A24" s="606"/>
      <x:c r="B24" s="573"/>
      <x:c r="C24" s="606"/>
      <x:c r="D24" s="629"/>
      <x:c r="E24" s="569"/>
      <x:c r="F24" s="569"/>
      <x:c r="G24" s="466"/>
      <x:c r="H24" s="569"/>
      <x:c r="I24" s="652"/>
      <x:c r="J24" s="433"/>
      <x:c r="K24" s="468"/>
      <x:c r="L24" s="503"/>
      <x:c r="M24" s="504"/>
      <x:c r="O24" s="432"/>
    </x:row>
    <x:row r="25" spans="1:16" ht="15" customHeight="1" x14ac:dyDescent="0.3">
      <x:c r="G25" s="516">
        <x:f>SUM(G8:G24)</x:f>
      </x:c>
      <x:c r="J25" s="516">
        <x:f>SUM(J8:J24)</x:f>
      </x:c>
      <x:c r="M25" s="516">
        <x:f>SUM(M8:M24)</x:f>
      </x:c>
      <x:c r="O25" s="432"/>
    </x:row>
    <x:row r="26" spans="1:16" ht="15" customHeight="1" x14ac:dyDescent="0.25">
      <x:c r="G26" s="435"/>
      <x:c r="H26" s="435"/>
      <x:c r="O26" s="432"/>
    </x:row>
    <x:row r="27" spans="1:16" ht="15" customHeight="1" x14ac:dyDescent="0.25">
      <x:c r="A27" s="517" t="s">
        <x:v>30</x:v>
      </x:c>
      <x:c r="B27" s="518" t="s">
        <x:v>31</x:v>
      </x:c>
      <x:c r="C27" s="518" t="s">
        <x:v>32</x:v>
      </x:c>
      <x:c r="J27" s="435"/>
      <x:c r="O27" s="432"/>
    </x:row>
    <x:row r="28" spans="1:16" s="434" customFormat="1" x14ac:dyDescent="0.25">
      <x:c r="A28" s="551" t="s">
        <x:v>70</x:v>
      </x:c>
      <x:c r="B28" s="551" t="s">
        <x:v>1385</x:v>
      </x:c>
      <x:c r="C28" s="644" t="s">
        <x:v>1386</x:v>
      </x:c>
      <x:c r="D28" s="553">
        <x:v>45967</x:v>
      </x:c>
      <x:c r="E28" s="551">
        <x:f>138.92+34.73</x:f>
      </x:c>
      <x:c r="F28" s="551">
        <x:v>34.73</x:v>
      </x:c>
      <x:c r="G28" s="504">
        <x:v>152.12</x:v>
      </x:c>
      <x:c r="H28" s="551">
        <x:v>20.84</x:v>
      </x:c>
      <x:c r="I28" s="553">
        <x:v>45997</x:v>
      </x:c>
      <x:c r="J28" s="433">
        <x:f>+E28-F28</x:f>
      </x:c>
      <x:c r="K28" s="468">
        <x:f>+I28-D28</x:f>
      </x:c>
      <x:c r="L28" s="469">
        <x:v>0.03</x:v>
      </x:c>
      <x:c r="M28" s="433">
        <x:f>+J28*L28</x:f>
      </x:c>
      <x:c r="N28" s="470"/>
      <x:c r="O28" s="432"/>
    </x:row>
    <x:row r="29" spans="1:16" s="434" customFormat="1" x14ac:dyDescent="0.25">
      <x:c r="A29" s="551" t="s">
        <x:v>70</x:v>
      </x:c>
      <x:c r="B29" s="551" t="s">
        <x:v>1387</x:v>
      </x:c>
      <x:c r="C29" s="644" t="s">
        <x:v>1388</x:v>
      </x:c>
      <x:c r="D29" s="553">
        <x:v>45971</x:v>
      </x:c>
      <x:c r="E29" s="504">
        <x:f>242.88+60.72</x:f>
      </x:c>
      <x:c r="F29" s="551">
        <x:v>60.72</x:v>
      </x:c>
      <x:c r="G29" s="504">
        <x:v>265.96</x:v>
      </x:c>
      <x:c r="H29" s="551">
        <x:v>36.43</x:v>
      </x:c>
      <x:c r="I29" s="553">
        <x:v>46001</x:v>
      </x:c>
      <x:c r="J29" s="433">
        <x:f>+E29-F29</x:f>
      </x:c>
      <x:c r="K29" s="468">
        <x:f>+I29-D29</x:f>
      </x:c>
      <x:c r="L29" s="469">
        <x:v>0.03</x:v>
      </x:c>
      <x:c r="M29" s="433">
        <x:f>+J29*L29</x:f>
      </x:c>
      <x:c r="N29" s="470"/>
      <x:c r="O29" s="432"/>
    </x:row>
    <x:row r="30" spans="1:16" s="434" customFormat="1" x14ac:dyDescent="0.25">
      <x:c r="A30" s="551" t="s">
        <x:v>118</x:v>
      </x:c>
      <x:c r="B30" s="551" t="s">
        <x:v>1389</x:v>
      </x:c>
      <x:c r="C30" s="644" t="s">
        <x:v>1390</x:v>
      </x:c>
      <x:c r="D30" s="553">
        <x:v>45954</x:v>
      </x:c>
      <x:c r="E30" s="504">
        <x:f>318.24+89.76</x:f>
      </x:c>
      <x:c r="F30" s="504">
        <x:v>89.76</x:v>
      </x:c>
      <x:c r="G30" s="504">
        <x:v>346.09</x:v>
      </x:c>
      <x:c r="H30" s="504">
        <x:v>47.74</x:v>
      </x:c>
      <x:c r="I30" s="553">
        <x:v>45985</x:v>
      </x:c>
      <x:c r="J30" s="433">
        <x:f>+E30-F30</x:f>
      </x:c>
      <x:c r="K30" s="468">
        <x:f>+I30-D30</x:f>
      </x:c>
      <x:c r="L30" s="469">
        <x:v>0.03</x:v>
      </x:c>
      <x:c r="M30" s="433">
        <x:f>+J30*L30</x:f>
      </x:c>
      <x:c r="N30" s="470"/>
      <x:c r="O30" s="432"/>
    </x:row>
    <x:row r="31" spans="1:16" s="434" customFormat="1" x14ac:dyDescent="0.25">
      <x:c r="A31" s="551" t="s">
        <x:v>70</x:v>
      </x:c>
      <x:c r="B31" s="551" t="s">
        <x:v>1391</x:v>
      </x:c>
      <x:c r="C31" s="644" t="s">
        <x:v>1392</x:v>
      </x:c>
      <x:c r="D31" s="553">
        <x:v>45973</x:v>
      </x:c>
      <x:c r="E31" s="504">
        <x:f>395.71+98.93</x:f>
      </x:c>
      <x:c r="F31" s="504">
        <x:v>98.93</x:v>
      </x:c>
      <x:c r="G31" s="504">
        <x:v>430.34</x:v>
      </x:c>
      <x:c r="H31" s="504">
        <x:v>59.36</x:v>
      </x:c>
      <x:c r="I31" s="553">
        <x:v>46003</x:v>
      </x:c>
      <x:c r="J31" s="433">
        <x:f>+E31-F31</x:f>
      </x:c>
      <x:c r="K31" s="468">
        <x:f>+I31-D31</x:f>
      </x:c>
      <x:c r="L31" s="469">
        <x:v>0.03</x:v>
      </x:c>
      <x:c r="M31" s="433">
        <x:f>+J31*L31</x:f>
      </x:c>
      <x:c r="N31" s="470"/>
      <x:c r="O31" s="432"/>
    </x:row>
    <x:row r="32" spans="1:16" s="434" customFormat="1" x14ac:dyDescent="0.25">
      <x:c r="A32" s="551" t="s">
        <x:v>482</x:v>
      </x:c>
      <x:c r="B32" s="551" t="s">
        <x:v>1393</x:v>
      </x:c>
      <x:c r="C32" s="644" t="s">
        <x:v>1394</x:v>
      </x:c>
      <x:c r="D32" s="553">
        <x:v>45915</x:v>
      </x:c>
      <x:c r="E32" s="504">
        <x:f>334.66+68.54</x:f>
      </x:c>
      <x:c r="F32" s="504">
        <x:v>68.54</x:v>
      </x:c>
      <x:c r="G32" s="504">
        <x:v>384.86</x:v>
      </x:c>
      <x:c r="H32" s="504">
        <x:v>50.2</x:v>
      </x:c>
      <x:c r="I32" s="553">
        <x:v>45987</x:v>
      </x:c>
      <x:c r="J32" s="433">
        <x:f>+E32-F32</x:f>
      </x:c>
      <x:c r="K32" s="468">
        <x:f>+I32-D32</x:f>
      </x:c>
      <x:c r="L32" s="469">
        <x:v>0.03</x:v>
      </x:c>
      <x:c r="M32" s="433">
        <x:f>+J32*L32</x:f>
      </x:c>
      <x:c r="N32" s="633"/>
      <x:c r="O32" s="432"/>
    </x:row>
    <x:row r="33" spans="1:16" s="434" customFormat="1" x14ac:dyDescent="0.25">
      <x:c r="A33" s="551" t="s">
        <x:v>477</x:v>
      </x:c>
      <x:c r="B33" s="551" t="s">
        <x:v>1395</x:v>
      </x:c>
      <x:c r="C33" s="644" t="s">
        <x:v>1396</x:v>
      </x:c>
      <x:c r="D33" s="553">
        <x:v>45915</x:v>
      </x:c>
      <x:c r="E33" s="504">
        <x:f>175.3+35.9</x:f>
      </x:c>
      <x:c r="F33" s="504">
        <x:v>35.9</x:v>
      </x:c>
      <x:c r="G33" s="504">
        <x:v>190.63</x:v>
      </x:c>
      <x:c r="H33" s="504">
        <x:v>26.29</x:v>
      </x:c>
      <x:c r="I33" s="553">
        <x:v>45991</x:v>
      </x:c>
      <x:c r="J33" s="433">
        <x:f>+E33-F33</x:f>
      </x:c>
      <x:c r="K33" s="468">
        <x:f>+I33-D33</x:f>
      </x:c>
      <x:c r="L33" s="469">
        <x:v>0.03</x:v>
      </x:c>
      <x:c r="M33" s="433">
        <x:f>+J33*L33</x:f>
      </x:c>
      <x:c r="N33" s="470"/>
      <x:c r="O33" s="432"/>
    </x:row>
    <x:row r="34" spans="1:16" ht="15.6" customHeight="1" s="434" customFormat="1" x14ac:dyDescent="0.3">
      <x:c r="A34" s="487"/>
      <x:c r="B34" s="462"/>
      <x:c r="C34" s="487"/>
      <x:c r="D34" s="492"/>
      <x:c r="E34" s="490"/>
      <x:c r="F34" s="490"/>
      <x:c r="G34" s="491"/>
      <x:c r="H34" s="490"/>
      <x:c r="I34" s="653"/>
      <x:c r="J34" s="433"/>
      <x:c r="K34" s="468"/>
      <x:c r="L34" s="469"/>
      <x:c r="M34" s="433"/>
      <x:c r="N34" s="470"/>
      <x:c r="O34" s="432"/>
    </x:row>
    <x:row r="35" spans="1:16" ht="15" customHeight="1" x14ac:dyDescent="0.35">
      <x:c r="A35" s="493" t="s">
        <x:v>43</x:v>
      </x:c>
      <x:c r="B35" s="493"/>
      <x:c r="C35" s="493"/>
      <x:c r="D35" s="493"/>
      <x:c r="E35" s="493"/>
      <x:c r="F35" s="493"/>
      <x:c r="G35" s="516">
        <x:f>SUM(G25:G34)</x:f>
      </x:c>
      <x:c r="J35" s="516">
        <x:f>SUM(J25:J34)</x:f>
      </x:c>
      <x:c r="L35" s="495"/>
      <x:c r="M35" s="564">
        <x:f>SUM(M25:M34)</x:f>
      </x:c>
    </x:row>
    <x:row r="36" spans="1:16" ht="15" customHeight="1" x14ac:dyDescent="0.3">
      <x:c r="A36" s="520"/>
      <x:c r="G36" s="435"/>
    </x:row>
    <x:row r="37" spans="1:16" ht="15" customHeight="1" x14ac:dyDescent="0.3">
      <x:c r="A37" s="520"/>
      <x:c r="G37" s="435"/>
    </x:row>
    <x:row r="38" spans="1:16" ht="15" customHeight="1" x14ac:dyDescent="0.3">
      <x:c r="A38" s="520"/>
      <x:c r="G38" s="435"/>
    </x:row>
    <x:row r="39" spans="1:16" ht="15" customHeight="1" x14ac:dyDescent="0.3">
      <x:c r="A39" s="499"/>
      <x:c r="G39" s="435"/>
      <x:c r="J39" s="435"/>
    </x:row>
    <x:row r="40" spans="1:16" ht="15" customHeight="1" x14ac:dyDescent="0.3">
      <x:c r="A40" s="499"/>
      <x:c r="G40" s="435"/>
      <x:c r="J40" s="435"/>
      <x:c r="M40" s="565">
        <x:f>M35/12</x:f>
      </x:c>
      <x:c r="N40" s="431" t="s">
        <x:v>1180</x:v>
      </x:c>
    </x:row>
    <x:row r="41" spans="1:16" ht="15" customHeight="1" x14ac:dyDescent="0.3">
      <x:c r="A41" s="499"/>
      <x:c r="G41" s="435"/>
      <x:c r="J41" s="435"/>
      <x:c r="M41" s="565">
        <x:f>M35/24</x:f>
      </x:c>
      <x:c r="N41" s="431" t="s">
        <x:v>1180</x:v>
      </x:c>
    </x:row>
    <x:row r="42" spans="1:16" ht="15" customHeight="1" x14ac:dyDescent="0.25">
      <x:c r="A42" s="436" t="s">
        <x:v>0</x:v>
      </x:c>
      <x:c r="B42" s="436"/>
      <x:c r="C42" s="436"/>
      <x:c r="D42" s="436"/>
      <x:c r="E42" s="436"/>
      <x:c r="F42" s="436"/>
      <x:c r="G42" s="437"/>
      <x:c r="H42" s="438"/>
      <x:c r="I42" s="654"/>
      <x:c r="J42" s="440"/>
      <x:c r="K42" s="441"/>
      <x:c r="L42" s="442"/>
      <x:c r="M42" s="443"/>
    </x:row>
    <x:row r="43" spans="1:16" ht="15" customHeight="1" x14ac:dyDescent="0.25">
      <x:c r="A43" s="436" t="s">
        <x:v>1</x:v>
      </x:c>
      <x:c r="B43" s="436"/>
      <x:c r="C43" s="436"/>
      <x:c r="D43" s="436"/>
      <x:c r="E43" s="436"/>
      <x:c r="F43" s="436"/>
      <x:c r="G43" s="437"/>
      <x:c r="H43" s="438"/>
      <x:c r="I43" s="654"/>
      <x:c r="J43" s="441"/>
      <x:c r="K43" s="441"/>
      <x:c r="L43" s="442"/>
      <x:c r="M43" s="443"/>
    </x:row>
    <x:row r="44" spans="1:16" ht="15" customHeight="1" x14ac:dyDescent="0.25">
      <x:c r="A44" s="436"/>
      <x:c r="B44" s="436" t="s">
        <x:v>1370</x:v>
      </x:c>
      <x:c r="C44" s="436"/>
      <x:c r="D44" s="445"/>
      <x:c r="E44" s="436"/>
      <x:c r="F44" s="436"/>
      <x:c r="G44" s="437"/>
      <x:c r="H44" s="438"/>
      <x:c r="I44" s="654"/>
      <x:c r="J44" s="441"/>
      <x:c r="K44" s="441"/>
      <x:c r="L44" s="442"/>
      <x:c r="M44" s="443"/>
    </x:row>
    <x:row r="45" spans="1:16" ht="15" customHeight="1" x14ac:dyDescent="0.3">
      <x:c r="A45" s="436"/>
      <x:c r="B45" s="436" t="s">
        <x:v>1181</x:v>
      </x:c>
      <x:c r="C45" s="436"/>
      <x:c r="D45" s="445"/>
      <x:c r="E45" s="436"/>
      <x:c r="F45" s="436"/>
      <x:c r="G45" s="443"/>
      <x:c r="H45" s="437"/>
      <x:c r="I45" s="655"/>
      <x:c r="J45" s="441"/>
      <x:c r="K45" s="441"/>
      <x:c r="L45" s="442"/>
      <x:c r="M45" s="443"/>
    </x:row>
    <x:row r="46" spans="1:16" ht="15" customHeight="1" x14ac:dyDescent="0.25">
      <x:c r="A46" s="447" t="s">
        <x:v>4</x:v>
      </x:c>
      <x:c r="B46" s="609"/>
      <x:c r="C46" s="441"/>
      <x:c r="D46" s="439"/>
      <x:c r="E46" s="441"/>
      <x:c r="F46" s="441"/>
      <x:c r="G46" s="448" t="s">
        <x:v>5</x:v>
      </x:c>
      <x:c r="H46" s="441"/>
      <x:c r="I46" s="654"/>
      <x:c r="J46" s="449" t="s">
        <x:v>6</x:v>
      </x:c>
      <x:c r="K46" s="450" t="s">
        <x:v>7</x:v>
      </x:c>
      <x:c r="L46" s="451" t="s">
        <x:v>8</x:v>
      </x:c>
      <x:c r="M46" s="449" t="s">
        <x:v>9</x:v>
      </x:c>
      <x:c r="O46" s="435"/>
    </x:row>
    <x:row r="47" spans="1:16" ht="15" customHeight="1" x14ac:dyDescent="0.3">
      <x:c r="A47" s="452" t="s">
        <x:v>10</x:v>
      </x:c>
      <x:c r="B47" s="452" t="s">
        <x:v>11</x:v>
      </x:c>
      <x:c r="C47" s="452" t="s">
        <x:v>12</x:v>
      </x:c>
      <x:c r="D47" s="453" t="s">
        <x:v>13</x:v>
      </x:c>
      <x:c r="E47" s="452" t="s">
        <x:v>14</x:v>
      </x:c>
      <x:c r="F47" s="454" t="s">
        <x:v>15</x:v>
      </x:c>
      <x:c r="G47" s="455" t="s">
        <x:v>16</x:v>
      </x:c>
      <x:c r="H47" s="456" t="s">
        <x:v>17</x:v>
      </x:c>
      <x:c r="I47" s="656" t="s">
        <x:v>18</x:v>
      </x:c>
      <x:c r="J47" s="458" t="s">
        <x:v>19</x:v>
      </x:c>
      <x:c r="K47" s="459"/>
      <x:c r="L47" s="460" t="s">
        <x:v>20</x:v>
      </x:c>
      <x:c r="M47" s="458" t="s">
        <x:v>21</x:v>
      </x:c>
      <x:c r="O47" s="435"/>
    </x:row>
    <x:row r="48" spans="1:16" ht="15" customHeight="1" x14ac:dyDescent="0.25">
      <x:c r="A48" s="551" t="s">
        <x:v>82</x:v>
      </x:c>
      <x:c r="B48" s="524" t="s">
        <x:v>80</x:v>
      </x:c>
      <x:c r="C48" s="644" t="s">
        <x:v>1397</x:v>
      </x:c>
      <x:c r="D48" s="553">
        <x:v>45889</x:v>
      </x:c>
      <x:c r="E48" s="531">
        <x:f>121.18+21.38</x:f>
      </x:c>
      <x:c r="F48" s="531">
        <x:v>21.38</x:v>
      </x:c>
      <x:c r="G48" s="504">
        <x:v>131.78</x:v>
      </x:c>
      <x:c r="H48" s="527">
        <x:v>18.18</x:v>
      </x:c>
      <x:c r="I48" s="553">
        <x:v>45962</x:v>
      </x:c>
      <x:c r="J48" s="433">
        <x:f>+E48-F48</x:f>
      </x:c>
      <x:c r="K48" s="468">
        <x:f>+I48-D48</x:f>
      </x:c>
      <x:c r="L48" s="469">
        <x:v>0.03</x:v>
      </x:c>
      <x:c r="M48" s="433">
        <x:f>+J48*L48</x:f>
      </x:c>
    </x:row>
    <x:row r="49" spans="1:16" ht="15" customHeight="1" x14ac:dyDescent="0.25">
      <x:c r="A49" s="551" t="s">
        <x:v>1368</x:v>
      </x:c>
      <x:c r="B49" s="552" t="s">
        <x:v>806</x:v>
      </x:c>
      <x:c r="C49" s="644" t="s">
        <x:v>1398</x:v>
      </x:c>
      <x:c r="D49" s="553">
        <x:v>45975</x:v>
      </x:c>
      <x:c r="E49" s="527">
        <x:f>489.33+163.11</x:f>
      </x:c>
      <x:c r="F49" s="527">
        <x:v>163.11</x:v>
      </x:c>
      <x:c r="G49" s="551">
        <x:v>562.73</x:v>
      </x:c>
      <x:c r="H49" s="527">
        <x:v>73.4</x:v>
      </x:c>
      <x:c r="I49" s="553">
        <x:v>45975</x:v>
      </x:c>
      <x:c r="J49" s="433">
        <x:f>+E49-F49</x:f>
      </x:c>
      <x:c r="K49" s="468">
        <x:f>+I49-D49</x:f>
      </x:c>
      <x:c r="L49" s="469">
        <x:v>0.04</x:v>
      </x:c>
      <x:c r="M49" s="433">
        <x:f>+J49*L49</x:f>
      </x:c>
    </x:row>
    <x:row r="50" spans="1:16" ht="15" customHeight="1" x14ac:dyDescent="0.25">
      <x:c r="A50" s="551" t="s">
        <x:v>1184</x:v>
      </x:c>
      <x:c r="B50" s="552" t="s">
        <x:v>1185</x:v>
      </x:c>
      <x:c r="C50" s="644" t="s">
        <x:v>1399</x:v>
      </x:c>
      <x:c r="D50" s="553">
        <x:v>45896</x:v>
      </x:c>
      <x:c r="E50" s="527">
        <x:f>112.65+16.83</x:f>
      </x:c>
      <x:c r="F50" s="527">
        <x:v>16.83</x:v>
      </x:c>
      <x:c r="G50" s="504">
        <x:v>129.55</x:v>
      </x:c>
      <x:c r="H50" s="527">
        <x:v>16.9</x:v>
      </x:c>
      <x:c r="I50" s="553">
        <x:v>45975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</x:row>
    <x:row r="51" spans="1:16" ht="15" customHeight="1" x14ac:dyDescent="0.25">
      <x:c r="A51" s="551" t="s">
        <x:v>1400</x:v>
      </x:c>
      <x:c r="B51" s="552" t="s">
        <x:v>1401</x:v>
      </x:c>
      <x:c r="C51" s="644" t="s">
        <x:v>1402</x:v>
      </x:c>
      <x:c r="D51" s="553">
        <x:v>45902</x:v>
      </x:c>
      <x:c r="E51" s="527">
        <x:f>299.11+44.69</x:f>
      </x:c>
      <x:c r="F51" s="527">
        <x:v>44.69</x:v>
      </x:c>
      <x:c r="G51" s="504">
        <x:v>225</x:v>
      </x:c>
      <x:c r="H51" s="527">
        <x:v>44.87</x:v>
      </x:c>
      <x:c r="I51" s="553">
        <x:v>45974</x:v>
      </x:c>
      <x:c r="J51" s="433">
        <x:f>225/1.15</x:f>
      </x:c>
      <x:c r="K51" s="468">
        <x:f>+I51-D51</x:f>
      </x:c>
      <x:c r="L51" s="469">
        <x:v>0.03</x:v>
      </x:c>
      <x:c r="M51" s="433">
        <x:f>+J51*L51</x:f>
      </x:c>
    </x:row>
    <x:row r="52" spans="1:16" ht="15" customHeight="1" x14ac:dyDescent="0.25">
      <x:c r="A52" s="551"/>
      <x:c r="B52" s="552"/>
      <x:c r="C52" s="644"/>
      <x:c r="D52" s="647"/>
      <x:c r="E52" s="648"/>
      <x:c r="F52" s="648"/>
      <x:c r="G52" s="504"/>
      <x:c r="H52" s="648"/>
      <x:c r="I52" s="646"/>
      <x:c r="J52" s="433"/>
      <x:c r="K52" s="468"/>
      <x:c r="L52" s="469"/>
      <x:c r="M52" s="433"/>
    </x:row>
    <x:row r="53" spans="1:16" ht="15" customHeight="1" x14ac:dyDescent="0.25">
      <x:c r="A53" s="606"/>
      <x:c r="B53" s="573"/>
      <x:c r="C53" s="606"/>
      <x:c r="D53" s="607"/>
      <x:c r="E53" s="569"/>
      <x:c r="F53" s="569"/>
      <x:c r="G53" s="466"/>
      <x:c r="H53" s="569"/>
      <x:c r="I53" s="652"/>
      <x:c r="J53" s="433"/>
      <x:c r="K53" s="468"/>
      <x:c r="L53" s="469"/>
      <x:c r="M53" s="433"/>
    </x:row>
    <x:row r="54" spans="1:16" ht="15" customHeight="1" x14ac:dyDescent="0.3">
      <x:c r="A54" s="471"/>
      <x:c r="B54" s="472"/>
      <x:c r="C54" s="472"/>
      <x:c r="D54" s="473"/>
      <x:c r="E54" s="474"/>
      <x:c r="F54" s="474"/>
      <x:c r="G54" s="475"/>
      <x:c r="H54" s="476"/>
      <x:c r="I54" s="657"/>
      <x:c r="J54" s="433"/>
      <x:c r="K54" s="468"/>
      <x:c r="L54" s="469"/>
      <x:c r="M54" s="433"/>
    </x:row>
    <x:row r="55" spans="1:16" ht="15" customHeight="1" x14ac:dyDescent="0.25">
      <x:c r="A55" s="478"/>
      <x:c r="B55" s="478"/>
      <x:c r="C55" s="478"/>
      <x:c r="D55" s="478"/>
      <x:c r="E55" s="478"/>
      <x:c r="F55" s="478"/>
      <x:c r="G55" s="479">
        <x:f>SUM(G48:G54)</x:f>
      </x:c>
      <x:c r="H55" s="480"/>
      <x:c r="I55" s="658"/>
      <x:c r="J55" s="479">
        <x:f>SUM(J48:J54)</x:f>
      </x:c>
      <x:c r="K55" s="482"/>
      <x:c r="L55" s="482"/>
      <x:c r="M55" s="479">
        <x:f>SUM(M48:M54)</x:f>
      </x:c>
    </x:row>
    <x:row r="56" spans="1:16" ht="15" customHeight="1" x14ac:dyDescent="0.25">
      <x:c r="A56" s="483"/>
      <x:c r="B56" s="483"/>
      <x:c r="C56" s="483"/>
      <x:c r="D56" s="484"/>
      <x:c r="E56" s="483"/>
      <x:c r="F56" s="483"/>
      <x:c r="G56" s="432"/>
      <x:c r="H56" s="434"/>
      <x:c r="I56" s="659"/>
      <x:c r="J56" s="434"/>
      <x:c r="K56" s="434"/>
      <x:c r="L56" s="434"/>
      <x:c r="M56" s="434"/>
    </x:row>
    <x:row r="57" spans="1:16" x14ac:dyDescent="0.25">
      <x:c r="A57" s="483"/>
      <x:c r="B57" s="483"/>
      <x:c r="C57" s="483"/>
      <x:c r="D57" s="484"/>
      <x:c r="E57" s="483"/>
      <x:c r="F57" s="483"/>
      <x:c r="G57" s="432"/>
      <x:c r="H57" s="434"/>
      <x:c r="I57" s="659"/>
      <x:c r="J57" s="432"/>
      <x:c r="K57" s="434"/>
      <x:c r="L57" s="434"/>
      <x:c r="M57" s="432"/>
    </x:row>
    <x:row r="58" spans="1:16" x14ac:dyDescent="0.25">
      <x:c r="A58" s="434" t="s">
        <x:v>30</x:v>
      </x:c>
      <x:c r="B58" s="483" t="s">
        <x:v>31</x:v>
      </x:c>
      <x:c r="C58" s="483" t="s">
        <x:v>32</x:v>
      </x:c>
      <x:c r="D58" s="485"/>
      <x:c r="E58" s="434"/>
      <x:c r="F58" s="434"/>
      <x:c r="G58" s="432"/>
      <x:c r="H58" s="434"/>
      <x:c r="I58" s="659"/>
      <x:c r="J58" s="434"/>
      <x:c r="K58" s="434"/>
      <x:c r="L58" s="434"/>
      <x:c r="M58" s="434"/>
    </x:row>
    <x:row r="59" spans="1:16" ht="15" customHeight="1" s="434" customFormat="1" x14ac:dyDescent="0.25">
      <x:c r="A59" s="487"/>
      <x:c r="B59" s="487"/>
      <x:c r="C59" s="462"/>
      <x:c r="D59" s="492"/>
      <x:c r="E59" s="490"/>
      <x:c r="F59" s="490"/>
      <x:c r="G59" s="491"/>
      <x:c r="H59" s="490"/>
      <x:c r="I59" s="653"/>
      <x:c r="J59" s="433"/>
      <x:c r="K59" s="468"/>
      <x:c r="L59" s="469"/>
      <x:c r="M59" s="433"/>
      <x:c r="N59" s="470"/>
    </x:row>
    <x:row r="60" spans="1:16" ht="15.6" customHeight="1" x14ac:dyDescent="0.3">
      <x:c r="A60" s="486"/>
      <x:c r="B60" s="462"/>
      <x:c r="C60" s="488"/>
      <x:c r="D60" s="489"/>
      <x:c r="E60" s="490"/>
      <x:c r="F60" s="490"/>
      <x:c r="G60" s="491"/>
      <x:c r="H60" s="490"/>
      <x:c r="I60" s="653"/>
      <x:c r="J60" s="433"/>
      <x:c r="K60" s="468"/>
      <x:c r="L60" s="469"/>
      <x:c r="M60" s="433"/>
    </x:row>
    <x:row r="61" spans="1:16" ht="16.2" customHeight="1" x14ac:dyDescent="0.35">
      <x:c r="A61" s="493" t="s">
        <x:v>43</x:v>
      </x:c>
      <x:c r="B61" s="493"/>
      <x:c r="C61" s="493"/>
      <x:c r="D61" s="493"/>
      <x:c r="E61" s="493"/>
      <x:c r="F61" s="493"/>
      <x:c r="G61" s="494">
        <x:f>SUM(G55:G60)</x:f>
      </x:c>
      <x:c r="I61" s="660"/>
      <x:c r="J61" s="494">
        <x:f>SUM(J55:J60)</x:f>
      </x:c>
      <x:c r="L61" s="495"/>
      <x:c r="M61" s="496">
        <x:f>SUM(M55:M60)</x:f>
      </x:c>
    </x:row>
    <x:row r="62" spans="1:16" x14ac:dyDescent="0.25">
      <x:c r="A62" s="497"/>
      <x:c r="E62" s="497"/>
      <x:c r="F62" s="497"/>
      <x:c r="G62" s="435"/>
      <x:c r="I62" s="660"/>
    </x:row>
    <x:row r="64" spans="1:16" x14ac:dyDescent="0.25">
      <x:c r="J64" s="435"/>
    </x:row>
    <x:row r="65" spans="1:16" x14ac:dyDescent="0.25">
      <x:c r="J65" s="435"/>
    </x:row>
    <x:row r="66" spans="1:16" x14ac:dyDescent="0.25">
      <x:c r="J66" s="435">
        <x:f>(J35+J61)*2%</x:f>
      </x:c>
      <x:c r="M66" s="565">
        <x:f>M61/12</x:f>
      </x:c>
      <x:c r="N66" s="431" t="s">
        <x:v>1199</x:v>
      </x:c>
    </x:row>
    <x:row r="67" spans="1:16" x14ac:dyDescent="0.25">
      <x:c r="J67" s="565">
        <x:f>J66/12</x:f>
      </x:c>
      <x:c r="K67" s="429" t="s">
        <x:v>655</x:v>
      </x:c>
      <x:c r="M67" s="565">
        <x:f>M61/24</x:f>
      </x:c>
      <x:c r="N67" s="431" t="s">
        <x:v>1199</x:v>
      </x:c>
    </x:row>
    <x:row r="68" spans="1:16" x14ac:dyDescent="0.25">
      <x:c r="J68" s="565">
        <x:f>J66/24</x:f>
      </x:c>
      <x:c r="K68" s="429" t="s">
        <x:v>655</x:v>
      </x:c>
    </x:row>
  </x:sheetData>
  <x:mergeCells count="2">
    <x:mergeCell ref="A3:F3"/>
    <x:mergeCell ref="A35:F35"/>
  </x:mergeCells>
  <x:printOptions horizontalCentered="0" verticalCentered="0" headings="0" gridLines="0"/>
  <x:pageMargins left="0.1968503937007874" right="0" top="0.3937007874015748" bottom="0" header="0" footer="0"/>
  <x:pageSetup paperSize="9" scale="85" pageOrder="downThenOver" orientation="landscape" blackAndWhite="0" draft="0" cellComments="none" errors="displayed" r:id="rId1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FB1E19-171E-4F96-A12F-271FACA97160}" mc:Ignorable="x14ac xr xr2 xr3">
  <x:sheetPr>
    <x:outlinePr summaryBelow="1" summaryRight="1"/>
  </x:sheetPr>
  <x:dimension ref="A1:O96"/>
  <x:sheetViews>
    <x:sheetView topLeftCell="A20" workbookViewId="0">
      <x:selection activeCell="C7" sqref="C7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2.886719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1403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  <x:c r="N6" s="661">
        <x:f>1146.12-229.21</x:f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  <x:c r="N7" s="661">
        <x:f>N6*15%</x:f>
      </x:c>
    </x:row>
    <x:row r="8" spans="1:16" ht="15" customHeight="1" x14ac:dyDescent="0.25">
      <x:c r="A8" s="551" t="s">
        <x:v>367</x:v>
      </x:c>
      <x:c r="B8" s="552" t="s">
        <x:v>336</x:v>
      </x:c>
      <x:c r="C8" s="644" t="s">
        <x:v>1404</x:v>
      </x:c>
      <x:c r="D8" s="553">
        <x:v>45376</x:v>
      </x:c>
      <x:c r="E8" s="554">
        <x:v>942.36</x:v>
      </x:c>
      <x:c r="F8" s="554">
        <x:v>141.35</x:v>
      </x:c>
      <x:c r="G8" s="504">
        <x:v>23.8</x:v>
      </x:c>
      <x:c r="H8" s="662">
        <x:v>96.12</x:v>
      </x:c>
      <x:c r="I8" s="553">
        <x:v>45986</x:v>
      </x:c>
      <x:c r="J8" s="433">
        <x:f>23.8/1.15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551" t="s">
        <x:v>697</x:v>
      </x:c>
      <x:c r="B9" s="552" t="s">
        <x:v>53</x:v>
      </x:c>
      <x:c r="C9" s="644" t="s">
        <x:v>1405</x:v>
      </x:c>
      <x:c r="D9" s="553">
        <x:v>45527</x:v>
      </x:c>
      <x:c r="E9" s="554">
        <x:v>1242</x:v>
      </x:c>
      <x:c r="F9" s="554">
        <x:v>310.5</x:v>
      </x:c>
      <x:c r="G9" s="504">
        <x:v>562.78</x:v>
      </x:c>
      <x:c r="H9" s="662">
        <x:v>139.73</x:v>
      </x:c>
      <x:c r="I9" s="553">
        <x:v>46014</x:v>
      </x:c>
      <x:c r="J9" s="433">
        <x:f>562.78/1.15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551" t="s">
        <x:v>697</x:v>
      </x:c>
      <x:c r="B10" s="552" t="s">
        <x:v>53</x:v>
      </x:c>
      <x:c r="C10" s="644" t="s">
        <x:v>1406</x:v>
      </x:c>
      <x:c r="D10" s="553">
        <x:v>45527</x:v>
      </x:c>
      <x:c r="E10" s="554">
        <x:v>258.9</x:v>
      </x:c>
      <x:c r="F10" s="554">
        <x:v>64.74</x:v>
      </x:c>
      <x:c r="G10" s="504">
        <x:v>161.95</x:v>
      </x:c>
      <x:c r="H10" s="662">
        <x:v>29.12</x:v>
      </x:c>
      <x:c r="I10" s="553">
        <x:v>46014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551" t="s">
        <x:v>491</x:v>
      </x:c>
      <x:c r="B11" s="552" t="s">
        <x:v>492</x:v>
      </x:c>
      <x:c r="C11" s="644" t="s">
        <x:v>1407</x:v>
      </x:c>
      <x:c r="D11" s="553">
        <x:v>45810</x:v>
      </x:c>
      <x:c r="E11" s="554">
        <x:f>3269.75+1089.92</x:f>
      </x:c>
      <x:c r="F11" s="554">
        <x:v>1089.92</x:v>
      </x:c>
      <x:c r="G11" s="504">
        <x:v>300.36</x:v>
      </x:c>
      <x:c r="H11" s="662">
        <x:v>490.46</x:v>
      </x:c>
      <x:c r="I11" s="553">
        <x:v>45996</x:v>
      </x:c>
      <x:c r="J11" s="433">
        <x:f>300.36/1.15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551" t="s">
        <x:v>491</x:v>
      </x:c>
      <x:c r="B12" s="552" t="s">
        <x:v>492</x:v>
      </x:c>
      <x:c r="C12" s="644" t="s">
        <x:v>1407</x:v>
      </x:c>
      <x:c r="D12" s="553">
        <x:v>45810</x:v>
      </x:c>
      <x:c r="E12" s="554">
        <x:f>3269.75+1089.92</x:f>
      </x:c>
      <x:c r="F12" s="554">
        <x:v>1089.92</x:v>
      </x:c>
      <x:c r="G12" s="504">
        <x:v>300</x:v>
      </x:c>
      <x:c r="H12" s="662">
        <x:v>490.46</x:v>
      </x:c>
      <x:c r="I12" s="553">
        <x:v>46007</x:v>
      </x:c>
      <x:c r="J12" s="433">
        <x:f>300/1.15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551" t="s">
        <x:v>101</x:v>
      </x:c>
      <x:c r="B13" s="552" t="s">
        <x:v>26</x:v>
      </x:c>
      <x:c r="C13" s="644" t="s">
        <x:v>1408</x:v>
      </x:c>
      <x:c r="D13" s="553">
        <x:v>45845</x:v>
      </x:c>
      <x:c r="E13" s="554">
        <x:f>1014.34+253.58</x:f>
      </x:c>
      <x:c r="F13" s="554">
        <x:v>253.58</x:v>
      </x:c>
      <x:c r="G13" s="504">
        <x:v>663.8</x:v>
      </x:c>
      <x:c r="H13" s="662">
        <x:v>152.15</x:v>
      </x:c>
      <x:c r="I13" s="553">
        <x:v>45986</x:v>
      </x:c>
      <x:c r="J13" s="433">
        <x:f>663.8/1.15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551" t="s">
        <x:v>101</x:v>
      </x:c>
      <x:c r="B14" s="552" t="s">
        <x:v>26</x:v>
      </x:c>
      <x:c r="C14" s="644" t="s">
        <x:v>1408</x:v>
      </x:c>
      <x:c r="D14" s="553">
        <x:v>45845</x:v>
      </x:c>
      <x:c r="E14" s="554">
        <x:f>1014.34+253.58</x:f>
      </x:c>
      <x:c r="F14" s="554">
        <x:v>253.58</x:v>
      </x:c>
      <x:c r="G14" s="504">
        <x:v>439.29</x:v>
      </x:c>
      <x:c r="H14" s="662">
        <x:v>152.15</x:v>
      </x:c>
      <x:c r="I14" s="553">
        <x:v>45994</x:v>
      </x:c>
      <x:c r="J14" s="433">
        <x:f>439.29/1.15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551" t="s">
        <x:v>101</x:v>
      </x:c>
      <x:c r="B15" s="552" t="s">
        <x:v>26</x:v>
      </x:c>
      <x:c r="C15" s="644" t="s">
        <x:v>1409</x:v>
      </x:c>
      <x:c r="D15" s="553">
        <x:v>45859</x:v>
      </x:c>
      <x:c r="E15" s="554">
        <x:f>77.42+13.66</x:f>
      </x:c>
      <x:c r="F15" s="554">
        <x:v>13.66</x:v>
      </x:c>
      <x:c r="G15" s="504">
        <x:v>84.2</x:v>
      </x:c>
      <x:c r="H15" s="662">
        <x:v>11.61</x:v>
      </x:c>
      <x:c r="I15" s="553">
        <x:v>45994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551" t="s">
        <x:v>101</x:v>
      </x:c>
      <x:c r="B16" s="552" t="s">
        <x:v>26</x:v>
      </x:c>
      <x:c r="C16" s="644" t="s">
        <x:v>1410</x:v>
      </x:c>
      <x:c r="D16" s="553">
        <x:v>45874</x:v>
      </x:c>
      <x:c r="E16" s="554">
        <x:f>129.03+22.77</x:f>
      </x:c>
      <x:c r="F16" s="554">
        <x:v>22.77</x:v>
      </x:c>
      <x:c r="G16" s="504">
        <x:v>140.31</x:v>
      </x:c>
      <x:c r="H16" s="662">
        <x:v>19.35</x:v>
      </x:c>
      <x:c r="I16" s="553">
        <x:v>45994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551" t="s">
        <x:v>75</x:v>
      </x:c>
      <x:c r="B17" s="552" t="s">
        <x:v>26</x:v>
      </x:c>
      <x:c r="C17" s="644" t="s">
        <x:v>1411</x:v>
      </x:c>
      <x:c r="D17" s="553">
        <x:v>45890</x:v>
      </x:c>
      <x:c r="E17" s="554">
        <x:f>129.03+22.77</x:f>
      </x:c>
      <x:c r="F17" s="554">
        <x:v>22.77</x:v>
      </x:c>
      <x:c r="G17" s="504">
        <x:v>148.38</x:v>
      </x:c>
      <x:c r="H17" s="662">
        <x:v>19.35</x:v>
      </x:c>
      <x:c r="I17" s="553">
        <x:v>46000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551" t="s">
        <x:v>287</x:v>
      </x:c>
      <x:c r="B18" s="552" t="s">
        <x:v>288</x:v>
      </x:c>
      <x:c r="C18" s="644" t="s">
        <x:v>1412</x:v>
      </x:c>
      <x:c r="D18" s="553">
        <x:v>45897</x:v>
      </x:c>
      <x:c r="E18" s="554">
        <x:f>88.74+15.66</x:f>
      </x:c>
      <x:c r="F18" s="554">
        <x:v>15.66</x:v>
      </x:c>
      <x:c r="G18" s="504">
        <x:v>102.05</x:v>
      </x:c>
      <x:c r="H18" s="662">
        <x:v>13.31</x:v>
      </x:c>
      <x:c r="I18" s="553">
        <x:v>45981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551" t="s">
        <x:v>104</x:v>
      </x:c>
      <x:c r="B19" s="552" t="s">
        <x:v>105</x:v>
      </x:c>
      <x:c r="C19" s="644" t="s">
        <x:v>1413</x:v>
      </x:c>
      <x:c r="D19" s="553">
        <x:v>45897</x:v>
      </x:c>
      <x:c r="E19" s="554">
        <x:f>446.66+78.82</x:f>
      </x:c>
      <x:c r="F19" s="554">
        <x:v>78.82</x:v>
      </x:c>
      <x:c r="G19" s="504">
        <x:v>485.72</x:v>
      </x:c>
      <x:c r="H19" s="662">
        <x:v>67</x:v>
      </x:c>
      <x:c r="I19" s="553">
        <x:v>45980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551" t="s">
        <x:v>101</x:v>
      </x:c>
      <x:c r="B20" s="552" t="s">
        <x:v>26</x:v>
      </x:c>
      <x:c r="C20" s="644" t="s">
        <x:v>1414</x:v>
      </x:c>
      <x:c r="D20" s="553">
        <x:v>45901</x:v>
      </x:c>
      <x:c r="E20" s="554">
        <x:f>96.8+17.08</x:f>
      </x:c>
      <x:c r="F20" s="554">
        <x:v>17.08</x:v>
      </x:c>
      <x:c r="G20" s="504">
        <x:v>105.27</x:v>
      </x:c>
      <x:c r="H20" s="662">
        <x:v>14.52</x:v>
      </x:c>
      <x:c r="I20" s="553">
        <x:v>46001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551" t="s">
        <x:v>711</x:v>
      </x:c>
      <x:c r="B21" s="552" t="s">
        <x:v>26</x:v>
      </x:c>
      <x:c r="C21" s="644" t="s">
        <x:v>1415</x:v>
      </x:c>
      <x:c r="D21" s="553">
        <x:v>45902</x:v>
      </x:c>
      <x:c r="E21" s="554">
        <x:f>44.88+7.92</x:f>
      </x:c>
      <x:c r="F21" s="554">
        <x:v>7.92</x:v>
      </x:c>
      <x:c r="G21" s="504">
        <x:v>51.61</x:v>
      </x:c>
      <x:c r="H21" s="662">
        <x:v>6.73</x:v>
      </x:c>
      <x:c r="I21" s="553">
        <x:v>45980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551" t="s">
        <x:v>57</x:v>
      </x:c>
      <x:c r="B22" s="552" t="s">
        <x:v>26</x:v>
      </x:c>
      <x:c r="C22" s="644" t="s">
        <x:v>1416</x:v>
      </x:c>
      <x:c r="D22" s="553">
        <x:v>45902</x:v>
      </x:c>
      <x:c r="E22" s="554">
        <x:f>322.56+80.64</x:f>
      </x:c>
      <x:c r="F22" s="554">
        <x:v>80.64</x:v>
      </x:c>
      <x:c r="G22" s="504">
        <x:v>350.79</x:v>
      </x:c>
      <x:c r="H22" s="662">
        <x:v>48.38</x:v>
      </x:c>
      <x:c r="I22" s="553">
        <x:v>46003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551" t="s">
        <x:v>462</x:v>
      </x:c>
      <x:c r="B23" s="552" t="s">
        <x:v>463</x:v>
      </x:c>
      <x:c r="C23" s="644" t="s">
        <x:v>1417</x:v>
      </x:c>
      <x:c r="D23" s="553">
        <x:v>45908</x:v>
      </x:c>
      <x:c r="E23" s="554">
        <x:f>88.03+15.53</x:f>
      </x:c>
      <x:c r="F23" s="554">
        <x:v>15.53</x:v>
      </x:c>
      <x:c r="G23" s="504">
        <x:v>101.23</x:v>
      </x:c>
      <x:c r="H23" s="662">
        <x:v>13.2</x:v>
      </x:c>
      <x:c r="I23" s="553">
        <x:v>45992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551" t="s">
        <x:v>460</x:v>
      </x:c>
      <x:c r="B24" s="552" t="s">
        <x:v>333</x:v>
      </x:c>
      <x:c r="C24" s="644" t="s">
        <x:v>1418</x:v>
      </x:c>
      <x:c r="D24" s="553">
        <x:v>45908</x:v>
      </x:c>
      <x:c r="E24" s="554">
        <x:f>45.9+8.1</x:f>
      </x:c>
      <x:c r="F24" s="554">
        <x:v>8.1</x:v>
      </x:c>
      <x:c r="G24" s="504">
        <x:v>52.79</x:v>
      </x:c>
      <x:c r="H24" s="662">
        <x:v>6.89</x:v>
      </x:c>
      <x:c r="I24" s="553">
        <x:v>45992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551" t="s">
        <x:v>101</x:v>
      </x:c>
      <x:c r="B25" s="552" t="s">
        <x:v>26</x:v>
      </x:c>
      <x:c r="C25" s="644" t="s">
        <x:v>1419</x:v>
      </x:c>
      <x:c r="D25" s="553">
        <x:v>45911</x:v>
      </x:c>
      <x:c r="E25" s="554">
        <x:f>103.22+18.22</x:f>
      </x:c>
      <x:c r="F25" s="554">
        <x:v>18.22</x:v>
      </x:c>
      <x:c r="G25" s="504">
        <x:v>112.25</x:v>
      </x:c>
      <x:c r="H25" s="662">
        <x:v>15.48</x:v>
      </x:c>
      <x:c r="I25" s="553">
        <x:v>46001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25">
      <x:c r="A26" s="551" t="s">
        <x:v>64</x:v>
      </x:c>
      <x:c r="B26" s="552" t="s">
        <x:v>26</x:v>
      </x:c>
      <x:c r="C26" s="644" t="s">
        <x:v>1420</x:v>
      </x:c>
      <x:c r="D26" s="553">
        <x:v>45916</x:v>
      </x:c>
      <x:c r="E26" s="554">
        <x:f>88.74+15.66</x:f>
      </x:c>
      <x:c r="F26" s="554">
        <x:v>15.66</x:v>
      </x:c>
      <x:c r="G26" s="504">
        <x:v>102.05</x:v>
      </x:c>
      <x:c r="H26" s="662">
        <x:v>13.31</x:v>
      </x:c>
      <x:c r="I26" s="553">
        <x:v>46013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25">
      <x:c r="A27" s="551" t="s">
        <x:v>57</x:v>
      </x:c>
      <x:c r="B27" s="552" t="s">
        <x:v>26</x:v>
      </x:c>
      <x:c r="C27" s="644" t="s">
        <x:v>1421</x:v>
      </x:c>
      <x:c r="D27" s="553">
        <x:v>45923</x:v>
      </x:c>
      <x:c r="E27" s="554">
        <x:f>109.82+27.46</x:f>
      </x:c>
      <x:c r="F27" s="554">
        <x:v>27.46</x:v>
      </x:c>
      <x:c r="G27" s="504">
        <x:v>119.43</x:v>
      </x:c>
      <x:c r="H27" s="662">
        <x:v>16.47</x:v>
      </x:c>
      <x:c r="I27" s="553">
        <x:v>46003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25">
      <x:c r="A28" s="551" t="s">
        <x:v>101</x:v>
      </x:c>
      <x:c r="B28" s="552" t="s">
        <x:v>26</x:v>
      </x:c>
      <x:c r="C28" s="644" t="s">
        <x:v>1422</x:v>
      </x:c>
      <x:c r="D28" s="553">
        <x:v>45929</x:v>
      </x:c>
      <x:c r="E28" s="554">
        <x:f>73.95+13.05</x:f>
      </x:c>
      <x:c r="F28" s="554">
        <x:v>13.05</x:v>
      </x:c>
      <x:c r="G28" s="504">
        <x:v>80.42</x:v>
      </x:c>
      <x:c r="H28" s="662">
        <x:v>11.09</x:v>
      </x:c>
      <x:c r="I28" s="553">
        <x:v>46001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16" ht="15" customHeight="1" x14ac:dyDescent="0.25">
      <x:c r="A29" s="551" t="s">
        <x:v>114</x:v>
      </x:c>
      <x:c r="B29" s="552" t="s">
        <x:v>26</x:v>
      </x:c>
      <x:c r="C29" s="644" t="s">
        <x:v>1423</x:v>
      </x:c>
      <x:c r="D29" s="553">
        <x:v>45933</x:v>
      </x:c>
      <x:c r="E29" s="554">
        <x:f>121.44+30.36</x:f>
      </x:c>
      <x:c r="F29" s="554">
        <x:v>30.36</x:v>
      </x:c>
      <x:c r="G29" s="504">
        <x:v>132.06</x:v>
      </x:c>
      <x:c r="H29" s="662">
        <x:v>18.22</x:v>
      </x:c>
      <x:c r="I29" s="553">
        <x:v>46022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25">
      <x:c r="A30" s="551" t="s">
        <x:v>25</x:v>
      </x:c>
      <x:c r="B30" s="552" t="s">
        <x:v>26</x:v>
      </x:c>
      <x:c r="C30" s="644" t="s">
        <x:v>1424</x:v>
      </x:c>
      <x:c r="D30" s="553">
        <x:v>45937</x:v>
      </x:c>
      <x:c r="E30" s="554">
        <x:f>408+102</x:f>
      </x:c>
      <x:c r="F30" s="554">
        <x:v>102</x:v>
      </x:c>
      <x:c r="G30" s="504">
        <x:v>443.7</x:v>
      </x:c>
      <x:c r="H30" s="662">
        <x:v>61.2</x:v>
      </x:c>
      <x:c r="I30" s="553">
        <x:v>45979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16" ht="15" customHeight="1" x14ac:dyDescent="0.25">
      <x:c r="A31" s="551" t="s">
        <x:v>523</x:v>
      </x:c>
      <x:c r="B31" s="552" t="s">
        <x:v>26</x:v>
      </x:c>
      <x:c r="C31" s="644" t="s">
        <x:v>1425</x:v>
      </x:c>
      <x:c r="D31" s="553">
        <x:v>45947</x:v>
      </x:c>
      <x:c r="E31" s="554">
        <x:f>1925.76+481.44</x:f>
      </x:c>
      <x:c r="F31" s="554">
        <x:v>481.44</x:v>
      </x:c>
      <x:c r="G31" s="504">
        <x:v>1906.5</x:v>
      </x:c>
      <x:c r="H31" s="662">
        <x:v>288.86</x:v>
      </x:c>
      <x:c r="I31" s="553">
        <x:v>46000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16" ht="15" customHeight="1" x14ac:dyDescent="0.25">
      <x:c r="A32" s="551" t="s">
        <x:v>296</x:v>
      </x:c>
      <x:c r="B32" s="552" t="s">
        <x:v>26</x:v>
      </x:c>
      <x:c r="C32" s="644" t="s">
        <x:v>1426</x:v>
      </x:c>
      <x:c r="D32" s="553">
        <x:v>45952</x:v>
      </x:c>
      <x:c r="E32" s="554">
        <x:f>59.67+10.53</x:f>
      </x:c>
      <x:c r="F32" s="554">
        <x:v>10.53</x:v>
      </x:c>
      <x:c r="G32" s="504">
        <x:v>68.62</x:v>
      </x:c>
      <x:c r="H32" s="662">
        <x:v>8.95</x:v>
      </x:c>
      <x:c r="I32" s="553">
        <x:v>45980</x:v>
      </x:c>
      <x:c r="J32" s="433">
        <x:f>+E32-F32</x:f>
      </x:c>
      <x:c r="K32" s="468">
        <x:f>+I32-D32</x:f>
      </x:c>
      <x:c r="L32" s="503">
        <x:v>0.035</x:v>
      </x:c>
      <x:c r="M32" s="504">
        <x:f>+J32*L32</x:f>
      </x:c>
      <x:c r="O32" s="432"/>
    </x:row>
    <x:row r="33" spans="1:16" ht="15" customHeight="1" x14ac:dyDescent="0.25">
      <x:c r="A33" s="551" t="s">
        <x:v>25</x:v>
      </x:c>
      <x:c r="B33" s="552" t="s">
        <x:v>26</x:v>
      </x:c>
      <x:c r="C33" s="644" t="s">
        <x:v>1427</x:v>
      </x:c>
      <x:c r="D33" s="553">
        <x:v>45953</x:v>
      </x:c>
      <x:c r="E33" s="554">
        <x:f>408+102</x:f>
      </x:c>
      <x:c r="F33" s="554">
        <x:v>102</x:v>
      </x:c>
      <x:c r="G33" s="504">
        <x:v>443.7</x:v>
      </x:c>
      <x:c r="H33" s="662">
        <x:v>61.2</x:v>
      </x:c>
      <x:c r="I33" s="553">
        <x:v>45991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16" ht="15" customHeight="1" x14ac:dyDescent="0.25">
      <x:c r="A34" s="551" t="s">
        <x:v>339</x:v>
      </x:c>
      <x:c r="B34" s="552" t="s">
        <x:v>333</x:v>
      </x:c>
      <x:c r="C34" s="644" t="s">
        <x:v>1428</x:v>
      </x:c>
      <x:c r="D34" s="553">
        <x:v>45958</x:v>
      </x:c>
      <x:c r="E34" s="554">
        <x:f>213.64+43.76</x:f>
      </x:c>
      <x:c r="F34" s="554">
        <x:v>43.76</x:v>
      </x:c>
      <x:c r="G34" s="504">
        <x:v>100</x:v>
      </x:c>
      <x:c r="H34" s="662">
        <x:v>32.05</x:v>
      </x:c>
      <x:c r="I34" s="553">
        <x:v>45996</x:v>
      </x:c>
      <x:c r="J34" s="433">
        <x:f>100/1.15</x:f>
      </x:c>
      <x:c r="K34" s="468">
        <x:f>+I34-D34</x:f>
      </x:c>
      <x:c r="L34" s="503">
        <x:v>0.03</x:v>
      </x:c>
      <x:c r="M34" s="504">
        <x:f>+J34*L34</x:f>
      </x:c>
      <x:c r="O34" s="432"/>
    </x:row>
    <x:row r="35" spans="1:16" ht="15" customHeight="1" x14ac:dyDescent="0.25">
      <x:c r="A35" s="551" t="s">
        <x:v>339</x:v>
      </x:c>
      <x:c r="B35" s="552" t="s">
        <x:v>333</x:v>
      </x:c>
      <x:c r="C35" s="644" t="s">
        <x:v>1428</x:v>
      </x:c>
      <x:c r="D35" s="553">
        <x:v>45958</x:v>
      </x:c>
      <x:c r="E35" s="554">
        <x:f>213.64+43.76</x:f>
      </x:c>
      <x:c r="F35" s="554">
        <x:v>43.76</x:v>
      </x:c>
      <x:c r="G35" s="504">
        <x:v>145.69</x:v>
      </x:c>
      <x:c r="H35" s="662">
        <x:v>32.05</x:v>
      </x:c>
      <x:c r="I35" s="553">
        <x:v>46006</x:v>
      </x:c>
      <x:c r="J35" s="433">
        <x:f>145.69/1.15</x:f>
      </x:c>
      <x:c r="K35" s="468">
        <x:f>+I35-D35</x:f>
      </x:c>
      <x:c r="L35" s="503">
        <x:v>0.03</x:v>
      </x:c>
      <x:c r="M35" s="504">
        <x:f>+J35*L35</x:f>
      </x:c>
      <x:c r="O35" s="432"/>
    </x:row>
    <x:row r="36" spans="1:16" ht="15" customHeight="1" x14ac:dyDescent="0.25">
      <x:c r="A36" s="551" t="s">
        <x:v>176</x:v>
      </x:c>
      <x:c r="B36" s="552" t="s">
        <x:v>177</x:v>
      </x:c>
      <x:c r="C36" s="644" t="s">
        <x:v>1429</x:v>
      </x:c>
      <x:c r="D36" s="553">
        <x:v>45959</x:v>
      </x:c>
      <x:c r="E36" s="554">
        <x:f>300.42+53.02</x:f>
      </x:c>
      <x:c r="F36" s="554">
        <x:v>53.02</x:v>
      </x:c>
      <x:c r="G36" s="504">
        <x:v>345.48</x:v>
      </x:c>
      <x:c r="H36" s="662">
        <x:v>45.06</x:v>
      </x:c>
      <x:c r="I36" s="553">
        <x:v>45988</x:v>
      </x:c>
      <x:c r="J36" s="433">
        <x:f>+E36-F36</x:f>
      </x:c>
      <x:c r="K36" s="468">
        <x:f>+I36-D36</x:f>
      </x:c>
      <x:c r="L36" s="503">
        <x:v>0.035</x:v>
      </x:c>
      <x:c r="M36" s="504">
        <x:f>+J36*L36</x:f>
      </x:c>
      <x:c r="O36" s="432"/>
    </x:row>
    <x:row r="37" spans="1:16" ht="15" customHeight="1" x14ac:dyDescent="0.25">
      <x:c r="A37" s="551" t="s">
        <x:v>822</x:v>
      </x:c>
      <x:c r="B37" s="552" t="s">
        <x:v>26</x:v>
      </x:c>
      <x:c r="C37" s="644" t="s">
        <x:v>1430</x:v>
      </x:c>
      <x:c r="D37" s="553">
        <x:v>45971</x:v>
      </x:c>
      <x:c r="E37" s="554">
        <x:f>123.93+21.87</x:f>
      </x:c>
      <x:c r="F37" s="554">
        <x:v>21.87</x:v>
      </x:c>
      <x:c r="G37" s="504">
        <x:v>134.77</x:v>
      </x:c>
      <x:c r="H37" s="662">
        <x:v>18.59</x:v>
      </x:c>
      <x:c r="I37" s="553">
        <x:v>46007</x:v>
      </x:c>
      <x:c r="J37" s="433">
        <x:f>+E37-F37</x:f>
      </x:c>
      <x:c r="K37" s="468">
        <x:f>+I37-D37</x:f>
      </x:c>
      <x:c r="L37" s="503">
        <x:v>0.03</x:v>
      </x:c>
      <x:c r="M37" s="504">
        <x:f>+J37*L37</x:f>
      </x:c>
      <x:c r="O37" s="432"/>
    </x:row>
    <x:row r="38" spans="1:16" ht="15" customHeight="1" x14ac:dyDescent="0.25">
      <x:c r="A38" s="551" t="s">
        <x:v>118</x:v>
      </x:c>
      <x:c r="B38" s="552" t="s">
        <x:v>26</x:v>
      </x:c>
      <x:c r="C38" s="644" t="s">
        <x:v>1431</x:v>
      </x:c>
      <x:c r="D38" s="553">
        <x:v>45975</x:v>
      </x:c>
      <x:c r="E38" s="554">
        <x:f>536.22+178.74</x:f>
      </x:c>
      <x:c r="F38" s="554">
        <x:v>178.74</x:v>
      </x:c>
      <x:c r="G38" s="504">
        <x:v>583.14</x:v>
      </x:c>
      <x:c r="H38" s="662">
        <x:v>80.43</x:v>
      </x:c>
      <x:c r="I38" s="553">
        <x:v>46006</x:v>
      </x:c>
      <x:c r="J38" s="433">
        <x:f>+E38-F38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16" ht="15" customHeight="1" x14ac:dyDescent="0.25">
      <x:c r="A39" s="551" t="s">
        <x:v>164</x:v>
      </x:c>
      <x:c r="B39" s="552" t="s">
        <x:v>26</x:v>
      </x:c>
      <x:c r="C39" s="644" t="s">
        <x:v>1432</x:v>
      </x:c>
      <x:c r="D39" s="553">
        <x:v>45980</x:v>
      </x:c>
      <x:c r="E39" s="554">
        <x:f>202.29+35.7</x:f>
      </x:c>
      <x:c r="F39" s="554">
        <x:v>35.7</x:v>
      </x:c>
      <x:c r="G39" s="504">
        <x:v>232.63</x:v>
      </x:c>
      <x:c r="H39" s="662">
        <x:v>30.34</x:v>
      </x:c>
      <x:c r="I39" s="553">
        <x:v>46014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16" ht="15" customHeight="1" x14ac:dyDescent="0.25">
      <x:c r="A40" s="551" t="s">
        <x:v>267</x:v>
      </x:c>
      <x:c r="B40" s="552" t="s">
        <x:v>26</x:v>
      </x:c>
      <x:c r="C40" s="644" t="s">
        <x:v>1433</x:v>
      </x:c>
      <x:c r="D40" s="553">
        <x:v>45980</x:v>
      </x:c>
      <x:c r="E40" s="554">
        <x:f>57.32+8.56</x:f>
      </x:c>
      <x:c r="F40" s="554">
        <x:v>8.56</x:v>
      </x:c>
      <x:c r="G40" s="504">
        <x:v>62.34</x:v>
      </x:c>
      <x:c r="H40" s="662">
        <x:v>8.6</x:v>
      </x:c>
      <x:c r="I40" s="553">
        <x:v>45981</x:v>
      </x:c>
      <x:c r="J40" s="433">
        <x:f>+E40-F40</x:f>
      </x:c>
      <x:c r="K40" s="468">
        <x:f>+I40-D40</x:f>
      </x:c>
      <x:c r="L40" s="503">
        <x:v>0.04</x:v>
      </x:c>
      <x:c r="M40" s="504">
        <x:f>+J40*L40</x:f>
      </x:c>
      <x:c r="O40" s="432"/>
    </x:row>
    <x:row r="41" spans="1:16" ht="15" customHeight="1" x14ac:dyDescent="0.25">
      <x:c r="A41" s="551" t="s">
        <x:v>625</x:v>
      </x:c>
      <x:c r="B41" s="552" t="s">
        <x:v>105</x:v>
      </x:c>
      <x:c r="C41" s="644" t="s">
        <x:v>1434</x:v>
      </x:c>
      <x:c r="D41" s="553">
        <x:v>45982</x:v>
      </x:c>
      <x:c r="E41" s="554">
        <x:f>97.57+13.31</x:f>
      </x:c>
      <x:c r="F41" s="554">
        <x:v>13.31</x:v>
      </x:c>
      <x:c r="G41" s="504">
        <x:v>106.11</x:v>
      </x:c>
      <x:c r="H41" s="662">
        <x:v>14.64</x:v>
      </x:c>
      <x:c r="I41" s="553">
        <x:v>45985</x:v>
      </x:c>
      <x:c r="J41" s="433">
        <x:f>+E41-F41</x:f>
      </x:c>
      <x:c r="K41" s="468">
        <x:f>+I41-D41</x:f>
      </x:c>
      <x:c r="L41" s="503">
        <x:v>0.04</x:v>
      </x:c>
      <x:c r="M41" s="504">
        <x:f>+J41*L41</x:f>
      </x:c>
      <x:c r="O41" s="432"/>
    </x:row>
    <x:row r="42" spans="1:16" ht="15" customHeight="1" x14ac:dyDescent="0.25">
      <x:c r="A42" s="551" t="s">
        <x:v>267</x:v>
      </x:c>
      <x:c r="B42" s="552" t="s">
        <x:v>26</x:v>
      </x:c>
      <x:c r="C42" s="644" t="s">
        <x:v>1435</x:v>
      </x:c>
      <x:c r="D42" s="553">
        <x:v>45985</x:v>
      </x:c>
      <x:c r="E42" s="554">
        <x:f>35.5+5.3</x:f>
      </x:c>
      <x:c r="F42" s="554">
        <x:v>5.3</x:v>
      </x:c>
      <x:c r="G42" s="504">
        <x:v>38.6</x:v>
      </x:c>
      <x:c r="H42" s="662">
        <x:v>5.32</x:v>
      </x:c>
      <x:c r="I42" s="553">
        <x:v>45986</x:v>
      </x:c>
      <x:c r="J42" s="433">
        <x:f>+E42-F42</x:f>
      </x:c>
      <x:c r="K42" s="468">
        <x:f>+I42-D42</x:f>
      </x:c>
      <x:c r="L42" s="503">
        <x:v>0.04</x:v>
      </x:c>
      <x:c r="M42" s="504">
        <x:f>+J42*L42</x:f>
      </x:c>
      <x:c r="O42" s="432"/>
    </x:row>
    <x:row r="43" spans="1:16" ht="15" customHeight="1" x14ac:dyDescent="0.25">
      <x:c r="A43" s="551" t="s">
        <x:v>67</x:v>
      </x:c>
      <x:c r="B43" s="552" t="s">
        <x:v>26</x:v>
      </x:c>
      <x:c r="C43" s="644" t="s">
        <x:v>1436</x:v>
      </x:c>
      <x:c r="D43" s="553">
        <x:v>45994</x:v>
      </x:c>
      <x:c r="E43" s="554">
        <x:f>226.37+56.59</x:f>
      </x:c>
      <x:c r="F43" s="554">
        <x:v>56.59</x:v>
      </x:c>
      <x:c r="G43" s="504">
        <x:v>260.33</x:v>
      </x:c>
      <x:c r="H43" s="662">
        <x:v>33.96</x:v>
      </x:c>
      <x:c r="I43" s="553">
        <x:v>45996</x:v>
      </x:c>
      <x:c r="J43" s="433">
        <x:f>+E43-F43</x:f>
      </x:c>
      <x:c r="K43" s="468">
        <x:f>+I43-D43</x:f>
      </x:c>
      <x:c r="L43" s="503">
        <x:v>0.04</x:v>
      </x:c>
      <x:c r="M43" s="504">
        <x:f>+J43*L43</x:f>
      </x:c>
      <x:c r="O43" s="432"/>
    </x:row>
    <x:row r="44" spans="1:16" ht="15" customHeight="1" x14ac:dyDescent="0.25">
      <x:c r="A44" s="551" t="s">
        <x:v>205</x:v>
      </x:c>
      <x:c r="B44" s="552" t="s">
        <x:v>26</x:v>
      </x:c>
      <x:c r="C44" s="644" t="s">
        <x:v>1437</x:v>
      </x:c>
      <x:c r="D44" s="553">
        <x:v>45994</x:v>
      </x:c>
      <x:c r="E44" s="554">
        <x:f>122.4</x:f>
      </x:c>
      <x:c r="F44" s="554">
        <x:v>0</x:v>
      </x:c>
      <x:c r="G44" s="504">
        <x:v>140.76</x:v>
      </x:c>
      <x:c r="H44" s="662">
        <x:v>18.36</x:v>
      </x:c>
      <x:c r="I44" s="553">
        <x:v>45995</x:v>
      </x:c>
      <x:c r="J44" s="433">
        <x:f>+E44-F44</x:f>
      </x:c>
      <x:c r="K44" s="468">
        <x:f>+I44-D44</x:f>
      </x:c>
      <x:c r="L44" s="503">
        <x:v>0.04</x:v>
      </x:c>
      <x:c r="M44" s="504">
        <x:f>+J44*L44</x:f>
      </x:c>
      <x:c r="O44" s="432"/>
    </x:row>
    <x:row r="45" spans="1:16" ht="15" customHeight="1" x14ac:dyDescent="0.25">
      <x:c r="A45" s="551" t="s">
        <x:v>225</x:v>
      </x:c>
      <x:c r="B45" s="552" t="s">
        <x:v>105</x:v>
      </x:c>
      <x:c r="C45" s="644" t="s">
        <x:v>1438</x:v>
      </x:c>
      <x:c r="D45" s="553">
        <x:v>46000</x:v>
      </x:c>
      <x:c r="E45" s="554">
        <x:f>918.36+306.12</x:f>
      </x:c>
      <x:c r="F45" s="554">
        <x:v>306.12</x:v>
      </x:c>
      <x:c r="G45" s="504">
        <x:v>998.71</x:v>
      </x:c>
      <x:c r="H45" s="662">
        <x:v>137.75</x:v>
      </x:c>
      <x:c r="I45" s="553">
        <x:v>46006</x:v>
      </x:c>
      <x:c r="J45" s="433">
        <x:f>+E45-F45</x:f>
      </x:c>
      <x:c r="K45" s="468">
        <x:f>+I45-D45</x:f>
      </x:c>
      <x:c r="L45" s="503">
        <x:v>0.04</x:v>
      </x:c>
      <x:c r="M45" s="504">
        <x:f>+J45*L45</x:f>
      </x:c>
      <x:c r="O45" s="432"/>
    </x:row>
    <x:row r="46" spans="1:16" ht="15" customHeight="1" x14ac:dyDescent="0.25">
      <x:c r="A46" s="551" t="s">
        <x:v>136</x:v>
      </x:c>
      <x:c r="B46" s="552" t="s">
        <x:v>26</x:v>
      </x:c>
      <x:c r="C46" s="644" t="s">
        <x:v>1439</x:v>
      </x:c>
      <x:c r="D46" s="553">
        <x:v>46006</x:v>
      </x:c>
      <x:c r="E46" s="554">
        <x:f>130.05+43.35</x:f>
      </x:c>
      <x:c r="F46" s="554">
        <x:v>43.35</x:v>
      </x:c>
      <x:c r="G46" s="504">
        <x:v>141.43</x:v>
      </x:c>
      <x:c r="H46" s="662">
        <x:v>19.51</x:v>
      </x:c>
      <x:c r="I46" s="553">
        <x:v>46007</x:v>
      </x:c>
      <x:c r="J46" s="433">
        <x:f>+E46-F46</x:f>
      </x:c>
      <x:c r="K46" s="468">
        <x:f>+I46-D46</x:f>
      </x:c>
      <x:c r="L46" s="503">
        <x:v>0.04</x:v>
      </x:c>
      <x:c r="M46" s="504">
        <x:f>+J46*L46</x:f>
      </x:c>
      <x:c r="O46" s="432"/>
    </x:row>
    <x:row r="47" spans="1:16" ht="15" customHeight="1" x14ac:dyDescent="0.25">
      <x:c r="A47" s="551"/>
      <x:c r="B47" s="552"/>
      <x:c r="C47" s="644"/>
      <x:c r="D47" s="553"/>
      <x:c r="E47" s="554"/>
      <x:c r="F47" s="554"/>
      <x:c r="G47" s="504"/>
      <x:c r="H47" s="662"/>
      <x:c r="I47" s="553"/>
      <x:c r="J47" s="433"/>
      <x:c r="K47" s="468"/>
      <x:c r="L47" s="503"/>
      <x:c r="M47" s="504"/>
      <x:c r="O47" s="432"/>
    </x:row>
    <x:row r="48" spans="1:16" ht="15" customHeight="1" x14ac:dyDescent="0.25">
      <x:c r="A48" s="551"/>
      <x:c r="B48" s="552"/>
      <x:c r="C48" s="644"/>
      <x:c r="D48" s="553"/>
      <x:c r="E48" s="554"/>
      <x:c r="F48" s="554"/>
      <x:c r="G48" s="504"/>
      <x:c r="H48" s="662"/>
      <x:c r="I48" s="553"/>
      <x:c r="J48" s="433"/>
      <x:c r="K48" s="468"/>
      <x:c r="L48" s="503"/>
      <x:c r="M48" s="504"/>
      <x:c r="O48" s="432"/>
    </x:row>
    <x:row r="49" spans="1:16" ht="15" customHeight="1" x14ac:dyDescent="0.25">
      <x:c r="A49" s="551"/>
      <x:c r="B49" s="552"/>
      <x:c r="C49" s="644"/>
      <x:c r="D49" s="553"/>
      <x:c r="E49" s="554"/>
      <x:c r="F49" s="554"/>
      <x:c r="G49" s="466"/>
      <x:c r="H49" s="662"/>
      <x:c r="I49" s="553"/>
      <x:c r="J49" s="433"/>
      <x:c r="K49" s="468"/>
      <x:c r="L49" s="503"/>
      <x:c r="M49" s="504"/>
      <x:c r="O49" s="432"/>
    </x:row>
    <x:row r="50" spans="1:16" ht="15" customHeight="1" x14ac:dyDescent="0.3">
      <x:c r="G50" s="516">
        <x:f>SUM(G8:G49)</x:f>
      </x:c>
      <x:c r="J50" s="516">
        <x:f>SUM(J8:J49)</x:f>
      </x:c>
      <x:c r="M50" s="516">
        <x:f>SUM(M8:M49)</x:f>
      </x:c>
      <x:c r="O50" s="432"/>
    </x:row>
    <x:row r="51" spans="1:16" ht="15" customHeight="1" x14ac:dyDescent="0.25">
      <x:c r="G51" s="435"/>
      <x:c r="H51" s="435"/>
      <x:c r="O51" s="432"/>
    </x:row>
    <x:row r="52" spans="1:16" ht="15" customHeight="1" x14ac:dyDescent="0.25">
      <x:c r="A52" s="517" t="s">
        <x:v>30</x:v>
      </x:c>
      <x:c r="B52" s="518" t="s">
        <x:v>31</x:v>
      </x:c>
      <x:c r="C52" s="518" t="s">
        <x:v>32</x:v>
      </x:c>
      <x:c r="J52" s="435"/>
      <x:c r="O52" s="432"/>
    </x:row>
    <x:row r="53" spans="1:16" s="434" customFormat="1" x14ac:dyDescent="0.25">
      <x:c r="A53" s="551" t="s">
        <x:v>36</x:v>
      </x:c>
      <x:c r="B53" s="551" t="s">
        <x:v>1440</x:v>
      </x:c>
      <x:c r="C53" s="644" t="s">
        <x:v>1441</x:v>
      </x:c>
      <x:c r="D53" s="553">
        <x:v>45986</x:v>
      </x:c>
      <x:c r="E53" s="554">
        <x:f>639.9+213.3</x:f>
      </x:c>
      <x:c r="F53" s="554">
        <x:v>213.3</x:v>
      </x:c>
      <x:c r="G53" s="504">
        <x:v>695.89</x:v>
      </x:c>
      <x:c r="H53" s="662">
        <x:v>95.99</x:v>
      </x:c>
      <x:c r="I53" s="553">
        <x:v>46052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16" s="434" customFormat="1" x14ac:dyDescent="0.25">
      <x:c r="A54" s="551" t="s">
        <x:v>36</x:v>
      </x:c>
      <x:c r="B54" s="551" t="s">
        <x:v>1442</x:v>
      </x:c>
      <x:c r="C54" s="644" t="s">
        <x:v>1443</x:v>
      </x:c>
      <x:c r="D54" s="553">
        <x:v>45973</x:v>
      </x:c>
      <x:c r="E54" s="554">
        <x:f>559.26+186.42</x:f>
      </x:c>
      <x:c r="F54" s="554">
        <x:v>186.42</x:v>
      </x:c>
      <x:c r="G54" s="504">
        <x:v>608.19</x:v>
      </x:c>
      <x:c r="H54" s="662">
        <x:v>83.89</x:v>
      </x:c>
      <x:c r="I54" s="553">
        <x:v>46041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16" s="434" customFormat="1" x14ac:dyDescent="0.25">
      <x:c r="A55" s="551" t="s">
        <x:v>675</x:v>
      </x:c>
      <x:c r="B55" s="551" t="s">
        <x:v>1444</x:v>
      </x:c>
      <x:c r="C55" s="644" t="s">
        <x:v>1445</x:v>
      </x:c>
      <x:c r="D55" s="553">
        <x:v>45901</x:v>
      </x:c>
      <x:c r="E55" s="554">
        <x:f>140.58+46.86</x:f>
      </x:c>
      <x:c r="F55" s="554">
        <x:v>46.86</x:v>
      </x:c>
      <x:c r="G55" s="504">
        <x:v>152.88</x:v>
      </x:c>
      <x:c r="H55" s="662">
        <x:v>21.09</x:v>
      </x:c>
      <x:c r="I55" s="553">
        <x:v>46034</x:v>
      </x:c>
      <x:c r="J55" s="433">
        <x:f>+E55-F55</x:f>
      </x:c>
      <x:c r="K55" s="468">
        <x:f>+I55-D55</x:f>
      </x:c>
      <x:c r="L55" s="469">
        <x:v>0.03</x:v>
      </x:c>
      <x:c r="M55" s="433">
        <x:f>+J55*L55</x:f>
      </x:c>
      <x:c r="N55" s="470"/>
      <x:c r="O55" s="432"/>
    </x:row>
    <x:row r="56" spans="1:16" s="434" customFormat="1" x14ac:dyDescent="0.25">
      <x:c r="A56" s="551" t="s">
        <x:v>70</x:v>
      </x:c>
      <x:c r="B56" s="551" t="s">
        <x:v>1446</x:v>
      </x:c>
      <x:c r="C56" s="644" t="s">
        <x:v>1447</x:v>
      </x:c>
      <x:c r="D56" s="553">
        <x:v>45994</x:v>
      </x:c>
      <x:c r="E56" s="554">
        <x:f>326.4+81.6</x:f>
      </x:c>
      <x:c r="F56" s="554">
        <x:v>81.6</x:v>
      </x:c>
      <x:c r="G56" s="504">
        <x:v>354.96</x:v>
      </x:c>
      <x:c r="H56" s="662">
        <x:v>48.96</x:v>
      </x:c>
      <x:c r="I56" s="553">
        <x:v>46027</x:v>
      </x:c>
      <x:c r="J56" s="433">
        <x:f>+E56-F56</x:f>
      </x:c>
      <x:c r="K56" s="468">
        <x:f>+I56-D56</x:f>
      </x:c>
      <x:c r="L56" s="469">
        <x:v>0.03</x:v>
      </x:c>
      <x:c r="M56" s="433">
        <x:f>+J56*L56</x:f>
      </x:c>
      <x:c r="N56" s="470"/>
      <x:c r="O56" s="432"/>
    </x:row>
    <x:row r="57" spans="1:16" s="434" customFormat="1" x14ac:dyDescent="0.25">
      <x:c r="A57" s="551" t="s">
        <x:v>36</x:v>
      </x:c>
      <x:c r="B57" s="551" t="s">
        <x:v>1448</x:v>
      </x:c>
      <x:c r="C57" s="644" t="s">
        <x:v>1449</x:v>
      </x:c>
      <x:c r="D57" s="553">
        <x:v>45993</x:v>
      </x:c>
      <x:c r="E57" s="554">
        <x:f>341.55+113.85</x:f>
      </x:c>
      <x:c r="F57" s="554">
        <x:v>113.85</x:v>
      </x:c>
      <x:c r="G57" s="504">
        <x:v>371.43</x:v>
      </x:c>
      <x:c r="H57" s="662">
        <x:v>51.23</x:v>
      </x:c>
      <x:c r="I57" s="553">
        <x:v>46059</x:v>
      </x:c>
      <x:c r="J57" s="433">
        <x:f>+E57-F57</x:f>
      </x:c>
      <x:c r="K57" s="468">
        <x:f>+I57-D57</x:f>
      </x:c>
      <x:c r="L57" s="469">
        <x:v>0.03</x:v>
      </x:c>
      <x:c r="M57" s="433">
        <x:f>+J57*L57</x:f>
      </x:c>
      <x:c r="N57" s="633"/>
      <x:c r="O57" s="432"/>
    </x:row>
    <x:row r="58" spans="1:16" s="434" customFormat="1" x14ac:dyDescent="0.25">
      <x:c r="A58" s="551" t="s">
        <x:v>675</x:v>
      </x:c>
      <x:c r="B58" s="551" t="s">
        <x:v>1450</x:v>
      </x:c>
      <x:c r="C58" s="644" t="s">
        <x:v>1451</x:v>
      </x:c>
      <x:c r="D58" s="553">
        <x:v>45992</x:v>
      </x:c>
      <x:c r="E58" s="554">
        <x:f>801.9+267.3</x:f>
      </x:c>
      <x:c r="F58" s="554">
        <x:v>267.3</x:v>
      </x:c>
      <x:c r="G58" s="504">
        <x:v>872.07</x:v>
      </x:c>
      <x:c r="H58" s="662">
        <x:v>120.29</x:v>
      </x:c>
      <x:c r="I58" s="553">
        <x:v>46087</x:v>
      </x:c>
      <x:c r="J58" s="433">
        <x:f>+E58-F58</x:f>
      </x:c>
      <x:c r="K58" s="468">
        <x:f>+I58-D58</x:f>
      </x:c>
      <x:c r="L58" s="469">
        <x:v>0.03</x:v>
      </x:c>
      <x:c r="M58" s="433">
        <x:f>+J58*L58</x:f>
      </x:c>
      <x:c r="N58" s="470"/>
      <x:c r="O58" s="432"/>
    </x:row>
    <x:row r="59" spans="1:16" ht="15.6" customHeight="1" s="434" customFormat="1" x14ac:dyDescent="0.3">
      <x:c r="A59" s="487"/>
      <x:c r="B59" s="462"/>
      <x:c r="C59" s="487"/>
      <x:c r="D59" s="492"/>
      <x:c r="E59" s="490"/>
      <x:c r="F59" s="490"/>
      <x:c r="G59" s="491"/>
      <x:c r="H59" s="490"/>
      <x:c r="I59" s="653"/>
      <x:c r="J59" s="433"/>
      <x:c r="K59" s="468"/>
      <x:c r="L59" s="469"/>
      <x:c r="M59" s="433"/>
      <x:c r="N59" s="470"/>
      <x:c r="O59" s="432"/>
    </x:row>
    <x:row r="60" spans="1:16" ht="15" customHeight="1" x14ac:dyDescent="0.35">
      <x:c r="A60" s="493" t="s">
        <x:v>43</x:v>
      </x:c>
      <x:c r="B60" s="493"/>
      <x:c r="C60" s="493"/>
      <x:c r="D60" s="493"/>
      <x:c r="E60" s="493"/>
      <x:c r="F60" s="493"/>
      <x:c r="G60" s="516">
        <x:f>SUM(G50:G59)</x:f>
      </x:c>
      <x:c r="J60" s="516">
        <x:f>SUM(J50:J59)</x:f>
      </x:c>
      <x:c r="L60" s="495"/>
      <x:c r="M60" s="564">
        <x:f>SUM(M50:M59)</x:f>
      </x:c>
    </x:row>
    <x:row r="61" spans="1:16" ht="15" customHeight="1" x14ac:dyDescent="0.3">
      <x:c r="A61" s="520"/>
      <x:c r="G61" s="435"/>
    </x:row>
    <x:row r="62" spans="1:16" ht="15" customHeight="1" x14ac:dyDescent="0.3">
      <x:c r="A62" s="499"/>
      <x:c r="G62" s="435"/>
      <x:c r="J62" s="435"/>
    </x:row>
    <x:row r="63" spans="1:16" ht="15" customHeight="1" x14ac:dyDescent="0.3">
      <x:c r="A63" s="499"/>
      <x:c r="G63" s="435"/>
      <x:c r="J63" s="435"/>
    </x:row>
    <x:row r="64" spans="1:16" ht="15" customHeight="1" x14ac:dyDescent="0.3">
      <x:c r="A64" s="499"/>
      <x:c r="G64" s="435"/>
      <x:c r="J64" s="435"/>
    </x:row>
    <x:row r="65" spans="1:16" ht="15" customHeight="1" x14ac:dyDescent="0.3">
      <x:c r="A65" s="499"/>
      <x:c r="G65" s="435"/>
      <x:c r="J65" s="435"/>
      <x:c r="M65" s="565">
        <x:f>M60/12</x:f>
      </x:c>
      <x:c r="N65" s="431" t="s">
        <x:v>1180</x:v>
      </x:c>
    </x:row>
    <x:row r="66" spans="1:16" ht="15" customHeight="1" x14ac:dyDescent="0.3">
      <x:c r="A66" s="499"/>
      <x:c r="G66" s="435"/>
      <x:c r="J66" s="435"/>
      <x:c r="M66" s="565">
        <x:f>M60/24</x:f>
      </x:c>
      <x:c r="N66" s="431" t="s">
        <x:v>1180</x:v>
      </x:c>
    </x:row>
    <x:row r="67" spans="1:16" ht="15" customHeight="1" x14ac:dyDescent="0.25">
      <x:c r="A67" s="436" t="s">
        <x:v>0</x:v>
      </x:c>
      <x:c r="B67" s="436"/>
      <x:c r="C67" s="436"/>
      <x:c r="D67" s="436"/>
      <x:c r="E67" s="436"/>
      <x:c r="F67" s="436"/>
      <x:c r="G67" s="437"/>
      <x:c r="H67" s="438"/>
      <x:c r="I67" s="654"/>
      <x:c r="J67" s="440"/>
      <x:c r="K67" s="441"/>
      <x:c r="L67" s="442"/>
      <x:c r="M67" s="443"/>
    </x:row>
    <x:row r="68" spans="1:16" ht="15" customHeight="1" x14ac:dyDescent="0.25">
      <x:c r="A68" s="436" t="s">
        <x:v>1</x:v>
      </x:c>
      <x:c r="B68" s="436"/>
      <x:c r="C68" s="436"/>
      <x:c r="D68" s="436"/>
      <x:c r="E68" s="436"/>
      <x:c r="F68" s="436"/>
      <x:c r="G68" s="437"/>
      <x:c r="H68" s="438"/>
      <x:c r="I68" s="654"/>
      <x:c r="J68" s="441"/>
      <x:c r="K68" s="441"/>
      <x:c r="L68" s="442"/>
      <x:c r="M68" s="443"/>
    </x:row>
    <x:row r="69" spans="1:16" ht="15" customHeight="1" x14ac:dyDescent="0.25">
      <x:c r="A69" s="436"/>
      <x:c r="B69" s="436" t="s">
        <x:v>1403</x:v>
      </x:c>
      <x:c r="C69" s="436"/>
      <x:c r="D69" s="445"/>
      <x:c r="E69" s="436"/>
      <x:c r="F69" s="436"/>
      <x:c r="G69" s="437"/>
      <x:c r="H69" s="438"/>
      <x:c r="I69" s="654"/>
      <x:c r="J69" s="441"/>
      <x:c r="K69" s="441"/>
      <x:c r="L69" s="442"/>
      <x:c r="M69" s="443"/>
    </x:row>
    <x:row r="70" spans="1:16" ht="15" customHeight="1" x14ac:dyDescent="0.3">
      <x:c r="A70" s="436"/>
      <x:c r="B70" s="436" t="s">
        <x:v>1181</x:v>
      </x:c>
      <x:c r="C70" s="436"/>
      <x:c r="D70" s="445"/>
      <x:c r="E70" s="436"/>
      <x:c r="F70" s="436"/>
      <x:c r="G70" s="443"/>
      <x:c r="H70" s="437"/>
      <x:c r="I70" s="655"/>
      <x:c r="J70" s="441"/>
      <x:c r="K70" s="441"/>
      <x:c r="L70" s="442"/>
      <x:c r="M70" s="443"/>
    </x:row>
    <x:row r="71" spans="1:16" ht="15" customHeight="1" x14ac:dyDescent="0.25">
      <x:c r="A71" s="447" t="s">
        <x:v>4</x:v>
      </x:c>
      <x:c r="B71" s="609"/>
      <x:c r="C71" s="441"/>
      <x:c r="D71" s="439"/>
      <x:c r="E71" s="441"/>
      <x:c r="F71" s="441"/>
      <x:c r="G71" s="448" t="s">
        <x:v>5</x:v>
      </x:c>
      <x:c r="H71" s="441"/>
      <x:c r="I71" s="654"/>
      <x:c r="J71" s="449" t="s">
        <x:v>6</x:v>
      </x:c>
      <x:c r="K71" s="450" t="s">
        <x:v>7</x:v>
      </x:c>
      <x:c r="L71" s="451" t="s">
        <x:v>8</x:v>
      </x:c>
      <x:c r="M71" s="449" t="s">
        <x:v>9</x:v>
      </x:c>
      <x:c r="O71" s="435"/>
    </x:row>
    <x:row r="72" spans="1:16" ht="15" customHeight="1" x14ac:dyDescent="0.3">
      <x:c r="A72" s="452" t="s">
        <x:v>10</x:v>
      </x:c>
      <x:c r="B72" s="452" t="s">
        <x:v>11</x:v>
      </x:c>
      <x:c r="C72" s="452" t="s">
        <x:v>12</x:v>
      </x:c>
      <x:c r="D72" s="453" t="s">
        <x:v>13</x:v>
      </x:c>
      <x:c r="E72" s="452" t="s">
        <x:v>14</x:v>
      </x:c>
      <x:c r="F72" s="454" t="s">
        <x:v>15</x:v>
      </x:c>
      <x:c r="G72" s="455" t="s">
        <x:v>16</x:v>
      </x:c>
      <x:c r="H72" s="456" t="s">
        <x:v>17</x:v>
      </x:c>
      <x:c r="I72" s="656" t="s">
        <x:v>18</x:v>
      </x:c>
      <x:c r="J72" s="458" t="s">
        <x:v>19</x:v>
      </x:c>
      <x:c r="K72" s="459"/>
      <x:c r="L72" s="460" t="s">
        <x:v>20</x:v>
      </x:c>
      <x:c r="M72" s="458" t="s">
        <x:v>21</x:v>
      </x:c>
      <x:c r="O72" s="435"/>
    </x:row>
    <x:row r="73" spans="1:16" ht="15" customHeight="1" x14ac:dyDescent="0.25">
      <x:c r="A73" s="551" t="s">
        <x:v>1452</x:v>
      </x:c>
      <x:c r="B73" s="552" t="s">
        <x:v>1362</x:v>
      </x:c>
      <x:c r="C73" s="644" t="s">
        <x:v>1453</x:v>
      </x:c>
      <x:c r="D73" s="553">
        <x:v>45875</x:v>
      </x:c>
      <x:c r="E73" s="662">
        <x:f>570.24+142.56</x:f>
      </x:c>
      <x:c r="F73" s="662">
        <x:v>142.56</x:v>
      </x:c>
      <x:c r="G73" s="504">
        <x:v>310.07</x:v>
      </x:c>
      <x:c r="H73" s="662">
        <x:v>85.54</x:v>
      </x:c>
      <x:c r="I73" s="553">
        <x:v>45999</x:v>
      </x:c>
      <x:c r="J73" s="433">
        <x:v>285.12</x:v>
      </x:c>
      <x:c r="K73" s="468">
        <x:f>+I73-D73</x:f>
      </x:c>
      <x:c r="L73" s="469">
        <x:v>0.03</x:v>
      </x:c>
      <x:c r="M73" s="433">
        <x:f>+J73*L73</x:f>
      </x:c>
    </x:row>
    <x:row r="74" spans="1:16" ht="15" customHeight="1" x14ac:dyDescent="0.25">
      <x:c r="A74" s="551" t="s">
        <x:v>1452</x:v>
      </x:c>
      <x:c r="B74" s="552" t="s">
        <x:v>1362</x:v>
      </x:c>
      <x:c r="C74" s="644" t="s">
        <x:v>1453</x:v>
      </x:c>
      <x:c r="D74" s="553">
        <x:v>45875</x:v>
      </x:c>
      <x:c r="E74" s="662">
        <x:f>570.24+142.56</x:f>
      </x:c>
      <x:c r="F74" s="662">
        <x:v>142.56</x:v>
      </x:c>
      <x:c r="G74" s="504">
        <x:v>310.07</x:v>
      </x:c>
      <x:c r="H74" s="662">
        <x:v>85.54</x:v>
      </x:c>
      <x:c r="I74" s="553">
        <x:v>45993</x:v>
      </x:c>
      <x:c r="J74" s="433">
        <x:v>285.12</x:v>
      </x:c>
      <x:c r="K74" s="468">
        <x:f>+I74-D74</x:f>
      </x:c>
      <x:c r="L74" s="469">
        <x:v>0.03</x:v>
      </x:c>
      <x:c r="M74" s="433">
        <x:f>+J74*L74</x:f>
      </x:c>
      <x:c r="N74" s="661"/>
    </x:row>
    <x:row r="75" spans="1:16" ht="15" customHeight="1" x14ac:dyDescent="0.25">
      <x:c r="A75" s="551" t="s">
        <x:v>1361</x:v>
      </x:c>
      <x:c r="B75" s="552" t="s">
        <x:v>1362</x:v>
      </x:c>
      <x:c r="C75" s="644" t="s">
        <x:v>1363</x:v>
      </x:c>
      <x:c r="D75" s="553">
        <x:v>45875</x:v>
      </x:c>
      <x:c r="E75" s="662">
        <x:f>340.55+50.89</x:f>
      </x:c>
      <x:c r="F75" s="662">
        <x:v>50.89</x:v>
      </x:c>
      <x:c r="G75" s="504">
        <x:v>241.63</x:v>
      </x:c>
      <x:c r="H75" s="662">
        <x:v>51.08</x:v>
      </x:c>
      <x:c r="I75" s="553">
        <x:v>45981</x:v>
      </x:c>
      <x:c r="J75" s="433">
        <x:f>241.63/1.15</x:f>
      </x:c>
      <x:c r="K75" s="468">
        <x:f>+I75-D75</x:f>
      </x:c>
      <x:c r="L75" s="469">
        <x:v>0.03</x:v>
      </x:c>
      <x:c r="M75" s="433">
        <x:f>+J75*L75</x:f>
      </x:c>
    </x:row>
    <x:row r="76" spans="1:16" ht="15" customHeight="1" x14ac:dyDescent="0.25">
      <x:c r="A76" s="551" t="s">
        <x:v>1400</x:v>
      </x:c>
      <x:c r="B76" s="552" t="s">
        <x:v>1401</x:v>
      </x:c>
      <x:c r="C76" s="644" t="s">
        <x:v>1402</x:v>
      </x:c>
      <x:c r="D76" s="553">
        <x:v>45902</x:v>
      </x:c>
      <x:c r="E76" s="662">
        <x:f>299.11+44.69</x:f>
      </x:c>
      <x:c r="F76" s="662">
        <x:v>44.69</x:v>
      </x:c>
      <x:c r="G76" s="504">
        <x:v>118.98</x:v>
      </x:c>
      <x:c r="H76" s="662">
        <x:v>44.87</x:v>
      </x:c>
      <x:c r="I76" s="553">
        <x:v>45987</x:v>
      </x:c>
      <x:c r="J76" s="433">
        <x:f>118.98/1.15</x:f>
      </x:c>
      <x:c r="K76" s="468">
        <x:f>+I76-D76</x:f>
      </x:c>
      <x:c r="L76" s="469">
        <x:v>0.03</x:v>
      </x:c>
      <x:c r="M76" s="433">
        <x:f>+J76*L76</x:f>
      </x:c>
    </x:row>
    <x:row r="77" spans="1:16" ht="15" customHeight="1" x14ac:dyDescent="0.25">
      <x:c r="A77" s="551" t="s">
        <x:v>242</x:v>
      </x:c>
      <x:c r="B77" s="552" t="s">
        <x:v>734</x:v>
      </x:c>
      <x:c r="C77" s="644" t="s">
        <x:v>1454</x:v>
      </x:c>
      <x:c r="D77" s="553">
        <x:v>45904</x:v>
      </x:c>
      <x:c r="E77" s="662">
        <x:f>380.16+95.04</x:f>
      </x:c>
      <x:c r="F77" s="662">
        <x:v>95.04</x:v>
      </x:c>
      <x:c r="G77" s="504">
        <x:v>136.24</x:v>
      </x:c>
      <x:c r="H77" s="662">
        <x:v>57.02</x:v>
      </x:c>
      <x:c r="I77" s="553">
        <x:v>46006</x:v>
      </x:c>
      <x:c r="J77" s="433">
        <x:v>118.47</x:v>
      </x:c>
      <x:c r="K77" s="468">
        <x:f>+I77-D77</x:f>
      </x:c>
      <x:c r="L77" s="469">
        <x:v>0.03</x:v>
      </x:c>
      <x:c r="M77" s="433">
        <x:f>+J77*L77</x:f>
      </x:c>
    </x:row>
    <x:row r="78" spans="1:16" ht="15" customHeight="1" x14ac:dyDescent="0.25">
      <x:c r="A78" s="551" t="s">
        <x:v>242</x:v>
      </x:c>
      <x:c r="B78" s="552" t="s">
        <x:v>734</x:v>
      </x:c>
      <x:c r="C78" s="644" t="s">
        <x:v>1454</x:v>
      </x:c>
      <x:c r="D78" s="553">
        <x:v>45904</x:v>
      </x:c>
      <x:c r="E78" s="662">
        <x:f>380.16+95.04</x:f>
      </x:c>
      <x:c r="F78" s="662">
        <x:v>95.04</x:v>
      </x:c>
      <x:c r="G78" s="504">
        <x:v>280</x:v>
      </x:c>
      <x:c r="H78" s="662">
        <x:v>57.02</x:v>
      </x:c>
      <x:c r="I78" s="553">
        <x:v>45994</x:v>
      </x:c>
      <x:c r="J78" s="433">
        <x:v>261.69</x:v>
      </x:c>
      <x:c r="K78" s="468">
        <x:f>+I78-D78</x:f>
      </x:c>
      <x:c r="L78" s="469">
        <x:v>0.03</x:v>
      </x:c>
      <x:c r="M78" s="433">
        <x:f>+J78*L78</x:f>
      </x:c>
      <x:c r="N78" s="661"/>
    </x:row>
    <x:row r="79" spans="1:16" ht="15" customHeight="1" x14ac:dyDescent="0.25">
      <x:c r="A79" s="551" t="s">
        <x:v>584</x:v>
      </x:c>
      <x:c r="B79" s="552" t="s">
        <x:v>734</x:v>
      </x:c>
      <x:c r="C79" s="644" t="s">
        <x:v>1455</x:v>
      </x:c>
      <x:c r="D79" s="553">
        <x:v>45943</x:v>
      </x:c>
      <x:c r="E79" s="662">
        <x:f>152.69+26.95</x:f>
      </x:c>
      <x:c r="F79" s="662">
        <x:v>26.95</x:v>
      </x:c>
      <x:c r="G79" s="504">
        <x:v>166.05</x:v>
      </x:c>
      <x:c r="H79" s="662">
        <x:v>22.9</x:v>
      </x:c>
      <x:c r="I79" s="553">
        <x:v>46007</x:v>
      </x:c>
      <x:c r="J79" s="433">
        <x:f>E79-F79</x:f>
      </x:c>
      <x:c r="K79" s="468">
        <x:f>+I79-D79</x:f>
      </x:c>
      <x:c r="L79" s="469">
        <x:v>0.03</x:v>
      </x:c>
      <x:c r="M79" s="433">
        <x:f>+J79*L79</x:f>
      </x:c>
    </x:row>
    <x:row r="80" spans="1:16" ht="15" customHeight="1" x14ac:dyDescent="0.25">
      <x:c r="A80" s="551" t="s">
        <x:v>82</x:v>
      </x:c>
      <x:c r="B80" s="552" t="s">
        <x:v>1456</x:v>
      </x:c>
      <x:c r="C80" s="644" t="s">
        <x:v>1457</x:v>
      </x:c>
      <x:c r="D80" s="553">
        <x:v>45946</x:v>
      </x:c>
      <x:c r="E80" s="662">
        <x:f>100.98+17.82</x:f>
      </x:c>
      <x:c r="F80" s="662">
        <x:v>17.82</x:v>
      </x:c>
      <x:c r="G80" s="504">
        <x:v>109.82</x:v>
      </x:c>
      <x:c r="H80" s="662">
        <x:v>15.15</x:v>
      </x:c>
      <x:c r="I80" s="553">
        <x:v>46013</x:v>
      </x:c>
      <x:c r="J80" s="433">
        <x:f>E80-F80</x:f>
      </x:c>
      <x:c r="K80" s="468">
        <x:f>+I80-D80</x:f>
      </x:c>
      <x:c r="L80" s="469">
        <x:v>0.03</x:v>
      </x:c>
      <x:c r="M80" s="433">
        <x:f>+J80*L80</x:f>
      </x:c>
    </x:row>
    <x:row r="81" spans="1:16" ht="15" customHeight="1" x14ac:dyDescent="0.25">
      <x:c r="A81" s="551" t="s">
        <x:v>287</x:v>
      </x:c>
      <x:c r="B81" s="552" t="s">
        <x:v>288</x:v>
      </x:c>
      <x:c r="C81" s="644" t="s">
        <x:v>1458</x:v>
      </x:c>
      <x:c r="D81" s="553">
        <x:v>45968</x:v>
      </x:c>
      <x:c r="E81" s="662">
        <x:f>31.32+3.48</x:f>
      </x:c>
      <x:c r="F81" s="662">
        <x:v>3.48</x:v>
      </x:c>
      <x:c r="G81" s="504">
        <x:v>36.02</x:v>
      </x:c>
      <x:c r="H81" s="662">
        <x:v>4.7</x:v>
      </x:c>
      <x:c r="I81" s="553">
        <x:v>46000</x:v>
      </x:c>
      <x:c r="J81" s="433">
        <x:f>E81-F81</x:f>
      </x:c>
      <x:c r="K81" s="468">
        <x:f>+I81-D81</x:f>
      </x:c>
      <x:c r="L81" s="469">
        <x:v>0.03</x:v>
      </x:c>
      <x:c r="M81" s="433">
        <x:f>+J81*L81</x:f>
      </x:c>
    </x:row>
    <x:row r="82" spans="1:16" ht="15" customHeight="1" x14ac:dyDescent="0.3">
      <x:c r="A82" s="471"/>
      <x:c r="B82" s="472"/>
      <x:c r="C82" s="472"/>
      <x:c r="D82" s="473"/>
      <x:c r="E82" s="474"/>
      <x:c r="F82" s="474"/>
      <x:c r="G82" s="475"/>
      <x:c r="H82" s="476"/>
      <x:c r="I82" s="657"/>
      <x:c r="J82" s="433"/>
      <x:c r="K82" s="468"/>
      <x:c r="L82" s="469"/>
      <x:c r="M82" s="433"/>
    </x:row>
    <x:row r="83" spans="1:16" ht="15" customHeight="1" x14ac:dyDescent="0.25">
      <x:c r="A83" s="478"/>
      <x:c r="B83" s="478"/>
      <x:c r="C83" s="478"/>
      <x:c r="D83" s="478"/>
      <x:c r="E83" s="478"/>
      <x:c r="F83" s="478"/>
      <x:c r="G83" s="479">
        <x:f>SUM(G73:G82)</x:f>
      </x:c>
      <x:c r="H83" s="480"/>
      <x:c r="I83" s="658"/>
      <x:c r="J83" s="479">
        <x:f>SUM(J73:J82)</x:f>
      </x:c>
      <x:c r="K83" s="482"/>
      <x:c r="L83" s="482"/>
      <x:c r="M83" s="479">
        <x:f>SUM(M73:M82)</x:f>
      </x:c>
    </x:row>
    <x:row r="84" spans="1:16" ht="15" customHeight="1" x14ac:dyDescent="0.25">
      <x:c r="A84" s="483"/>
      <x:c r="B84" s="483"/>
      <x:c r="C84" s="483"/>
      <x:c r="D84" s="484"/>
      <x:c r="E84" s="483"/>
      <x:c r="F84" s="483"/>
      <x:c r="G84" s="432"/>
      <x:c r="H84" s="434"/>
      <x:c r="I84" s="659"/>
      <x:c r="J84" s="434"/>
      <x:c r="K84" s="434"/>
      <x:c r="L84" s="434"/>
      <x:c r="M84" s="434"/>
    </x:row>
    <x:row r="85" spans="1:16" x14ac:dyDescent="0.25">
      <x:c r="A85" s="483"/>
      <x:c r="B85" s="483"/>
      <x:c r="C85" s="483"/>
      <x:c r="D85" s="484"/>
      <x:c r="E85" s="483"/>
      <x:c r="F85" s="483"/>
      <x:c r="G85" s="432"/>
      <x:c r="H85" s="434"/>
      <x:c r="I85" s="659"/>
      <x:c r="J85" s="432"/>
      <x:c r="K85" s="434"/>
      <x:c r="L85" s="434"/>
      <x:c r="M85" s="432"/>
    </x:row>
    <x:row r="86" spans="1:16" x14ac:dyDescent="0.25">
      <x:c r="A86" s="434" t="s">
        <x:v>30</x:v>
      </x:c>
      <x:c r="B86" s="483" t="s">
        <x:v>31</x:v>
      </x:c>
      <x:c r="C86" s="483" t="s">
        <x:v>32</x:v>
      </x:c>
      <x:c r="D86" s="485"/>
      <x:c r="E86" s="434"/>
      <x:c r="F86" s="434"/>
      <x:c r="G86" s="432"/>
      <x:c r="H86" s="434"/>
      <x:c r="I86" s="659"/>
      <x:c r="J86" s="434"/>
      <x:c r="K86" s="434"/>
      <x:c r="L86" s="434"/>
      <x:c r="M86" s="434"/>
    </x:row>
    <x:row r="87" spans="1:16" ht="15" customHeight="1" s="434" customFormat="1" x14ac:dyDescent="0.25">
      <x:c r="A87" s="487"/>
      <x:c r="B87" s="487"/>
      <x:c r="C87" s="462"/>
      <x:c r="D87" s="492"/>
      <x:c r="E87" s="490"/>
      <x:c r="F87" s="490"/>
      <x:c r="G87" s="491"/>
      <x:c r="H87" s="490"/>
      <x:c r="I87" s="653"/>
      <x:c r="J87" s="433"/>
      <x:c r="K87" s="468"/>
      <x:c r="L87" s="469"/>
      <x:c r="M87" s="433"/>
      <x:c r="N87" s="470"/>
    </x:row>
    <x:row r="88" spans="1:16" ht="15.6" customHeight="1" x14ac:dyDescent="0.3">
      <x:c r="A88" s="486"/>
      <x:c r="B88" s="462"/>
      <x:c r="C88" s="488"/>
      <x:c r="D88" s="489"/>
      <x:c r="E88" s="490"/>
      <x:c r="F88" s="490"/>
      <x:c r="G88" s="491"/>
      <x:c r="H88" s="490"/>
      <x:c r="I88" s="653"/>
      <x:c r="J88" s="433"/>
      <x:c r="K88" s="468"/>
      <x:c r="L88" s="469"/>
      <x:c r="M88" s="433"/>
    </x:row>
    <x:row r="89" spans="1:16" ht="16.2" customHeight="1" x14ac:dyDescent="0.35">
      <x:c r="A89" s="493" t="s">
        <x:v>43</x:v>
      </x:c>
      <x:c r="B89" s="493"/>
      <x:c r="C89" s="493"/>
      <x:c r="D89" s="493"/>
      <x:c r="E89" s="493"/>
      <x:c r="F89" s="493"/>
      <x:c r="G89" s="494">
        <x:f>SUM(G83:G88)</x:f>
      </x:c>
      <x:c r="I89" s="660"/>
      <x:c r="J89" s="494">
        <x:f>SUM(J83:J88)</x:f>
      </x:c>
      <x:c r="L89" s="495"/>
      <x:c r="M89" s="496">
        <x:f>SUM(M83:M88)</x:f>
      </x:c>
    </x:row>
    <x:row r="90" spans="1:16" x14ac:dyDescent="0.25">
      <x:c r="A90" s="497"/>
      <x:c r="E90" s="497"/>
      <x:c r="F90" s="497"/>
      <x:c r="G90" s="435"/>
      <x:c r="I90" s="660"/>
    </x:row>
    <x:row r="92" spans="1:16" x14ac:dyDescent="0.25">
      <x:c r="J92" s="435"/>
    </x:row>
    <x:row r="93" spans="1:16" x14ac:dyDescent="0.25">
      <x:c r="J93" s="435"/>
    </x:row>
    <x:row r="94" spans="1:16" x14ac:dyDescent="0.25">
      <x:c r="J94" s="435">
        <x:f>(J60+J89)*2%</x:f>
      </x:c>
      <x:c r="M94" s="565">
        <x:f>M89/12</x:f>
      </x:c>
      <x:c r="N94" s="431" t="s">
        <x:v>1199</x:v>
      </x:c>
    </x:row>
    <x:row r="95" spans="1:16" x14ac:dyDescent="0.25">
      <x:c r="J95" s="565">
        <x:f>J94/12</x:f>
      </x:c>
      <x:c r="K95" s="429" t="s">
        <x:v>655</x:v>
      </x:c>
      <x:c r="M95" s="565">
        <x:f>M89/24</x:f>
      </x:c>
      <x:c r="N95" s="431" t="s">
        <x:v>1199</x:v>
      </x:c>
    </x:row>
    <x:row r="96" spans="1:16" x14ac:dyDescent="0.25">
      <x:c r="J96" s="565">
        <x:f>J94/24</x:f>
      </x:c>
      <x:c r="K96" s="429" t="s">
        <x:v>655</x:v>
      </x:c>
    </x:row>
  </x:sheetData>
  <x:sortState xmlns:xlrd2="http://schemas.microsoft.com/office/spreadsheetml/2017/richdata2" ref="A73:P81">
    <x:sortCondition ref="C73:C81"/>
  </x:sortState>
  <x:mergeCells count="2">
    <x:mergeCell ref="A3:F3"/>
    <x:mergeCell ref="A60:F60"/>
  </x:mergeCells>
  <x:printOptions horizontalCentered="0" verticalCentered="0" headings="0" gridLines="0"/>
  <x:pageMargins left="0.1968503937007874" right="0" top="0.5905511811023623" bottom="0" header="0" footer="0"/>
  <x:pageSetup paperSize="9" scale="85" pageOrder="downThenOver" orientation="landscape" blackAndWhite="0" draft="0" cellComments="none" errors="displayed" r:id="rId1"/>
  <x:headerFooter/>
  <x:tableParts count="0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2084D4-E62D-4F00-BFA5-CCB82F8AB2FE}" mc:Ignorable="x14ac xr xr2 xr3">
  <x:sheetPr>
    <x:outlinePr summaryBelow="1" summaryRight="1"/>
  </x:sheetPr>
  <x:dimension ref="A1:O84"/>
  <x:sheetViews>
    <x:sheetView topLeftCell="D63" workbookViewId="0">
      <x:selection activeCell="A21" sqref="A21 1:1048576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3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24.332031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1459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25">
      <x:c r="A8" s="551" t="s">
        <x:v>400</x:v>
      </x:c>
      <x:c r="B8" s="552" t="s">
        <x:v>401</x:v>
      </x:c>
      <x:c r="C8" s="644" t="s">
        <x:v>1460</x:v>
      </x:c>
      <x:c r="D8" s="553">
        <x:v>45757</x:v>
      </x:c>
      <x:c r="E8" s="662">
        <x:f>313.65+55.35</x:f>
      </x:c>
      <x:c r="F8" s="662">
        <x:v>55.35</x:v>
      </x:c>
      <x:c r="G8" s="504">
        <x:v>190</x:v>
      </x:c>
      <x:c r="H8" s="662">
        <x:v>47.05</x:v>
      </x:c>
      <x:c r="I8" s="553">
        <x:v>46038</x:v>
      </x:c>
      <x:c r="J8" s="433">
        <x:f>190/1.15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16" ht="15" customHeight="1" x14ac:dyDescent="0.25">
      <x:c r="A9" s="551" t="s">
        <x:v>491</x:v>
      </x:c>
      <x:c r="B9" s="552" t="s">
        <x:v>492</x:v>
      </x:c>
      <x:c r="C9" s="644" t="s">
        <x:v>1407</x:v>
      </x:c>
      <x:c r="D9" s="553">
        <x:v>45810</x:v>
      </x:c>
      <x:c r="E9" s="662">
        <x:f>3269.75+1089.92</x:f>
      </x:c>
      <x:c r="F9" s="662">
        <x:v>1089.92</x:v>
      </x:c>
      <x:c r="G9" s="504">
        <x:v>500.36</x:v>
      </x:c>
      <x:c r="H9" s="662">
        <x:v>490.46</x:v>
      </x:c>
      <x:c r="I9" s="553">
        <x:v>46036</x:v>
      </x:c>
      <x:c r="J9" s="433">
        <x:f>500.36/1.15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25">
      <x:c r="A10" s="551" t="s">
        <x:v>491</x:v>
      </x:c>
      <x:c r="B10" s="552" t="s">
        <x:v>492</x:v>
      </x:c>
      <x:c r="C10" s="644" t="s">
        <x:v>1407</x:v>
      </x:c>
      <x:c r="D10" s="553">
        <x:v>45810</x:v>
      </x:c>
      <x:c r="E10" s="662">
        <x:f>3269.75+1089.92</x:f>
      </x:c>
      <x:c r="F10" s="662">
        <x:v>1089.92</x:v>
      </x:c>
      <x:c r="G10" s="504">
        <x:v>300</x:v>
      </x:c>
      <x:c r="H10" s="662">
        <x:v>490.46</x:v>
      </x:c>
      <x:c r="I10" s="553">
        <x:v>46045</x:v>
      </x:c>
      <x:c r="J10" s="433">
        <x:f>300/1.15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25">
      <x:c r="A11" s="551" t="s">
        <x:v>422</x:v>
      </x:c>
      <x:c r="B11" s="552" t="s">
        <x:v>463</x:v>
      </x:c>
      <x:c r="C11" s="644" t="s">
        <x:v>1461</x:v>
      </x:c>
      <x:c r="D11" s="553">
        <x:v>45908</x:v>
      </x:c>
      <x:c r="E11" s="662">
        <x:f>164.63+29.05</x:f>
      </x:c>
      <x:c r="F11" s="662">
        <x:v>29.05</x:v>
      </x:c>
      <x:c r="G11" s="504">
        <x:v>189.32</x:v>
      </x:c>
      <x:c r="H11" s="662">
        <x:v>24.69</x:v>
      </x:c>
      <x:c r="I11" s="553">
        <x:v>46044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16" ht="15" customHeight="1" x14ac:dyDescent="0.25">
      <x:c r="A12" s="551" t="s">
        <x:v>364</x:v>
      </x:c>
      <x:c r="B12" s="552" t="s">
        <x:v>336</x:v>
      </x:c>
      <x:c r="C12" s="644" t="s">
        <x:v>1462</x:v>
      </x:c>
      <x:c r="D12" s="553">
        <x:v>45908</x:v>
      </x:c>
      <x:c r="E12" s="662">
        <x:f>38.76+6.84</x:f>
      </x:c>
      <x:c r="F12" s="662">
        <x:v>6.84</x:v>
      </x:c>
      <x:c r="G12" s="504">
        <x:v>44.57</x:v>
      </x:c>
      <x:c r="H12" s="662">
        <x:v>5.81</x:v>
      </x:c>
      <x:c r="I12" s="553">
        <x:v>46041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16" ht="15" customHeight="1" x14ac:dyDescent="0.25">
      <x:c r="A13" s="551" t="s">
        <x:v>485</x:v>
      </x:c>
      <x:c r="B13" s="552" t="s">
        <x:v>105</x:v>
      </x:c>
      <x:c r="C13" s="644" t="s">
        <x:v>1463</x:v>
      </x:c>
      <x:c r="D13" s="553">
        <x:v>45936</x:v>
      </x:c>
      <x:c r="E13" s="662">
        <x:f>93.92+16.57</x:f>
      </x:c>
      <x:c r="F13" s="662">
        <x:v>16.57</x:v>
      </x:c>
      <x:c r="G13" s="504">
        <x:v>108.08</x:v>
      </x:c>
      <x:c r="H13" s="662">
        <x:v>14.09</x:v>
      </x:c>
      <x:c r="I13" s="553">
        <x:v>46044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25">
      <x:c r="A14" s="551" t="s">
        <x:v>109</x:v>
      </x:c>
      <x:c r="B14" s="552" t="s">
        <x:v>110</x:v>
      </x:c>
      <x:c r="C14" s="644" t="s">
        <x:v>1464</x:v>
      </x:c>
      <x:c r="D14" s="553">
        <x:v>45952</x:v>
      </x:c>
      <x:c r="E14" s="662">
        <x:f>146.98+25.94</x:f>
      </x:c>
      <x:c r="F14" s="662">
        <x:v>25.94</x:v>
      </x:c>
      <x:c r="G14" s="504">
        <x:v>159.85</x:v>
      </x:c>
      <x:c r="H14" s="662">
        <x:v>22.05</x:v>
      </x:c>
      <x:c r="I14" s="553">
        <x:v>46049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16" ht="15" customHeight="1" x14ac:dyDescent="0.25">
      <x:c r="A15" s="551" t="s">
        <x:v>494</x:v>
      </x:c>
      <x:c r="B15" s="552" t="s">
        <x:v>110</x:v>
      </x:c>
      <x:c r="C15" s="644" t="s">
        <x:v>1465</x:v>
      </x:c>
      <x:c r="D15" s="553">
        <x:v>45953</x:v>
      </x:c>
      <x:c r="E15" s="662">
        <x:f>113.32+20</x:f>
      </x:c>
      <x:c r="F15" s="662">
        <x:v>20</x:v>
      </x:c>
      <x:c r="G15" s="504">
        <x:v>128.34</x:v>
      </x:c>
      <x:c r="H15" s="662">
        <x:v>17</x:v>
      </x:c>
      <x:c r="I15" s="553">
        <x:v>46052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25">
      <x:c r="A16" s="551" t="s">
        <x:v>1466</x:v>
      </x:c>
      <x:c r="B16" s="552" t="s">
        <x:v>110</x:v>
      </x:c>
      <x:c r="C16" s="644" t="s">
        <x:v>1467</x:v>
      </x:c>
      <x:c r="D16" s="553">
        <x:v>45953</x:v>
      </x:c>
      <x:c r="E16" s="662">
        <x:f>98.33+17.35</x:f>
      </x:c>
      <x:c r="F16" s="662">
        <x:v>17.35</x:v>
      </x:c>
      <x:c r="G16" s="504">
        <x:v>113.08</x:v>
      </x:c>
      <x:c r="H16" s="662">
        <x:v>14.75</x:v>
      </x:c>
      <x:c r="I16" s="553">
        <x:v>46044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25">
      <x:c r="A17" s="551" t="s">
        <x:v>1231</x:v>
      </x:c>
      <x:c r="B17" s="552" t="s">
        <x:v>320</x:v>
      </x:c>
      <x:c r="C17" s="644" t="s">
        <x:v>1468</x:v>
      </x:c>
      <x:c r="D17" s="553">
        <x:v>45953</x:v>
      </x:c>
      <x:c r="E17" s="662">
        <x:f>125.77+22.19</x:f>
      </x:c>
      <x:c r="F17" s="662">
        <x:v>22.19</x:v>
      </x:c>
      <x:c r="G17" s="504">
        <x:v>136.77</x:v>
      </x:c>
      <x:c r="H17" s="662">
        <x:v>18.86</x:v>
      </x:c>
      <x:c r="I17" s="553">
        <x:v>46044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25">
      <x:c r="A18" s="551" t="s">
        <x:v>67</x:v>
      </x:c>
      <x:c r="B18" s="552" t="s">
        <x:v>26</x:v>
      </x:c>
      <x:c r="C18" s="644" t="s">
        <x:v>1469</x:v>
      </x:c>
      <x:c r="D18" s="553">
        <x:v>45968</x:v>
      </x:c>
      <x:c r="E18" s="662">
        <x:f>146.88+36.72</x:f>
      </x:c>
      <x:c r="F18" s="662">
        <x:v>36.72</x:v>
      </x:c>
      <x:c r="G18" s="504">
        <x:v>168.91</x:v>
      </x:c>
      <x:c r="H18" s="662">
        <x:v>22.03</x:v>
      </x:c>
      <x:c r="I18" s="553">
        <x:v>46051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25">
      <x:c r="A19" s="551" t="s">
        <x:v>757</x:v>
      </x:c>
      <x:c r="B19" s="552" t="s">
        <x:v>401</x:v>
      </x:c>
      <x:c r="C19" s="644" t="s">
        <x:v>1470</x:v>
      </x:c>
      <x:c r="D19" s="553">
        <x:v>45985</x:v>
      </x:c>
      <x:c r="E19" s="662">
        <x:f>67.32+11.88</x:f>
      </x:c>
      <x:c r="F19" s="662">
        <x:v>11.88</x:v>
      </x:c>
      <x:c r="G19" s="504">
        <x:v>77.42</x:v>
      </x:c>
      <x:c r="H19" s="662">
        <x:v>10.1</x:v>
      </x:c>
      <x:c r="I19" s="553">
        <x:v>46044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25">
      <x:c r="A20" s="551" t="s">
        <x:v>25</x:v>
      </x:c>
      <x:c r="B20" s="552" t="s">
        <x:v>26</x:v>
      </x:c>
      <x:c r="C20" s="644" t="s">
        <x:v>1471</x:v>
      </x:c>
      <x:c r="D20" s="553">
        <x:v>45985</x:v>
      </x:c>
      <x:c r="E20" s="662">
        <x:f>489.6+122.4</x:f>
      </x:c>
      <x:c r="F20" s="662">
        <x:v>122.4</x:v>
      </x:c>
      <x:c r="G20" s="504">
        <x:v>532.44</x:v>
      </x:c>
      <x:c r="H20" s="662">
        <x:v>73.44</x:v>
      </x:c>
      <x:c r="I20" s="553">
        <x:v>46029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25">
      <x:c r="A21" s="551" t="s">
        <x:v>88</x:v>
      </x:c>
      <x:c r="B21" s="552" t="s">
        <x:v>26</x:v>
      </x:c>
      <x:c r="C21" s="644" t="s">
        <x:v>1472</x:v>
      </x:c>
      <x:c r="D21" s="553">
        <x:v>45993</x:v>
      </x:c>
      <x:c r="E21" s="662">
        <x:f>223.69+39.47</x:f>
      </x:c>
      <x:c r="F21" s="662">
        <x:v>39.47</x:v>
      </x:c>
      <x:c r="G21" s="504">
        <x:v>243.26</x:v>
      </x:c>
      <x:c r="H21" s="662">
        <x:v>33.55</x:v>
      </x:c>
      <x:c r="I21" s="553">
        <x:v>46045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25">
      <x:c r="A22" s="551" t="s">
        <x:v>52</x:v>
      </x:c>
      <x:c r="B22" s="552" t="s">
        <x:v>53</x:v>
      </x:c>
      <x:c r="C22" s="644" t="s">
        <x:v>1473</x:v>
      </x:c>
      <x:c r="D22" s="553">
        <x:v>45996</x:v>
      </x:c>
      <x:c r="E22" s="662">
        <x:f>324.9+108.3</x:f>
      </x:c>
      <x:c r="F22" s="662">
        <x:v>108.3</x:v>
      </x:c>
      <x:c r="G22" s="504">
        <x:v>353.33</x:v>
      </x:c>
      <x:c r="H22" s="662">
        <x:v>48.74</x:v>
      </x:c>
      <x:c r="I22" s="553">
        <x:v>46031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25">
      <x:c r="A23" s="551" t="s">
        <x:v>25</x:v>
      </x:c>
      <x:c r="B23" s="552" t="s">
        <x:v>26</x:v>
      </x:c>
      <x:c r="C23" s="644" t="s">
        <x:v>1474</x:v>
      </x:c>
      <x:c r="D23" s="553">
        <x:v>46003</x:v>
      </x:c>
      <x:c r="E23" s="662">
        <x:f>81.6+20.4</x:f>
      </x:c>
      <x:c r="F23" s="662">
        <x:v>20.4</x:v>
      </x:c>
      <x:c r="G23" s="504">
        <x:v>88.74</x:v>
      </x:c>
      <x:c r="H23" s="662">
        <x:v>12.24</x:v>
      </x:c>
      <x:c r="I23" s="553">
        <x:v>46034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25">
      <x:c r="A24" s="551" t="s">
        <x:v>118</x:v>
      </x:c>
      <x:c r="B24" s="552" t="s">
        <x:v>26</x:v>
      </x:c>
      <x:c r="C24" s="644" t="s">
        <x:v>1475</x:v>
      </x:c>
      <x:c r="D24" s="553">
        <x:v>46007</x:v>
      </x:c>
      <x:c r="E24" s="662">
        <x:f>23.87+6.73</x:f>
      </x:c>
      <x:c r="F24" s="662">
        <x:v>6.73</x:v>
      </x:c>
      <x:c r="G24" s="504">
        <x:v>25.96</x:v>
      </x:c>
      <x:c r="H24" s="662">
        <x:v>3.58</x:v>
      </x:c>
      <x:c r="I24" s="553">
        <x:v>46038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25">
      <x:c r="A25" s="551" t="s">
        <x:v>118</x:v>
      </x:c>
      <x:c r="B25" s="552" t="s">
        <x:v>26</x:v>
      </x:c>
      <x:c r="C25" s="644" t="s">
        <x:v>1476</x:v>
      </x:c>
      <x:c r="D25" s="553">
        <x:v>46008</x:v>
      </x:c>
      <x:c r="E25" s="662">
        <x:f>86.49+24.39</x:f>
      </x:c>
      <x:c r="F25" s="662">
        <x:v>24.39</x:v>
      </x:c>
      <x:c r="G25" s="504">
        <x:v>94.06</x:v>
      </x:c>
      <x:c r="H25" s="662">
        <x:v>12.97</x:v>
      </x:c>
      <x:c r="I25" s="553">
        <x:v>46038</x:v>
      </x:c>
      <x:c r="J25" s="433">
        <x:f>+E25-F25</x:f>
      </x:c>
      <x:c r="K25" s="468">
        <x:f>+I25-D25</x:f>
      </x:c>
      <x:c r="L25" s="503">
        <x:v>0.035</x:v>
      </x:c>
      <x:c r="M25" s="504">
        <x:f>+J25*L25</x:f>
      </x:c>
      <x:c r="O25" s="432"/>
    </x:row>
    <x:row r="26" spans="1:16" ht="15" customHeight="1" x14ac:dyDescent="0.25">
      <x:c r="A26" s="551" t="s">
        <x:v>176</x:v>
      </x:c>
      <x:c r="B26" s="552" t="s">
        <x:v>177</x:v>
      </x:c>
      <x:c r="C26" s="644" t="s">
        <x:v>1477</x:v>
      </x:c>
      <x:c r="D26" s="553">
        <x:v>46020</x:v>
      </x:c>
      <x:c r="E26" s="662">
        <x:f>130.05+22.95</x:f>
      </x:c>
      <x:c r="F26" s="662">
        <x:v>22.95</x:v>
      </x:c>
      <x:c r="G26" s="504">
        <x:v>149.56</x:v>
      </x:c>
      <x:c r="H26" s="662">
        <x:v>19.51</x:v>
      </x:c>
      <x:c r="I26" s="553">
        <x:v>46041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25">
      <x:c r="A27" s="551" t="s">
        <x:v>25</x:v>
      </x:c>
      <x:c r="B27" s="552" t="s">
        <x:v>26</x:v>
      </x:c>
      <x:c r="C27" s="644" t="s">
        <x:v>1478</x:v>
      </x:c>
      <x:c r="D27" s="553">
        <x:v>46028</x:v>
      </x:c>
      <x:c r="E27" s="662">
        <x:f>326.4+81.6</x:f>
      </x:c>
      <x:c r="F27" s="662">
        <x:v>81.6</x:v>
      </x:c>
      <x:c r="G27" s="504">
        <x:v>354.96</x:v>
      </x:c>
      <x:c r="H27" s="662">
        <x:v>48.96</x:v>
      </x:c>
      <x:c r="I27" s="553">
        <x:v>46048</x:v>
      </x:c>
      <x:c r="J27" s="433">
        <x:f>+E27-F27</x:f>
      </x:c>
      <x:c r="K27" s="468">
        <x:f>+I27-D27</x:f>
      </x:c>
      <x:c r="L27" s="503">
        <x:v>0.035</x:v>
      </x:c>
      <x:c r="M27" s="504">
        <x:f>+J27*L27</x:f>
      </x:c>
      <x:c r="O27" s="432"/>
    </x:row>
    <x:row r="28" spans="1:16" ht="15" customHeight="1" x14ac:dyDescent="0.25">
      <x:c r="A28" s="551" t="s">
        <x:v>332</x:v>
      </x:c>
      <x:c r="B28" s="552" t="s">
        <x:v>333</x:v>
      </x:c>
      <x:c r="C28" s="644" t="s">
        <x:v>1479</x:v>
      </x:c>
      <x:c r="D28" s="553">
        <x:v>46029</x:v>
      </x:c>
      <x:c r="E28" s="662">
        <x:f>292.84+51.68</x:f>
      </x:c>
      <x:c r="F28" s="662">
        <x:v>51.68</x:v>
      </x:c>
      <x:c r="G28" s="504">
        <x:v>136.77</x:v>
      </x:c>
      <x:c r="H28" s="662">
        <x:v>43.93</x:v>
      </x:c>
      <x:c r="I28" s="553">
        <x:v>46052</x:v>
      </x:c>
      <x:c r="J28" s="433">
        <x:f>136.77/1.15</x:f>
      </x:c>
      <x:c r="K28" s="468">
        <x:f>+I28-D28</x:f>
      </x:c>
      <x:c r="L28" s="503">
        <x:v>0.035</x:v>
      </x:c>
      <x:c r="M28" s="504">
        <x:f>+J28*L28</x:f>
      </x:c>
      <x:c r="O28" s="432"/>
    </x:row>
    <x:row r="29" spans="1:16" ht="15" customHeight="1" x14ac:dyDescent="0.25">
      <x:c r="A29" s="551" t="s">
        <x:v>225</x:v>
      </x:c>
      <x:c r="B29" s="552" t="s">
        <x:v>105</x:v>
      </x:c>
      <x:c r="C29" s="644" t="s">
        <x:v>1480</x:v>
      </x:c>
      <x:c r="D29" s="553">
        <x:v>46030</x:v>
      </x:c>
      <x:c r="E29" s="662">
        <x:f>519.57+173.19</x:f>
      </x:c>
      <x:c r="F29" s="662">
        <x:v>173.19</x:v>
      </x:c>
      <x:c r="G29" s="504">
        <x:v>565.04</x:v>
      </x:c>
      <x:c r="H29" s="662">
        <x:v>77.94</x:v>
      </x:c>
      <x:c r="I29" s="553">
        <x:v>46036</x:v>
      </x:c>
      <x:c r="J29" s="433">
        <x:f>+E29-F29</x:f>
      </x:c>
      <x:c r="K29" s="468">
        <x:f>+I29-D29</x:f>
      </x:c>
      <x:c r="L29" s="503">
        <x:v>0.04</x:v>
      </x:c>
      <x:c r="M29" s="504">
        <x:f>+J29*L29</x:f>
      </x:c>
      <x:c r="O29" s="432"/>
    </x:row>
    <x:row r="30" spans="1:16" ht="15" customHeight="1" x14ac:dyDescent="0.25">
      <x:c r="A30" s="551" t="s">
        <x:v>136</x:v>
      </x:c>
      <x:c r="B30" s="552" t="s">
        <x:v>26</x:v>
      </x:c>
      <x:c r="C30" s="644" t="s">
        <x:v>1481</x:v>
      </x:c>
      <x:c r="D30" s="553">
        <x:v>46034</x:v>
      </x:c>
      <x:c r="E30" s="662">
        <x:f>204+68</x:f>
      </x:c>
      <x:c r="F30" s="662">
        <x:v>68</x:v>
      </x:c>
      <x:c r="G30" s="504">
        <x:v>210.12</x:v>
      </x:c>
      <x:c r="H30" s="662">
        <x:v>30.6</x:v>
      </x:c>
      <x:c r="I30" s="553">
        <x:v>46035</x:v>
      </x:c>
      <x:c r="J30" s="433">
        <x:f>+E30-F30</x:f>
      </x:c>
      <x:c r="K30" s="468">
        <x:f>+I30-D30</x:f>
      </x:c>
      <x:c r="L30" s="503">
        <x:v>0.04</x:v>
      </x:c>
      <x:c r="M30" s="504">
        <x:f>+J30*L30</x:f>
      </x:c>
      <x:c r="O30" s="432"/>
    </x:row>
    <x:row r="31" spans="1:16" ht="15" customHeight="1" x14ac:dyDescent="0.25">
      <x:c r="A31" s="551" t="s">
        <x:v>136</x:v>
      </x:c>
      <x:c r="B31" s="552" t="s">
        <x:v>26</x:v>
      </x:c>
      <x:c r="C31" s="644" t="s">
        <x:v>1482</x:v>
      </x:c>
      <x:c r="D31" s="553">
        <x:v>46034</x:v>
      </x:c>
      <x:c r="E31" s="662">
        <x:f>124.65+41.55</x:f>
      </x:c>
      <x:c r="F31" s="662">
        <x:v>41.55</x:v>
      </x:c>
      <x:c r="G31" s="504">
        <x:v>128.4</x:v>
      </x:c>
      <x:c r="H31" s="662">
        <x:v>18.7</x:v>
      </x:c>
      <x:c r="I31" s="553">
        <x:v>46035</x:v>
      </x:c>
      <x:c r="J31" s="433">
        <x:f>+E31-F31</x:f>
      </x:c>
      <x:c r="K31" s="468">
        <x:f>+I31-D31</x:f>
      </x:c>
      <x:c r="L31" s="503">
        <x:v>0.04</x:v>
      </x:c>
      <x:c r="M31" s="504">
        <x:f>+J31*L31</x:f>
      </x:c>
      <x:c r="O31" s="432"/>
    </x:row>
    <x:row r="32" spans="1:16" ht="15" customHeight="1" x14ac:dyDescent="0.25">
      <x:c r="A32" s="551" t="s">
        <x:v>118</x:v>
      </x:c>
      <x:c r="B32" s="552" t="s">
        <x:v>26</x:v>
      </x:c>
      <x:c r="C32" s="644" t="s">
        <x:v>1483</x:v>
      </x:c>
      <x:c r="D32" s="553">
        <x:v>46036</x:v>
      </x:c>
      <x:c r="E32" s="662">
        <x:f>88.92+25.08</x:f>
      </x:c>
      <x:c r="F32" s="662">
        <x:v>25.08</x:v>
      </x:c>
      <x:c r="G32" s="504">
        <x:v>96.7</x:v>
      </x:c>
      <x:c r="H32" s="662">
        <x:v>13.34</x:v>
      </x:c>
      <x:c r="I32" s="553">
        <x:v>46049</x:v>
      </x:c>
      <x:c r="J32" s="433">
        <x:f>+E32-F32</x:f>
      </x:c>
      <x:c r="K32" s="468">
        <x:f>+I32-D32</x:f>
      </x:c>
      <x:c r="L32" s="503">
        <x:v>0.035</x:v>
      </x:c>
      <x:c r="M32" s="504">
        <x:f>+J32*L32</x:f>
      </x:c>
      <x:c r="O32" s="432"/>
    </x:row>
    <x:row r="33" spans="1:16" ht="15" customHeight="1" x14ac:dyDescent="0.25">
      <x:c r="A33" s="551" t="s">
        <x:v>1484</x:v>
      </x:c>
      <x:c r="B33" s="552" t="s">
        <x:v>401</x:v>
      </x:c>
      <x:c r="C33" s="644" t="s">
        <x:v>1485</x:v>
      </x:c>
      <x:c r="D33" s="553">
        <x:v>46038</x:v>
      </x:c>
      <x:c r="E33" s="662">
        <x:f>98.24+14.68</x:f>
      </x:c>
      <x:c r="F33" s="662">
        <x:v>14.68</x:v>
      </x:c>
      <x:c r="G33" s="504">
        <x:v>112.98</x:v>
      </x:c>
      <x:c r="H33" s="662">
        <x:v>14.74</x:v>
      </x:c>
      <x:c r="I33" s="553">
        <x:v>46044</x:v>
      </x:c>
      <x:c r="J33" s="433">
        <x:f>+E33-F33</x:f>
      </x:c>
      <x:c r="K33" s="468">
        <x:f>+I33-D33</x:f>
      </x:c>
      <x:c r="L33" s="503">
        <x:v>0.04</x:v>
      </x:c>
      <x:c r="M33" s="504">
        <x:f>+J33*L33</x:f>
      </x:c>
      <x:c r="O33" s="432"/>
    </x:row>
    <x:row r="34" spans="1:16" ht="15" customHeight="1" x14ac:dyDescent="0.25">
      <x:c r="A34" s="551" t="s">
        <x:v>430</x:v>
      </x:c>
      <x:c r="B34" s="552" t="s">
        <x:v>26</x:v>
      </x:c>
      <x:c r="C34" s="644" t="s">
        <x:v>1486</x:v>
      </x:c>
      <x:c r="D34" s="553">
        <x:v>46041</x:v>
      </x:c>
      <x:c r="E34" s="662">
        <x:f>530.4+132.6</x:f>
      </x:c>
      <x:c r="F34" s="662">
        <x:v>132.6</x:v>
      </x:c>
      <x:c r="G34" s="504">
        <x:v>576.81</x:v>
      </x:c>
      <x:c r="H34" s="662">
        <x:v>79.56</x:v>
      </x:c>
      <x:c r="I34" s="553">
        <x:v>46041</x:v>
      </x:c>
      <x:c r="J34" s="433">
        <x:f>+E34-F34</x:f>
      </x:c>
      <x:c r="K34" s="468">
        <x:f>+I34-D34</x:f>
      </x:c>
      <x:c r="L34" s="503">
        <x:v>0.04</x:v>
      </x:c>
      <x:c r="M34" s="504">
        <x:f>+J34*L34</x:f>
      </x:c>
      <x:c r="O34" s="432"/>
    </x:row>
    <x:row r="35" spans="1:16" ht="15" customHeight="1" x14ac:dyDescent="0.25">
      <x:c r="A35" s="551"/>
      <x:c r="B35" s="573"/>
      <x:c r="C35" s="611"/>
      <x:c r="D35" s="631"/>
      <x:c r="E35" s="502"/>
      <x:c r="F35" s="502"/>
      <x:c r="G35" s="502"/>
      <x:c r="H35" s="569"/>
      <x:c r="I35" s="652"/>
      <x:c r="J35" s="433"/>
      <x:c r="K35" s="468"/>
      <x:c r="L35" s="503"/>
      <x:c r="M35" s="504"/>
      <x:c r="O35" s="432"/>
    </x:row>
    <x:row r="36" spans="1:16" ht="15" customHeight="1" x14ac:dyDescent="0.25">
      <x:c r="A36" s="551"/>
      <x:c r="B36" s="573"/>
      <x:c r="C36" s="611"/>
      <x:c r="D36" s="631"/>
      <x:c r="E36" s="502"/>
      <x:c r="F36" s="502"/>
      <x:c r="G36" s="502"/>
      <x:c r="H36" s="569"/>
      <x:c r="I36" s="652"/>
      <x:c r="J36" s="433"/>
      <x:c r="K36" s="468"/>
      <x:c r="L36" s="503"/>
      <x:c r="M36" s="504"/>
      <x:c r="O36" s="432"/>
    </x:row>
    <x:row r="37" spans="1:16" ht="15" customHeight="1" x14ac:dyDescent="0.25">
      <x:c r="A37" s="606"/>
      <x:c r="B37" s="573"/>
      <x:c r="C37" s="606"/>
      <x:c r="D37" s="629"/>
      <x:c r="E37" s="569"/>
      <x:c r="F37" s="569"/>
      <x:c r="G37" s="466"/>
      <x:c r="H37" s="569"/>
      <x:c r="I37" s="652"/>
      <x:c r="J37" s="433"/>
      <x:c r="K37" s="468"/>
      <x:c r="L37" s="503"/>
      <x:c r="M37" s="504"/>
      <x:c r="O37" s="432"/>
    </x:row>
    <x:row r="38" spans="1:16" ht="15" customHeight="1" x14ac:dyDescent="0.3">
      <x:c r="G38" s="516">
        <x:f>SUM(G8:G37)</x:f>
      </x:c>
      <x:c r="J38" s="516">
        <x:f>SUM(J8:J37)</x:f>
      </x:c>
      <x:c r="M38" s="516">
        <x:f>SUM(M8:M37)</x:f>
      </x:c>
      <x:c r="O38" s="432"/>
    </x:row>
    <x:row r="39" spans="1:16" ht="15" customHeight="1" x14ac:dyDescent="0.25">
      <x:c r="G39" s="435"/>
      <x:c r="H39" s="435"/>
      <x:c r="O39" s="432"/>
    </x:row>
    <x:row r="40" spans="1:16" ht="15" customHeight="1" x14ac:dyDescent="0.25">
      <x:c r="A40" s="517" t="s">
        <x:v>30</x:v>
      </x:c>
      <x:c r="B40" s="518" t="s">
        <x:v>31</x:v>
      </x:c>
      <x:c r="C40" s="518" t="s">
        <x:v>32</x:v>
      </x:c>
      <x:c r="J40" s="435"/>
      <x:c r="O40" s="432"/>
    </x:row>
    <x:row r="41" spans="1:16" s="434" customFormat="1" x14ac:dyDescent="0.25">
      <x:c r="A41" s="551" t="s">
        <x:v>70</x:v>
      </x:c>
      <x:c r="B41" s="551" t="s">
        <x:v>1487</x:v>
      </x:c>
      <x:c r="C41" s="663" t="s">
        <x:v>1488</x:v>
      </x:c>
      <x:c r="D41" s="553">
        <x:v>46045</x:v>
      </x:c>
      <x:c r="E41" s="662">
        <x:f>475.01+118.75</x:f>
      </x:c>
      <x:c r="F41" s="662">
        <x:v>118.75</x:v>
      </x:c>
      <x:c r="G41" s="504">
        <x:v>516.57</x:v>
      </x:c>
      <x:c r="H41" s="662">
        <x:v>71.25</x:v>
      </x:c>
      <x:c r="I41" s="553">
        <x:v>46076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s="434" customFormat="1" x14ac:dyDescent="0.25">
      <x:c r="A42" s="551" t="s">
        <x:v>36</x:v>
      </x:c>
      <x:c r="B42" s="551" t="s">
        <x:v>1489</x:v>
      </x:c>
      <x:c r="C42" s="644" t="s">
        <x:v>1490</x:v>
      </x:c>
      <x:c r="D42" s="553">
        <x:v>46028</x:v>
      </x:c>
      <x:c r="E42" s="662">
        <x:f>91.08+30.36</x:f>
      </x:c>
      <x:c r="F42" s="662">
        <x:v>30.36</x:v>
      </x:c>
      <x:c r="G42" s="504">
        <x:v>99.05</x:v>
      </x:c>
      <x:c r="H42" s="662">
        <x:v>13.66</x:v>
      </x:c>
      <x:c r="I42" s="553">
        <x:v>46102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s="434" customFormat="1" x14ac:dyDescent="0.25">
      <x:c r="A43" s="551" t="s">
        <x:v>36</x:v>
      </x:c>
      <x:c r="B43" s="551" t="s">
        <x:v>1489</x:v>
      </x:c>
      <x:c r="C43" s="644" t="s">
        <x:v>1491</x:v>
      </x:c>
      <x:c r="D43" s="553">
        <x:v>46030</x:v>
      </x:c>
      <x:c r="E43" s="662">
        <x:f>76.5+25.5</x:f>
      </x:c>
      <x:c r="F43" s="662">
        <x:v>25.5</x:v>
      </x:c>
      <x:c r="G43" s="504">
        <x:v>83.2</x:v>
      </x:c>
      <x:c r="H43" s="662">
        <x:v>11.48</x:v>
      </x:c>
      <x:c r="I43" s="553">
        <x:v>46102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470"/>
      <x:c r="O43" s="432"/>
    </x:row>
    <x:row r="44" spans="1:16" s="434" customFormat="1" x14ac:dyDescent="0.25">
      <x:c r="A44" s="551" t="s">
        <x:v>36</x:v>
      </x:c>
      <x:c r="B44" s="551" t="s">
        <x:v>1489</x:v>
      </x:c>
      <x:c r="C44" s="644" t="s">
        <x:v>1492</x:v>
      </x:c>
      <x:c r="D44" s="553">
        <x:v>46050</x:v>
      </x:c>
      <x:c r="E44" s="662">
        <x:f>315+105</x:f>
      </x:c>
      <x:c r="F44" s="662">
        <x:v>105</x:v>
      </x:c>
      <x:c r="G44" s="504">
        <x:v>342.56</x:v>
      </x:c>
      <x:c r="H44" s="662">
        <x:v>47.25</x:v>
      </x:c>
      <x:c r="I44" s="553">
        <x:v>46102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s="434" customFormat="1" x14ac:dyDescent="0.25">
      <x:c r="A45" s="551" t="s">
        <x:v>1493</x:v>
      </x:c>
      <x:c r="B45" s="551" t="s">
        <x:v>1494</x:v>
      </x:c>
      <x:c r="C45" s="644" t="s">
        <x:v>1495</x:v>
      </x:c>
      <x:c r="D45" s="553">
        <x:v>45953</x:v>
      </x:c>
      <x:c r="E45" s="662">
        <x:f>1193.4+210.6</x:f>
      </x:c>
      <x:c r="F45" s="662">
        <x:v>210.6</x:v>
      </x:c>
      <x:c r="G45" s="504">
        <x:v>1297.83</x:v>
      </x:c>
      <x:c r="H45" s="662">
        <x:v>179.01</x:v>
      </x:c>
      <x:c r="I45" s="553">
        <x:v>46081</x:v>
      </x:c>
      <x:c r="J45" s="433">
        <x:f>+E45-F45</x:f>
      </x:c>
      <x:c r="K45" s="468">
        <x:f>+I45-D45</x:f>
      </x:c>
      <x:c r="L45" s="469">
        <x:v>0.03</x:v>
      </x:c>
      <x:c r="M45" s="433">
        <x:f>+J45*L45</x:f>
      </x:c>
      <x:c r="N45" s="633"/>
      <x:c r="O45" s="432"/>
    </x:row>
    <x:row r="46" spans="1:16" ht="15" customHeight="1" s="434" customFormat="1" x14ac:dyDescent="0.25">
      <x:c r="A46" s="487"/>
      <x:c r="B46" s="462"/>
      <x:c r="C46" s="462"/>
      <x:c r="D46" s="492"/>
      <x:c r="E46" s="491"/>
      <x:c r="F46" s="491"/>
      <x:c r="G46" s="491"/>
      <x:c r="H46" s="610"/>
      <x:c r="I46" s="653"/>
      <x:c r="J46" s="433"/>
      <x:c r="K46" s="468"/>
      <x:c r="L46" s="469"/>
      <x:c r="M46" s="433"/>
      <x:c r="N46" s="470"/>
      <x:c r="O46" s="432"/>
    </x:row>
    <x:row r="47" spans="1:16" ht="15.6" customHeight="1" s="434" customFormat="1" x14ac:dyDescent="0.3">
      <x:c r="A47" s="487"/>
      <x:c r="B47" s="462"/>
      <x:c r="C47" s="487"/>
      <x:c r="D47" s="492"/>
      <x:c r="E47" s="490"/>
      <x:c r="F47" s="490"/>
      <x:c r="G47" s="491"/>
      <x:c r="H47" s="490"/>
      <x:c r="I47" s="653"/>
      <x:c r="J47" s="433"/>
      <x:c r="K47" s="468"/>
      <x:c r="L47" s="469"/>
      <x:c r="M47" s="433"/>
      <x:c r="N47" s="470"/>
      <x:c r="O47" s="432"/>
    </x:row>
    <x:row r="48" spans="1:16" ht="15" customHeight="1" x14ac:dyDescent="0.35">
      <x:c r="A48" s="493" t="s">
        <x:v>43</x:v>
      </x:c>
      <x:c r="B48" s="493"/>
      <x:c r="C48" s="493"/>
      <x:c r="D48" s="493"/>
      <x:c r="E48" s="493"/>
      <x:c r="F48" s="493"/>
      <x:c r="G48" s="516">
        <x:f>SUM(G38:G47)</x:f>
      </x:c>
      <x:c r="J48" s="516">
        <x:f>SUM(J38:J47)</x:f>
      </x:c>
      <x:c r="L48" s="495"/>
      <x:c r="M48" s="564">
        <x:f>SUM(M38:M47)</x:f>
      </x:c>
    </x:row>
    <x:row r="49" spans="1:16" ht="15" customHeight="1" x14ac:dyDescent="0.3">
      <x:c r="A49" s="520"/>
      <x:c r="G49" s="435"/>
    </x:row>
    <x:row r="50" spans="1:16" ht="15" customHeight="1" x14ac:dyDescent="0.3">
      <x:c r="A50" s="499"/>
      <x:c r="G50" s="435"/>
      <x:c r="J50" s="435"/>
    </x:row>
    <x:row r="51" spans="1:16" ht="15" customHeight="1" x14ac:dyDescent="0.3">
      <x:c r="A51" s="499"/>
      <x:c r="G51" s="435"/>
      <x:c r="J51" s="435"/>
    </x:row>
    <x:row r="52" spans="1:16" ht="15" customHeight="1" x14ac:dyDescent="0.3">
      <x:c r="A52" s="499"/>
      <x:c r="G52" s="435"/>
      <x:c r="J52" s="435"/>
    </x:row>
    <x:row r="53" spans="1:16" ht="15" customHeight="1" x14ac:dyDescent="0.3">
      <x:c r="A53" s="499"/>
      <x:c r="G53" s="435"/>
      <x:c r="J53" s="435"/>
      <x:c r="M53" s="565">
        <x:f>M48/12</x:f>
      </x:c>
      <x:c r="N53" s="431" t="s">
        <x:v>1180</x:v>
      </x:c>
    </x:row>
    <x:row r="54" spans="1:16" ht="15" customHeight="1" x14ac:dyDescent="0.3">
      <x:c r="A54" s="499"/>
      <x:c r="G54" s="435"/>
      <x:c r="J54" s="435"/>
      <x:c r="M54" s="565">
        <x:f>M48/24</x:f>
      </x:c>
      <x:c r="N54" s="431" t="s">
        <x:v>1180</x:v>
      </x:c>
    </x:row>
    <x:row r="55" spans="1:16" ht="15" customHeight="1" x14ac:dyDescent="0.25">
      <x:c r="A55" s="436" t="s">
        <x:v>0</x:v>
      </x:c>
      <x:c r="B55" s="436"/>
      <x:c r="C55" s="436"/>
      <x:c r="D55" s="436"/>
      <x:c r="E55" s="436"/>
      <x:c r="F55" s="436"/>
      <x:c r="G55" s="437"/>
      <x:c r="H55" s="438"/>
      <x:c r="I55" s="654"/>
      <x:c r="J55" s="440"/>
      <x:c r="K55" s="441"/>
      <x:c r="L55" s="442"/>
      <x:c r="M55" s="443"/>
    </x:row>
    <x:row r="56" spans="1:16" ht="15" customHeight="1" x14ac:dyDescent="0.25">
      <x:c r="A56" s="436" t="s">
        <x:v>1</x:v>
      </x:c>
      <x:c r="B56" s="436"/>
      <x:c r="C56" s="436"/>
      <x:c r="D56" s="436"/>
      <x:c r="E56" s="436"/>
      <x:c r="F56" s="436"/>
      <x:c r="G56" s="437"/>
      <x:c r="H56" s="438"/>
      <x:c r="I56" s="654"/>
      <x:c r="J56" s="441"/>
      <x:c r="K56" s="441"/>
      <x:c r="L56" s="442"/>
      <x:c r="M56" s="443"/>
    </x:row>
    <x:row r="57" spans="1:16" ht="15" customHeight="1" x14ac:dyDescent="0.25">
      <x:c r="A57" s="436"/>
      <x:c r="B57" s="436" t="s">
        <x:v>1459</x:v>
      </x:c>
      <x:c r="C57" s="436"/>
      <x:c r="D57" s="445"/>
      <x:c r="E57" s="436"/>
      <x:c r="F57" s="436"/>
      <x:c r="G57" s="437"/>
      <x:c r="H57" s="438"/>
      <x:c r="I57" s="654"/>
      <x:c r="J57" s="441"/>
      <x:c r="K57" s="441"/>
      <x:c r="L57" s="442"/>
      <x:c r="M57" s="443"/>
    </x:row>
    <x:row r="58" spans="1:16" ht="15" customHeight="1" x14ac:dyDescent="0.3">
      <x:c r="A58" s="436"/>
      <x:c r="B58" s="436" t="s">
        <x:v>1181</x:v>
      </x:c>
      <x:c r="C58" s="436"/>
      <x:c r="D58" s="445"/>
      <x:c r="E58" s="436"/>
      <x:c r="F58" s="436"/>
      <x:c r="G58" s="443"/>
      <x:c r="H58" s="437"/>
      <x:c r="I58" s="655"/>
      <x:c r="J58" s="441"/>
      <x:c r="K58" s="441"/>
      <x:c r="L58" s="442"/>
      <x:c r="M58" s="443"/>
    </x:row>
    <x:row r="59" spans="1:16" ht="15" customHeight="1" x14ac:dyDescent="0.25">
      <x:c r="A59" s="447" t="s">
        <x:v>4</x:v>
      </x:c>
      <x:c r="B59" s="609"/>
      <x:c r="C59" s="441"/>
      <x:c r="D59" s="439"/>
      <x:c r="E59" s="441"/>
      <x:c r="F59" s="441"/>
      <x:c r="G59" s="448" t="s">
        <x:v>5</x:v>
      </x:c>
      <x:c r="H59" s="441"/>
      <x:c r="I59" s="654"/>
      <x:c r="J59" s="449" t="s">
        <x:v>6</x:v>
      </x:c>
      <x:c r="K59" s="450" t="s">
        <x:v>7</x:v>
      </x:c>
      <x:c r="L59" s="451" t="s">
        <x:v>8</x:v>
      </x:c>
      <x:c r="M59" s="449" t="s">
        <x:v>9</x:v>
      </x:c>
      <x:c r="O59" s="435"/>
    </x:row>
    <x:row r="60" spans="1:16" ht="15" customHeight="1" x14ac:dyDescent="0.3">
      <x:c r="A60" s="452" t="s">
        <x:v>10</x:v>
      </x:c>
      <x:c r="B60" s="452" t="s">
        <x:v>11</x:v>
      </x:c>
      <x:c r="C60" s="452" t="s">
        <x:v>12</x:v>
      </x:c>
      <x:c r="D60" s="453" t="s">
        <x:v>13</x:v>
      </x:c>
      <x:c r="E60" s="452" t="s">
        <x:v>14</x:v>
      </x:c>
      <x:c r="F60" s="454" t="s">
        <x:v>15</x:v>
      </x:c>
      <x:c r="G60" s="455" t="s">
        <x:v>16</x:v>
      </x:c>
      <x:c r="H60" s="456" t="s">
        <x:v>17</x:v>
      </x:c>
      <x:c r="I60" s="656" t="s">
        <x:v>18</x:v>
      </x:c>
      <x:c r="J60" s="458" t="s">
        <x:v>19</x:v>
      </x:c>
      <x:c r="K60" s="459"/>
      <x:c r="L60" s="460" t="s">
        <x:v>20</x:v>
      </x:c>
      <x:c r="M60" s="458" t="s">
        <x:v>21</x:v>
      </x:c>
      <x:c r="O60" s="435"/>
    </x:row>
    <x:row r="61" spans="1:16" ht="15" customHeight="1" x14ac:dyDescent="0.25">
      <x:c r="A61" s="551" t="s">
        <x:v>1318</x:v>
      </x:c>
      <x:c r="B61" s="552" t="s">
        <x:v>288</x:v>
      </x:c>
      <x:c r="C61" s="644" t="s">
        <x:v>1496</x:v>
      </x:c>
      <x:c r="D61" s="553">
        <x:v>45901</x:v>
      </x:c>
      <x:c r="E61" s="662">
        <x:f>309.23+46.21</x:f>
      </x:c>
      <x:c r="F61" s="662">
        <x:v>46.21</x:v>
      </x:c>
      <x:c r="G61" s="504">
        <x:v>40.8</x:v>
      </x:c>
      <x:c r="H61" s="662">
        <x:v>46.38</x:v>
      </x:c>
      <x:c r="I61" s="553">
        <x:v>46034</x:v>
      </x:c>
      <x:c r="J61" s="433">
        <x:f>40.8/1.15</x:f>
      </x:c>
      <x:c r="K61" s="468">
        <x:f>+I61-D61</x:f>
      </x:c>
      <x:c r="L61" s="469">
        <x:v>0.03</x:v>
      </x:c>
      <x:c r="M61" s="433">
        <x:f>+J61*L61</x:f>
      </x:c>
    </x:row>
    <x:row r="62" spans="1:16" ht="15" customHeight="1" x14ac:dyDescent="0.25">
      <x:c r="A62" s="551" t="s">
        <x:v>242</x:v>
      </x:c>
      <x:c r="B62" s="552" t="s">
        <x:v>734</x:v>
      </x:c>
      <x:c r="C62" s="644" t="s">
        <x:v>1497</x:v>
      </x:c>
      <x:c r="D62" s="553">
        <x:v>45915</x:v>
      </x:c>
      <x:c r="E62" s="662">
        <x:f>148.61+37.15</x:f>
      </x:c>
      <x:c r="F62" s="662">
        <x:v>37.15</x:v>
      </x:c>
      <x:c r="G62" s="504">
        <x:v>162.72</x:v>
      </x:c>
      <x:c r="H62" s="662">
        <x:v>22.29</x:v>
      </x:c>
      <x:c r="I62" s="553">
        <x:v>46049</x:v>
      </x:c>
      <x:c r="J62" s="433">
        <x:f>E62-F62</x:f>
      </x:c>
      <x:c r="K62" s="468">
        <x:f>+I62-D62</x:f>
      </x:c>
      <x:c r="L62" s="469">
        <x:v>0.03</x:v>
      </x:c>
      <x:c r="M62" s="433">
        <x:f>+J62*L62</x:f>
      </x:c>
    </x:row>
    <x:row r="63" spans="1:16" ht="15" customHeight="1" x14ac:dyDescent="0.25">
      <x:c r="A63" s="551" t="s">
        <x:v>82</x:v>
      </x:c>
      <x:c r="B63" s="552" t="s">
        <x:v>1456</x:v>
      </x:c>
      <x:c r="C63" s="644" t="s">
        <x:v>1498</x:v>
      </x:c>
      <x:c r="D63" s="553">
        <x:v>45973</x:v>
      </x:c>
      <x:c r="E63" s="662">
        <x:f>131.27+23.17</x:f>
      </x:c>
      <x:c r="F63" s="662">
        <x:v>23.17</x:v>
      </x:c>
      <x:c r="G63" s="504">
        <x:v>142.75</x:v>
      </x:c>
      <x:c r="H63" s="662">
        <x:v>19.69</x:v>
      </x:c>
      <x:c r="I63" s="553">
        <x:v>46041</x:v>
      </x:c>
      <x:c r="J63" s="433">
        <x:f>E63-F63</x:f>
      </x:c>
      <x:c r="K63" s="468">
        <x:f>+I63-D63</x:f>
      </x:c>
      <x:c r="L63" s="469">
        <x:v>0.03</x:v>
      </x:c>
      <x:c r="M63" s="433">
        <x:f>+J63*L63</x:f>
      </x:c>
    </x:row>
    <x:row r="64" spans="1:16" ht="15" customHeight="1" x14ac:dyDescent="0.25">
      <x:c r="A64" s="551" t="s">
        <x:v>308</x:v>
      </x:c>
      <x:c r="B64" s="552" t="s">
        <x:v>309</x:v>
      </x:c>
      <x:c r="C64" s="644" t="s">
        <x:v>1499</x:v>
      </x:c>
      <x:c r="D64" s="553">
        <x:v>46043</x:v>
      </x:c>
      <x:c r="E64" s="662">
        <x:f>233.38+58.34</x:f>
      </x:c>
      <x:c r="F64" s="662">
        <x:v>58.34</x:v>
      </x:c>
      <x:c r="G64" s="504">
        <x:v>268.39</x:v>
      </x:c>
      <x:c r="H64" s="662">
        <x:v>35.01</x:v>
      </x:c>
      <x:c r="I64" s="553">
        <x:v>46049</x:v>
      </x:c>
      <x:c r="J64" s="433">
        <x:f>E64-F64</x:f>
      </x:c>
      <x:c r="K64" s="468">
        <x:f>+I64-D64</x:f>
      </x:c>
      <x:c r="L64" s="469">
        <x:v>0.04</x:v>
      </x:c>
      <x:c r="M64" s="433">
        <x:f>+J64*L64</x:f>
      </x:c>
    </x:row>
    <x:row r="65" spans="1:16" ht="15" customHeight="1" x14ac:dyDescent="0.25">
      <x:c r="A65" s="551" t="s">
        <x:v>1500</x:v>
      </x:c>
      <x:c r="B65" s="552" t="s">
        <x:v>806</x:v>
      </x:c>
      <x:c r="C65" s="644" t="s">
        <x:v>1501</x:v>
      </x:c>
      <x:c r="D65" s="553">
        <x:v>46044</x:v>
      </x:c>
      <x:c r="E65" s="662">
        <x:v>229.44</x:v>
      </x:c>
      <x:c r="F65" s="662">
        <x:v>0</x:v>
      </x:c>
      <x:c r="G65" s="504">
        <x:v>263.86</x:v>
      </x:c>
      <x:c r="H65" s="662">
        <x:v>34.42</x:v>
      </x:c>
      <x:c r="I65" s="553">
        <x:v>46044</x:v>
      </x:c>
      <x:c r="J65" s="433">
        <x:f>E65-F65</x:f>
      </x:c>
      <x:c r="K65" s="468">
        <x:f>+I65-D65</x:f>
      </x:c>
      <x:c r="L65" s="469">
        <x:v>0.04</x:v>
      </x:c>
      <x:c r="M65" s="433">
        <x:f>+J65*L65</x:f>
      </x:c>
    </x:row>
    <x:row r="66" spans="1:16" ht="15" customHeight="1" x14ac:dyDescent="0.25">
      <x:c r="A66" s="551" t="s">
        <x:v>308</x:v>
      </x:c>
      <x:c r="B66" s="552" t="s">
        <x:v>309</x:v>
      </x:c>
      <x:c r="C66" s="644" t="s">
        <x:v>1502</x:v>
      </x:c>
      <x:c r="D66" s="553">
        <x:v>46048</x:v>
      </x:c>
      <x:c r="E66" s="662">
        <x:f>48.96+12.24</x:f>
      </x:c>
      <x:c r="F66" s="662">
        <x:v>12.24</x:v>
      </x:c>
      <x:c r="G66" s="504">
        <x:v>56.3</x:v>
      </x:c>
      <x:c r="H66" s="662">
        <x:v>7.34</x:v>
      </x:c>
      <x:c r="I66" s="553">
        <x:v>46049</x:v>
      </x:c>
      <x:c r="J66" s="433">
        <x:f>E66-F66</x:f>
      </x:c>
      <x:c r="K66" s="468">
        <x:f>+I66-D66</x:f>
      </x:c>
      <x:c r="L66" s="469">
        <x:v>0.04</x:v>
      </x:c>
      <x:c r="M66" s="433">
        <x:f>+J66*L66</x:f>
      </x:c>
    </x:row>
    <x:row r="67" spans="1:16" ht="15" customHeight="1" x14ac:dyDescent="0.25">
      <x:c r="A67" s="551"/>
      <x:c r="B67" s="524"/>
      <x:c r="C67" s="644"/>
      <x:c r="D67" s="645"/>
      <x:c r="E67" s="614"/>
      <x:c r="F67" s="504"/>
      <x:c r="G67" s="504"/>
      <x:c r="H67" s="504"/>
      <x:c r="I67" s="646"/>
      <x:c r="J67" s="433"/>
      <x:c r="K67" s="468"/>
      <x:c r="L67" s="469"/>
      <x:c r="M67" s="433"/>
    </x:row>
    <x:row r="68" spans="1:16" ht="15" customHeight="1" x14ac:dyDescent="0.25">
      <x:c r="A68" s="551"/>
      <x:c r="B68" s="552"/>
      <x:c r="C68" s="644"/>
      <x:c r="D68" s="647"/>
      <x:c r="E68" s="648"/>
      <x:c r="F68" s="648"/>
      <x:c r="G68" s="504"/>
      <x:c r="H68" s="648"/>
      <x:c r="I68" s="646"/>
      <x:c r="J68" s="433"/>
      <x:c r="K68" s="468"/>
      <x:c r="L68" s="469"/>
      <x:c r="M68" s="433"/>
    </x:row>
    <x:row r="69" spans="1:16" ht="15" customHeight="1" x14ac:dyDescent="0.25">
      <x:c r="A69" s="606"/>
      <x:c r="B69" s="573"/>
      <x:c r="C69" s="606"/>
      <x:c r="D69" s="607"/>
      <x:c r="E69" s="569"/>
      <x:c r="F69" s="569"/>
      <x:c r="G69" s="466"/>
      <x:c r="H69" s="569"/>
      <x:c r="I69" s="652"/>
      <x:c r="J69" s="433"/>
      <x:c r="K69" s="468"/>
      <x:c r="L69" s="469"/>
      <x:c r="M69" s="433"/>
    </x:row>
    <x:row r="70" spans="1:16" ht="15" customHeight="1" x14ac:dyDescent="0.3">
      <x:c r="A70" s="471"/>
      <x:c r="B70" s="472"/>
      <x:c r="C70" s="472"/>
      <x:c r="D70" s="473"/>
      <x:c r="E70" s="474"/>
      <x:c r="F70" s="474"/>
      <x:c r="G70" s="475"/>
      <x:c r="H70" s="476"/>
      <x:c r="I70" s="657"/>
      <x:c r="J70" s="433"/>
      <x:c r="K70" s="468"/>
      <x:c r="L70" s="469"/>
      <x:c r="M70" s="433"/>
    </x:row>
    <x:row r="71" spans="1:16" ht="15" customHeight="1" x14ac:dyDescent="0.25">
      <x:c r="A71" s="478"/>
      <x:c r="B71" s="478"/>
      <x:c r="C71" s="478"/>
      <x:c r="D71" s="478"/>
      <x:c r="E71" s="478"/>
      <x:c r="F71" s="478"/>
      <x:c r="G71" s="479">
        <x:f>SUM(G61:G70)</x:f>
      </x:c>
      <x:c r="H71" s="480"/>
      <x:c r="I71" s="658"/>
      <x:c r="J71" s="479">
        <x:f>SUM(J61:J70)</x:f>
      </x:c>
      <x:c r="K71" s="482"/>
      <x:c r="L71" s="482"/>
      <x:c r="M71" s="479">
        <x:f>SUM(M61:M70)</x:f>
      </x:c>
    </x:row>
    <x:row r="72" spans="1:16" ht="15" customHeight="1" x14ac:dyDescent="0.25">
      <x:c r="A72" s="483"/>
      <x:c r="B72" s="483"/>
      <x:c r="C72" s="483"/>
      <x:c r="D72" s="484"/>
      <x:c r="E72" s="483"/>
      <x:c r="F72" s="483"/>
      <x:c r="G72" s="432"/>
      <x:c r="H72" s="434"/>
      <x:c r="I72" s="659"/>
      <x:c r="J72" s="434"/>
      <x:c r="K72" s="434"/>
      <x:c r="L72" s="434"/>
      <x:c r="M72" s="434"/>
    </x:row>
    <x:row r="73" spans="1:16" x14ac:dyDescent="0.25">
      <x:c r="A73" s="483"/>
      <x:c r="B73" s="483"/>
      <x:c r="C73" s="483"/>
      <x:c r="D73" s="484"/>
      <x:c r="E73" s="483"/>
      <x:c r="F73" s="483"/>
      <x:c r="G73" s="432"/>
      <x:c r="H73" s="434"/>
      <x:c r="I73" s="659"/>
      <x:c r="J73" s="432"/>
      <x:c r="K73" s="434"/>
      <x:c r="L73" s="434"/>
      <x:c r="M73" s="432"/>
    </x:row>
    <x:row r="74" spans="1:16" x14ac:dyDescent="0.25">
      <x:c r="A74" s="434" t="s">
        <x:v>30</x:v>
      </x:c>
      <x:c r="B74" s="483" t="s">
        <x:v>31</x:v>
      </x:c>
      <x:c r="C74" s="483" t="s">
        <x:v>32</x:v>
      </x:c>
      <x:c r="D74" s="485"/>
      <x:c r="E74" s="434"/>
      <x:c r="F74" s="434"/>
      <x:c r="G74" s="432"/>
      <x:c r="H74" s="434"/>
      <x:c r="I74" s="659"/>
      <x:c r="J74" s="434"/>
      <x:c r="K74" s="434"/>
      <x:c r="L74" s="434"/>
      <x:c r="M74" s="434"/>
    </x:row>
    <x:row r="75" spans="1:16" s="434" customFormat="1" x14ac:dyDescent="0.25">
      <x:c r="A75" s="551" t="s">
        <x:v>1503</x:v>
      </x:c>
      <x:c r="B75" s="551" t="s">
        <x:v>1504</x:v>
      </x:c>
      <x:c r="C75" s="644" t="s">
        <x:v>1505</x:v>
      </x:c>
      <x:c r="D75" s="553">
        <x:v>46052</x:v>
      </x:c>
      <x:c r="E75" s="662">
        <x:f>1069.06+267.26</x:f>
      </x:c>
      <x:c r="F75" s="662">
        <x:v>267.26</x:v>
      </x:c>
      <x:c r="G75" s="504">
        <x:v>1162.6</x:v>
      </x:c>
      <x:c r="H75" s="662">
        <x:v>160.36</x:v>
      </x:c>
      <x:c r="I75" s="553">
        <x:v>46070</x:v>
      </x:c>
      <x:c r="J75" s="433">
        <x:f>E75-F75</x:f>
      </x:c>
      <x:c r="K75" s="468">
        <x:f>+I75-D75</x:f>
      </x:c>
      <x:c r="L75" s="469">
        <x:v>0.03</x:v>
      </x:c>
      <x:c r="M75" s="433">
        <x:f>+J75*L75</x:f>
      </x:c>
      <x:c r="N75" s="470"/>
    </x:row>
    <x:row r="76" spans="1:16" ht="15.6" customHeight="1" x14ac:dyDescent="0.3">
      <x:c r="A76" s="486"/>
      <x:c r="B76" s="462"/>
      <x:c r="C76" s="488"/>
      <x:c r="D76" s="489"/>
      <x:c r="E76" s="490"/>
      <x:c r="F76" s="490"/>
      <x:c r="G76" s="491"/>
      <x:c r="H76" s="490"/>
      <x:c r="I76" s="653"/>
      <x:c r="J76" s="433"/>
      <x:c r="K76" s="468"/>
      <x:c r="L76" s="469"/>
      <x:c r="M76" s="433"/>
    </x:row>
    <x:row r="77" spans="1:16" ht="16.2" customHeight="1" x14ac:dyDescent="0.35">
      <x:c r="A77" s="493" t="s">
        <x:v>43</x:v>
      </x:c>
      <x:c r="B77" s="493"/>
      <x:c r="C77" s="493"/>
      <x:c r="D77" s="493"/>
      <x:c r="E77" s="493"/>
      <x:c r="F77" s="493"/>
      <x:c r="G77" s="494">
        <x:f>SUM(G71:G76)</x:f>
      </x:c>
      <x:c r="I77" s="660"/>
      <x:c r="J77" s="494">
        <x:f>SUM(J71:J76)</x:f>
      </x:c>
      <x:c r="L77" s="495"/>
      <x:c r="M77" s="496">
        <x:f>SUM(M71:M76)</x:f>
      </x:c>
    </x:row>
    <x:row r="78" spans="1:16" x14ac:dyDescent="0.25">
      <x:c r="A78" s="497"/>
      <x:c r="E78" s="497"/>
      <x:c r="F78" s="497"/>
      <x:c r="G78" s="435"/>
      <x:c r="I78" s="660"/>
    </x:row>
    <x:row r="80" spans="1:16" x14ac:dyDescent="0.25">
      <x:c r="J80" s="435"/>
    </x:row>
    <x:row r="81" spans="1:16" x14ac:dyDescent="0.25">
      <x:c r="J81" s="435"/>
    </x:row>
    <x:row r="82" spans="1:16" x14ac:dyDescent="0.25">
      <x:c r="J82" s="435">
        <x:f>(J48+J77)*2%</x:f>
      </x:c>
      <x:c r="M82" s="565">
        <x:f>M77/12</x:f>
      </x:c>
      <x:c r="N82" s="431" t="s">
        <x:v>1199</x:v>
      </x:c>
    </x:row>
    <x:row r="83" spans="1:16" x14ac:dyDescent="0.25">
      <x:c r="J83" s="565">
        <x:f>J82/12</x:f>
      </x:c>
      <x:c r="K83" s="429" t="s">
        <x:v>655</x:v>
      </x:c>
      <x:c r="M83" s="565">
        <x:f>M77/24</x:f>
      </x:c>
      <x:c r="N83" s="431" t="s">
        <x:v>1199</x:v>
      </x:c>
    </x:row>
    <x:row r="84" spans="1:16" x14ac:dyDescent="0.25">
      <x:c r="J84" s="565">
        <x:f>J82/24</x:f>
      </x:c>
      <x:c r="K84" s="429" t="s">
        <x:v>655</x:v>
      </x:c>
    </x:row>
  </x:sheetData>
  <x:sortState xmlns:xlrd2="http://schemas.microsoft.com/office/spreadsheetml/2017/richdata2" ref="A8:O34">
    <x:sortCondition ref="C8:C34"/>
  </x:sortState>
  <x:mergeCells count="2">
    <x:mergeCell ref="A3:F3"/>
    <x:mergeCell ref="A48:F48"/>
  </x:mergeCells>
  <x:printOptions horizontalCentered="0" verticalCentered="0" headings="0" gridLines="0"/>
  <x:pageMargins left="0.1968503937007874" right="0" top="0.1968503937007874" bottom="0" header="0" footer="0"/>
  <x:pageSetup paperSize="9" scale="82" pageOrder="downThenOver" orientation="landscape" blackAndWhite="0" draft="0" cellComments="none" errors="displayed" r:id="rId1"/>
  <x:headerFooter/>
  <x:tableParts count="0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AA95356-496C-4258-BF78-ADBF9DE1DD0F}" mc:Ignorable="x14ac xr xr2 xr3">
  <x:sheetPr>
    <x:outlinePr summaryBelow="1" summaryRight="1"/>
  </x:sheetPr>
  <x:dimension ref="A1:P83"/>
  <x:sheetViews>
    <x:sheetView topLeftCell="D62" workbookViewId="0">
      <x:selection activeCell="O62" sqref="O62 O:S"/>
    </x:sheetView>
  </x:sheetViews>
  <x:sheetFormatPr baseColWidth="10" defaultColWidth="11.441406" defaultRowHeight="13.2" x14ac:dyDescent="0.25"/>
  <x:cols>
    <x:col min="1" max="1" width="31.554688" style="429" customWidth="1"/>
    <x:col min="2" max="2" width="15.886719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3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7.441406" style="431" customWidth="1"/>
    <x:col min="15" max="15" width="15.554688" style="429" customWidth="1"/>
    <x:col min="16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1506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3">
      <x:c r="A8" s="664" t="s">
        <x:v>170</x:v>
      </x:c>
      <x:c r="B8" s="552" t="s">
        <x:v>105</x:v>
      </x:c>
      <x:c r="C8" s="644" t="s">
        <x:v>1507</x:v>
      </x:c>
      <x:c r="D8" s="553">
        <x:v>46056</x:v>
      </x:c>
      <x:c r="E8" s="662">
        <x:f>941.28+235.32-212.52</x:f>
      </x:c>
      <x:c r="F8" s="662">
        <x:f>235.32-42.5</x:f>
      </x:c>
      <x:c r="G8" s="665">
        <x:v>886.95</x:v>
      </x:c>
      <x:c r="H8" s="662">
        <x:f>141.19-25.5</x:f>
      </x:c>
      <x:c r="I8" s="666">
        <x:v>46056</x:v>
      </x:c>
      <x:c r="J8" s="433">
        <x:f>+E8-F8</x:f>
      </x:c>
      <x:c r="K8" s="468">
        <x:f>+I8-D8</x:f>
      </x:c>
      <x:c r="L8" s="503">
        <x:v>0.04</x:v>
      </x:c>
      <x:c r="M8" s="504">
        <x:f>+J8*L8</x:f>
      </x:c>
      <x:c r="O8" s="432"/>
      <x:c r="P8" s="435"/>
    </x:row>
    <x:row r="9" spans="1:16" ht="15" customHeight="1" x14ac:dyDescent="0.3">
      <x:c r="A9" s="664" t="s">
        <x:v>491</x:v>
      </x:c>
      <x:c r="B9" s="552" t="s">
        <x:v>1508</x:v>
      </x:c>
      <x:c r="C9" s="644" t="s">
        <x:v>1407</x:v>
      </x:c>
      <x:c r="D9" s="553">
        <x:v>45810</x:v>
      </x:c>
      <x:c r="E9" s="662">
        <x:f>3269.75+1089.92</x:f>
      </x:c>
      <x:c r="F9" s="662">
        <x:v>1089.92</x:v>
      </x:c>
      <x:c r="G9" s="665">
        <x:v>250</x:v>
      </x:c>
      <x:c r="H9" s="662">
        <x:v>490.46</x:v>
      </x:c>
      <x:c r="I9" s="666">
        <x:v>46057</x:v>
      </x:c>
      <x:c r="J9" s="433">
        <x:f>250/1.15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16" ht="15" customHeight="1" x14ac:dyDescent="0.3">
      <x:c r="A10" s="664" t="s">
        <x:v>683</x:v>
      </x:c>
      <x:c r="B10" s="552" t="s">
        <x:v>105</x:v>
      </x:c>
      <x:c r="C10" s="644" t="s">
        <x:v>1509</x:v>
      </x:c>
      <x:c r="D10" s="553">
        <x:v>45992</x:v>
      </x:c>
      <x:c r="E10" s="662">
        <x:f>99.6+17.58</x:f>
      </x:c>
      <x:c r="F10" s="662">
        <x:v>17.58</x:v>
      </x:c>
      <x:c r="G10" s="665">
        <x:v>114.54</x:v>
      </x:c>
      <x:c r="H10" s="662">
        <x:v>14.94</x:v>
      </x:c>
      <x:c r="I10" s="666">
        <x:v>46057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16" ht="15" customHeight="1" x14ac:dyDescent="0.3">
      <x:c r="A11" s="664" t="s">
        <x:v>332</x:v>
      </x:c>
      <x:c r="B11" s="552" t="s">
        <x:v>333</x:v>
      </x:c>
      <x:c r="C11" s="644" t="s">
        <x:v>1479</x:v>
      </x:c>
      <x:c r="D11" s="553">
        <x:v>46029</x:v>
      </x:c>
      <x:c r="E11" s="662">
        <x:f>292.84+51.68</x:f>
      </x:c>
      <x:c r="F11" s="662">
        <x:v>51.68</x:v>
      </x:c>
      <x:c r="G11" s="665">
        <x:v>100</x:v>
      </x:c>
      <x:c r="H11" s="662">
        <x:v>43.93</x:v>
      </x:c>
      <x:c r="I11" s="666">
        <x:v>46057</x:v>
      </x:c>
      <x:c r="J11" s="433">
        <x:f>100/1.15</x:f>
      </x:c>
      <x:c r="K11" s="468">
        <x:f>+I11-D11</x:f>
      </x:c>
      <x:c r="L11" s="503">
        <x:v>0.035</x:v>
      </x:c>
      <x:c r="M11" s="504">
        <x:f>+J11*L11</x:f>
      </x:c>
      <x:c r="O11" s="432"/>
    </x:row>
    <x:row r="12" spans="1:16" ht="15" customHeight="1" x14ac:dyDescent="0.3">
      <x:c r="A12" s="664" t="s">
        <x:v>998</x:v>
      </x:c>
      <x:c r="B12" s="552" t="s">
        <x:v>478</x:v>
      </x:c>
      <x:c r="C12" s="644" t="s">
        <x:v>1510</x:v>
      </x:c>
      <x:c r="D12" s="553">
        <x:v>46057</x:v>
      </x:c>
      <x:c r="E12" s="662">
        <x:f>25.34+6.34</x:f>
      </x:c>
      <x:c r="F12" s="662">
        <x:v>6.34</x:v>
      </x:c>
      <x:c r="G12" s="665">
        <x:v>27.56</x:v>
      </x:c>
      <x:c r="H12" s="662">
        <x:v>3.8</x:v>
      </x:c>
      <x:c r="I12" s="666">
        <x:v>46058</x:v>
      </x:c>
      <x:c r="J12" s="433">
        <x:f>+E12-F12</x:f>
      </x:c>
      <x:c r="K12" s="468">
        <x:f>+I12-D12</x:f>
      </x:c>
      <x:c r="L12" s="503">
        <x:v>0.04</x:v>
      </x:c>
      <x:c r="M12" s="504">
        <x:f>+J12*L12</x:f>
      </x:c>
      <x:c r="O12" s="432"/>
      <x:c r="P12" s="435"/>
    </x:row>
    <x:row r="13" spans="1:16" ht="15" customHeight="1" x14ac:dyDescent="0.3">
      <x:c r="A13" s="664" t="s">
        <x:v>25</x:v>
      </x:c>
      <x:c r="B13" s="552" t="s">
        <x:v>26</x:v>
      </x:c>
      <x:c r="C13" s="644" t="s">
        <x:v>1511</x:v>
      </x:c>
      <x:c r="D13" s="553">
        <x:v>46030</x:v>
      </x:c>
      <x:c r="E13" s="662">
        <x:f>81.6+20.4</x:f>
      </x:c>
      <x:c r="F13" s="662">
        <x:v>20.4</x:v>
      </x:c>
      <x:c r="G13" s="665">
        <x:v>88.74</x:v>
      </x:c>
      <x:c r="H13" s="662">
        <x:v>12.24</x:v>
      </x:c>
      <x:c r="I13" s="666">
        <x:v>46062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16" ht="15" customHeight="1" x14ac:dyDescent="0.3">
      <x:c r="A14" s="664" t="s">
        <x:v>1512</x:v>
      </x:c>
      <x:c r="B14" s="552" t="s">
        <x:v>336</x:v>
      </x:c>
      <x:c r="C14" s="644" t="s">
        <x:v>1513</x:v>
      </x:c>
      <x:c r="D14" s="553">
        <x:v>46048</x:v>
      </x:c>
      <x:c r="E14" s="662">
        <x:f>149.19+22.29</x:f>
      </x:c>
      <x:c r="F14" s="662">
        <x:v>22.29</x:v>
      </x:c>
      <x:c r="G14" s="665">
        <x:v>171.57</x:v>
      </x:c>
      <x:c r="H14" s="662">
        <x:v>22.38</x:v>
      </x:c>
      <x:c r="I14" s="666">
        <x:v>46062</x:v>
      </x:c>
      <x:c r="J14" s="433">
        <x:f>+E14-F14</x:f>
      </x:c>
      <x:c r="K14" s="468">
        <x:f>+I14-D14</x:f>
      </x:c>
      <x:c r="L14" s="503">
        <x:v>0.035</x:v>
      </x:c>
      <x:c r="M14" s="504">
        <x:f>+J14*L14</x:f>
      </x:c>
      <x:c r="O14" s="432"/>
    </x:row>
    <x:row r="15" spans="1:16" ht="15" customHeight="1" x14ac:dyDescent="0.3">
      <x:c r="A15" s="664" t="s">
        <x:v>176</x:v>
      </x:c>
      <x:c r="B15" s="552" t="s">
        <x:v>177</x:v>
      </x:c>
      <x:c r="C15" s="644" t="s">
        <x:v>1514</x:v>
      </x:c>
      <x:c r="D15" s="553">
        <x:v>46050</x:v>
      </x:c>
      <x:c r="E15" s="662">
        <x:f>208.08+36.72</x:f>
      </x:c>
      <x:c r="F15" s="662">
        <x:v>36.72</x:v>
      </x:c>
      <x:c r="G15" s="665">
        <x:v>239.29</x:v>
      </x:c>
      <x:c r="H15" s="662">
        <x:v>31.21</x:v>
      </x:c>
      <x:c r="I15" s="666">
        <x:v>46062</x:v>
      </x:c>
      <x:c r="J15" s="433">
        <x:f>+E15-F15</x:f>
      </x:c>
      <x:c r="K15" s="468">
        <x:f>+I15-D15</x:f>
      </x:c>
      <x:c r="L15" s="503">
        <x:v>0.035</x:v>
      </x:c>
      <x:c r="M15" s="504">
        <x:f>+J15*L15</x:f>
      </x:c>
      <x:c r="O15" s="432"/>
    </x:row>
    <x:row r="16" spans="1:16" ht="15" customHeight="1" x14ac:dyDescent="0.3">
      <x:c r="A16" s="664" t="s">
        <x:v>114</x:v>
      </x:c>
      <x:c r="B16" s="552" t="s">
        <x:v>26</x:v>
      </x:c>
      <x:c r="C16" s="644" t="s">
        <x:v>1515</x:v>
      </x:c>
      <x:c r="D16" s="553">
        <x:v>45981</x:v>
      </x:c>
      <x:c r="E16" s="662">
        <x:f>124.8+31.2</x:f>
      </x:c>
      <x:c r="F16" s="662">
        <x:v>31.2</x:v>
      </x:c>
      <x:c r="G16" s="665">
        <x:v>135.72</x:v>
      </x:c>
      <x:c r="H16" s="662">
        <x:v>18.72</x:v>
      </x:c>
      <x:c r="I16" s="666">
        <x:v>46063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3">
      <x:c r="A17" s="664" t="s">
        <x:v>822</x:v>
      </x:c>
      <x:c r="B17" s="552" t="s">
        <x:v>26</x:v>
      </x:c>
      <x:c r="C17" s="644" t="s">
        <x:v>1516</x:v>
      </x:c>
      <x:c r="D17" s="553">
        <x:v>45988</x:v>
      </x:c>
      <x:c r="E17" s="662">
        <x:f>80.17+14.15</x:f>
      </x:c>
      <x:c r="F17" s="662">
        <x:v>14.15</x:v>
      </x:c>
      <x:c r="G17" s="665">
        <x:v>87.19</x:v>
      </x:c>
      <x:c r="H17" s="662">
        <x:v>12.03</x:v>
      </x:c>
      <x:c r="I17" s="666">
        <x:v>46063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3">
      <x:c r="A18" s="664" t="s">
        <x:v>84</x:v>
      </x:c>
      <x:c r="B18" s="552" t="s">
        <x:v>26</x:v>
      </x:c>
      <x:c r="C18" s="644" t="s">
        <x:v>1517</x:v>
      </x:c>
      <x:c r="D18" s="553">
        <x:v>45994</x:v>
      </x:c>
      <x:c r="E18" s="662">
        <x:f>356.4+118.8</x:f>
      </x:c>
      <x:c r="F18" s="662">
        <x:v>118.8</x:v>
      </x:c>
      <x:c r="G18" s="665">
        <x:v>387.58</x:v>
      </x:c>
      <x:c r="H18" s="662">
        <x:v>53.46</x:v>
      </x:c>
      <x:c r="I18" s="666">
        <x:v>46063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3">
      <x:c r="A19" s="664" t="s">
        <x:v>491</x:v>
      </x:c>
      <x:c r="B19" s="552" t="s">
        <x:v>1508</x:v>
      </x:c>
      <x:c r="C19" s="644" t="s">
        <x:v>1407</x:v>
      </x:c>
      <x:c r="D19" s="553">
        <x:v>45810</x:v>
      </x:c>
      <x:c r="E19" s="662">
        <x:f>3269.75+1089.92</x:f>
      </x:c>
      <x:c r="F19" s="662">
        <x:v>1089.92</x:v>
      </x:c>
      <x:c r="G19" s="665">
        <x:v>250</x:v>
      </x:c>
      <x:c r="H19" s="662">
        <x:v>490.46</x:v>
      </x:c>
      <x:c r="I19" s="666">
        <x:v>46065</x:v>
      </x:c>
      <x:c r="J19" s="433">
        <x:f>250/1.15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3">
      <x:c r="A20" s="664" t="s">
        <x:v>332</x:v>
      </x:c>
      <x:c r="B20" s="552" t="s">
        <x:v>333</x:v>
      </x:c>
      <x:c r="C20" s="644" t="s">
        <x:v>1479</x:v>
      </x:c>
      <x:c r="D20" s="553">
        <x:v>46029</x:v>
      </x:c>
      <x:c r="E20" s="662">
        <x:f>292.84+51.68</x:f>
      </x:c>
      <x:c r="F20" s="662">
        <x:v>51.68</x:v>
      </x:c>
      <x:c r="G20" s="665">
        <x:v>100</x:v>
      </x:c>
      <x:c r="H20" s="662">
        <x:v>43.93</x:v>
      </x:c>
      <x:c r="I20" s="666">
        <x:v>46072</x:v>
      </x:c>
      <x:c r="J20" s="433">
        <x:f>100/1.15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3">
      <x:c r="A21" s="664" t="s">
        <x:v>228</x:v>
      </x:c>
      <x:c r="B21" s="552" t="s">
        <x:v>155</x:v>
      </x:c>
      <x:c r="C21" s="644" t="s">
        <x:v>1518</x:v>
      </x:c>
      <x:c r="D21" s="553">
        <x:v>46038</x:v>
      </x:c>
      <x:c r="E21" s="662">
        <x:f>126.49+25.91</x:f>
      </x:c>
      <x:c r="F21" s="662">
        <x:v>25.91</x:v>
      </x:c>
      <x:c r="G21" s="665">
        <x:v>137.56</x:v>
      </x:c>
      <x:c r="H21" s="662">
        <x:v>18.97</x:v>
      </x:c>
      <x:c r="I21" s="666">
        <x:v>46072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16" ht="15" customHeight="1" x14ac:dyDescent="0.3">
      <x:c r="A22" s="664" t="s">
        <x:v>697</x:v>
      </x:c>
      <x:c r="B22" s="552" t="s">
        <x:v>53</x:v>
      </x:c>
      <x:c r="C22" s="644" t="s">
        <x:v>1519</x:v>
      </x:c>
      <x:c r="D22" s="553">
        <x:v>46062</x:v>
      </x:c>
      <x:c r="E22" s="662">
        <x:f>813.6+271.2</x:f>
      </x:c>
      <x:c r="F22" s="662">
        <x:v>271.2</x:v>
      </x:c>
      <x:c r="G22" s="665">
        <x:v>884.79</x:v>
      </x:c>
      <x:c r="H22" s="662">
        <x:v>122.04</x:v>
      </x:c>
      <x:c r="I22" s="666">
        <x:v>46073</x:v>
      </x:c>
      <x:c r="J22" s="433">
        <x:f>+E22-F22</x:f>
      </x:c>
      <x:c r="K22" s="468">
        <x:f>+I22-D22</x:f>
      </x:c>
      <x:c r="L22" s="503">
        <x:v>0.035</x:v>
      </x:c>
      <x:c r="M22" s="504">
        <x:f>+J22*L22</x:f>
      </x:c>
      <x:c r="O22" s="432"/>
    </x:row>
    <x:row r="23" spans="1:16" ht="15" customHeight="1" x14ac:dyDescent="0.3">
      <x:c r="A23" s="664" t="s">
        <x:v>114</x:v>
      </x:c>
      <x:c r="B23" s="552" t="s">
        <x:v>26</x:v>
      </x:c>
      <x:c r="C23" s="644" t="s">
        <x:v>1520</x:v>
      </x:c>
      <x:c r="D23" s="553">
        <x:v>46031</x:v>
      </x:c>
      <x:c r="E23" s="662">
        <x:f>236.06+59.02</x:f>
      </x:c>
      <x:c r="F23" s="662">
        <x:v>59.02</x:v>
      </x:c>
      <x:c r="G23" s="665">
        <x:v>256.72</x:v>
      </x:c>
      <x:c r="H23" s="662">
        <x:v>35.41</x:v>
      </x:c>
      <x:c r="I23" s="666">
        <x:v>46076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3">
      <x:c r="A24" s="664" t="s">
        <x:v>52</x:v>
      </x:c>
      <x:c r="B24" s="552" t="s">
        <x:v>53</x:v>
      </x:c>
      <x:c r="C24" s="644" t="s">
        <x:v>1521</x:v>
      </x:c>
      <x:c r="D24" s="553">
        <x:v>46036</x:v>
      </x:c>
      <x:c r="E24" s="662">
        <x:f>170.1+56.7</x:f>
      </x:c>
      <x:c r="F24" s="662">
        <x:v>56.7</x:v>
      </x:c>
      <x:c r="G24" s="665">
        <x:v>190.09</x:v>
      </x:c>
      <x:c r="H24" s="662">
        <x:v>25.52</x:v>
      </x:c>
      <x:c r="I24" s="666">
        <x:v>46077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3">
      <x:c r="A25" s="664" t="s">
        <x:v>335</x:v>
      </x:c>
      <x:c r="B25" s="552" t="s">
        <x:v>336</x:v>
      </x:c>
      <x:c r="C25" s="644" t="s">
        <x:v>1522</x:v>
      </x:c>
      <x:c r="D25" s="553">
        <x:v>46038</x:v>
      </x:c>
      <x:c r="E25" s="662">
        <x:f>219.62+44.98</x:f>
      </x:c>
      <x:c r="F25" s="662">
        <x:v>44.98</x:v>
      </x:c>
      <x:c r="G25" s="665">
        <x:v>238.84</x:v>
      </x:c>
      <x:c r="H25" s="662">
        <x:v>32.94</x:v>
      </x:c>
      <x:c r="I25" s="666">
        <x:v>46077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3">
      <x:c r="A26" s="664" t="s">
        <x:v>118</x:v>
      </x:c>
      <x:c r="B26" s="552" t="s">
        <x:v>26</x:v>
      </x:c>
      <x:c r="C26" s="644" t="s">
        <x:v>1523</x:v>
      </x:c>
      <x:c r="D26" s="553">
        <x:v>46050</x:v>
      </x:c>
      <x:c r="E26" s="662">
        <x:f>95.47+26.93</x:f>
      </x:c>
      <x:c r="F26" s="662">
        <x:v>26.93</x:v>
      </x:c>
      <x:c r="G26" s="665">
        <x:v>103.82</x:v>
      </x:c>
      <x:c r="H26" s="662">
        <x:v>14.32</x:v>
      </x:c>
      <x:c r="I26" s="666">
        <x:v>46077</x:v>
      </x:c>
      <x:c r="J26" s="433">
        <x:f>+E26-F26</x:f>
      </x:c>
      <x:c r="K26" s="468">
        <x:f>+I26-D26</x:f>
      </x:c>
      <x:c r="L26" s="503">
        <x:v>0.035</x:v>
      </x:c>
      <x:c r="M26" s="504">
        <x:f>+J26*L26</x:f>
      </x:c>
      <x:c r="O26" s="432"/>
    </x:row>
    <x:row r="27" spans="1:16" ht="15" customHeight="1" x14ac:dyDescent="0.3">
      <x:c r="A27" s="664" t="s">
        <x:v>104</x:v>
      </x:c>
      <x:c r="B27" s="552" t="s">
        <x:v>105</x:v>
      </x:c>
      <x:c r="C27" s="644" t="s">
        <x:v>1524</x:v>
      </x:c>
      <x:c r="D27" s="553">
        <x:v>45992</x:v>
      </x:c>
      <x:c r="E27" s="662">
        <x:f>292.36+51.59</x:f>
      </x:c>
      <x:c r="F27" s="662">
        <x:v>51.59</x:v>
      </x:c>
      <x:c r="G27" s="665">
        <x:v>317.94</x:v>
      </x:c>
      <x:c r="H27" s="662">
        <x:v>43.85</x:v>
      </x:c>
      <x:c r="I27" s="666">
        <x:v>46078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3">
      <x:c r="A28" s="664" t="s">
        <x:v>705</x:v>
      </x:c>
      <x:c r="B28" s="552" t="s">
        <x:v>333</x:v>
      </x:c>
      <x:c r="C28" s="644" t="s">
        <x:v>1525</x:v>
      </x:c>
      <x:c r="D28" s="553">
        <x:v>46059</x:v>
      </x:c>
      <x:c r="E28" s="662">
        <x:f>44.88+7.92</x:f>
      </x:c>
      <x:c r="F28" s="662">
        <x:v>7.92</x:v>
      </x:c>
      <x:c r="G28" s="665">
        <x:v>51.61</x:v>
      </x:c>
      <x:c r="H28" s="662">
        <x:v>6.73</x:v>
      </x:c>
      <x:c r="I28" s="666">
        <x:v>46079</x:v>
      </x:c>
      <x:c r="J28" s="433">
        <x:f>+E28-F28</x:f>
      </x:c>
      <x:c r="K28" s="468">
        <x:f>+I28-D28</x:f>
      </x:c>
      <x:c r="L28" s="503">
        <x:v>0.035</x:v>
      </x:c>
      <x:c r="M28" s="504">
        <x:f>+J28*L28</x:f>
      </x:c>
      <x:c r="O28" s="432"/>
    </x:row>
    <x:row r="29" spans="1:16" ht="15" customHeight="1" x14ac:dyDescent="0.3">
      <x:c r="A29" s="664" t="s">
        <x:v>491</x:v>
      </x:c>
      <x:c r="B29" s="552" t="s">
        <x:v>1508</x:v>
      </x:c>
      <x:c r="C29" s="644" t="s">
        <x:v>1407</x:v>
      </x:c>
      <x:c r="D29" s="553">
        <x:v>45810</x:v>
      </x:c>
      <x:c r="E29" s="662">
        <x:f>3269.75+1089.92</x:f>
      </x:c>
      <x:c r="F29" s="662">
        <x:v>1089.92</x:v>
      </x:c>
      <x:c r="G29" s="665">
        <x:v>200</x:v>
      </x:c>
      <x:c r="H29" s="662">
        <x:v>490.46</x:v>
      </x:c>
      <x:c r="I29" s="666">
        <x:v>46080</x:v>
      </x:c>
      <x:c r="J29" s="433">
        <x:f>200/1.15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3">
      <x:c r="A30" s="664" t="s">
        <x:v>1153</x:v>
      </x:c>
      <x:c r="B30" s="552" t="s">
        <x:v>1526</x:v>
      </x:c>
      <x:c r="C30" s="644" t="s">
        <x:v>1527</x:v>
      </x:c>
      <x:c r="D30" s="553">
        <x:v>45966</x:v>
      </x:c>
      <x:c r="E30" s="662">
        <x:f>177.01+31.24</x:f>
      </x:c>
      <x:c r="F30" s="662">
        <x:v>31.24</x:v>
      </x:c>
      <x:c r="G30" s="665">
        <x:v>203.56</x:v>
      </x:c>
      <x:c r="H30" s="662">
        <x:v>26.55</x:v>
      </x:c>
      <x:c r="I30" s="666">
        <x:v>46080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16" ht="15" customHeight="1" x14ac:dyDescent="0.3">
      <x:c r="A31" s="664" t="s">
        <x:v>67</x:v>
      </x:c>
      <x:c r="B31" s="552" t="s">
        <x:v>26</x:v>
      </x:c>
      <x:c r="C31" s="644" t="s">
        <x:v>1528</x:v>
      </x:c>
      <x:c r="D31" s="553">
        <x:v>45994</x:v>
      </x:c>
      <x:c r="E31" s="662">
        <x:f>244.8+61.2</x:f>
      </x:c>
      <x:c r="F31" s="662">
        <x:v>61.2</x:v>
      </x:c>
      <x:c r="G31" s="665">
        <x:v>281.52</x:v>
      </x:c>
      <x:c r="H31" s="662">
        <x:v>36.72</x:v>
      </x:c>
      <x:c r="I31" s="666">
        <x:v>46080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16" ht="15" customHeight="1" x14ac:dyDescent="0.25">
      <x:c r="A32" s="551"/>
      <x:c r="B32" s="552"/>
      <x:c r="C32" s="644"/>
      <x:c r="D32" s="553"/>
      <x:c r="E32" s="662"/>
      <x:c r="F32" s="662"/>
      <x:c r="G32" s="504"/>
      <x:c r="H32" s="662"/>
      <x:c r="I32" s="553"/>
      <x:c r="J32" s="433"/>
      <x:c r="K32" s="468"/>
      <x:c r="L32" s="503"/>
      <x:c r="M32" s="504"/>
      <x:c r="O32" s="432"/>
    </x:row>
    <x:row r="33" spans="1:16" ht="15" customHeight="1" x14ac:dyDescent="0.25">
      <x:c r="A33" s="551"/>
      <x:c r="B33" s="573"/>
      <x:c r="C33" s="611"/>
      <x:c r="D33" s="631"/>
      <x:c r="E33" s="502"/>
      <x:c r="F33" s="502"/>
      <x:c r="G33" s="502"/>
      <x:c r="H33" s="569"/>
      <x:c r="I33" s="652"/>
      <x:c r="J33" s="433"/>
      <x:c r="K33" s="468"/>
      <x:c r="L33" s="503"/>
      <x:c r="M33" s="504"/>
      <x:c r="O33" s="432"/>
    </x:row>
    <x:row r="34" spans="1:16" ht="15" customHeight="1" x14ac:dyDescent="0.25">
      <x:c r="A34" s="606"/>
      <x:c r="B34" s="573"/>
      <x:c r="C34" s="606"/>
      <x:c r="D34" s="629"/>
      <x:c r="E34" s="569"/>
      <x:c r="F34" s="569"/>
      <x:c r="G34" s="466"/>
      <x:c r="H34" s="569"/>
      <x:c r="I34" s="652"/>
      <x:c r="J34" s="433"/>
      <x:c r="K34" s="468"/>
      <x:c r="L34" s="503"/>
      <x:c r="M34" s="504"/>
      <x:c r="O34" s="432"/>
    </x:row>
    <x:row r="35" spans="1:16" ht="15" customHeight="1" x14ac:dyDescent="0.3">
      <x:c r="G35" s="516">
        <x:f>SUM(G8:G34)</x:f>
      </x:c>
      <x:c r="J35" s="516">
        <x:f>SUM(J8:J34)</x:f>
      </x:c>
      <x:c r="M35" s="516">
        <x:f>SUM(M8:M34)</x:f>
      </x:c>
      <x:c r="O35" s="432"/>
    </x:row>
    <x:row r="36" spans="1:16" ht="15" customHeight="1" x14ac:dyDescent="0.25">
      <x:c r="G36" s="435"/>
      <x:c r="H36" s="435"/>
      <x:c r="O36" s="432"/>
    </x:row>
    <x:row r="37" spans="1:16" ht="15" customHeight="1" x14ac:dyDescent="0.25">
      <x:c r="A37" s="517" t="s">
        <x:v>30</x:v>
      </x:c>
      <x:c r="B37" s="518" t="s">
        <x:v>31</x:v>
      </x:c>
      <x:c r="C37" s="518" t="s">
        <x:v>32</x:v>
      </x:c>
      <x:c r="J37" s="435"/>
      <x:c r="O37" s="432"/>
    </x:row>
    <x:row r="38" spans="1:16" ht="14.4" customHeight="1" s="434" customFormat="1" x14ac:dyDescent="0.3">
      <x:c r="A38" s="664" t="s">
        <x:v>136</x:v>
      </x:c>
      <x:c r="B38" s="551" t="s">
        <x:v>1529</x:v>
      </x:c>
      <x:c r="C38" s="644" t="s">
        <x:v>1530</x:v>
      </x:c>
      <x:c r="D38" s="553">
        <x:v>46056</x:v>
      </x:c>
      <x:c r="E38" s="662">
        <x:f>655.65+218.55</x:f>
      </x:c>
      <x:c r="F38" s="662">
        <x:v>218.55</x:v>
      </x:c>
      <x:c r="G38" s="665">
        <x:v>713.02</x:v>
      </x:c>
      <x:c r="H38" s="662">
        <x:v>98.35</x:v>
      </x:c>
      <x:c r="I38" s="666">
        <x:v>46087</x:v>
      </x:c>
      <x:c r="J38" s="433">
        <x:f>+E38-F38</x:f>
      </x:c>
      <x:c r="K38" s="468">
        <x:f>+I38-D38</x:f>
      </x:c>
      <x:c r="L38" s="469">
        <x:v>0.03</x:v>
      </x:c>
      <x:c r="M38" s="433">
        <x:f>+J38*L38</x:f>
      </x:c>
      <x:c r="N38" s="470"/>
      <x:c r="O38" s="432"/>
    </x:row>
    <x:row r="39" spans="1:16" ht="14.4" customHeight="1" s="434" customFormat="1" x14ac:dyDescent="0.3">
      <x:c r="A39" s="664" t="s">
        <x:v>118</x:v>
      </x:c>
      <x:c r="B39" s="551" t="s">
        <x:v>1531</x:v>
      </x:c>
      <x:c r="C39" s="644" t="s">
        <x:v>1532</x:v>
      </x:c>
      <x:c r="D39" s="553">
        <x:v>46064</x:v>
      </x:c>
      <x:c r="E39" s="662">
        <x:f>477.36+134.64</x:f>
      </x:c>
      <x:c r="F39" s="662">
        <x:v>134.64</x:v>
      </x:c>
      <x:c r="G39" s="665">
        <x:v>519.13</x:v>
      </x:c>
      <x:c r="H39" s="662">
        <x:v>71.6</x:v>
      </x:c>
      <x:c r="I39" s="666">
        <x:v>46097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16" ht="14.4" customHeight="1" s="434" customFormat="1" x14ac:dyDescent="0.3">
      <x:c r="A40" s="664" t="s">
        <x:v>36</x:v>
      </x:c>
      <x:c r="B40" s="551" t="s">
        <x:v>1533</x:v>
      </x:c>
      <x:c r="C40" s="644" t="s">
        <x:v>1534</x:v>
      </x:c>
      <x:c r="D40" s="553">
        <x:v>46062</x:v>
      </x:c>
      <x:c r="E40" s="662">
        <x:f>652.5+217.5</x:f>
      </x:c>
      <x:c r="F40" s="662">
        <x:v>217.5</x:v>
      </x:c>
      <x:c r="G40" s="665">
        <x:v>709.6</x:v>
      </x:c>
      <x:c r="H40" s="662">
        <x:v>97.88</x:v>
      </x:c>
      <x:c r="I40" s="666">
        <x:v>46125</x:v>
      </x:c>
      <x:c r="J40" s="433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16" ht="14.4" customHeight="1" s="434" customFormat="1" x14ac:dyDescent="0.3">
      <x:c r="A41" s="664" t="s">
        <x:v>1153</x:v>
      </x:c>
      <x:c r="B41" s="551" t="s">
        <x:v>1535</x:v>
      </x:c>
      <x:c r="C41" s="644" t="s">
        <x:v>1536</x:v>
      </x:c>
      <x:c r="D41" s="553">
        <x:v>45966</x:v>
      </x:c>
      <x:c r="E41" s="662">
        <x:f>191.15+33.73</x:f>
      </x:c>
      <x:c r="F41" s="662">
        <x:v>33.73</x:v>
      </x:c>
      <x:c r="G41" s="665">
        <x:v>219.82</x:v>
      </x:c>
      <x:c r="H41" s="662">
        <x:v>28.67</x:v>
      </x:c>
      <x:c r="I41" s="666">
        <x:v>46083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ht="14.4" customHeight="1" s="434" customFormat="1" x14ac:dyDescent="0.3">
      <x:c r="A42" s="664" t="s">
        <x:v>1037</x:v>
      </x:c>
      <x:c r="B42" s="551" t="s">
        <x:v>1537</x:v>
      </x:c>
      <x:c r="C42" s="644" t="s">
        <x:v>1538</x:v>
      </x:c>
      <x:c r="D42" s="553">
        <x:v>46017</x:v>
      </x:c>
      <x:c r="E42" s="662">
        <x:f>994.5+175.5</x:f>
      </x:c>
      <x:c r="F42" s="662">
        <x:v>175.5</x:v>
      </x:c>
      <x:c r="G42" s="665">
        <x:v>1081.53</x:v>
      </x:c>
      <x:c r="H42" s="662">
        <x:v>149.18</x:v>
      </x:c>
      <x:c r="I42" s="666">
        <x:v>46139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633"/>
      <x:c r="O42" s="432"/>
    </x:row>
    <x:row r="43" spans="1:16" ht="15" customHeight="1" s="434" customFormat="1" x14ac:dyDescent="0.25">
      <x:c r="A43" s="487"/>
      <x:c r="B43" s="462"/>
      <x:c r="C43" s="462"/>
      <x:c r="D43" s="492"/>
      <x:c r="E43" s="491"/>
      <x:c r="F43" s="491"/>
      <x:c r="G43" s="491"/>
      <x:c r="H43" s="610"/>
      <x:c r="I43" s="653"/>
      <x:c r="J43" s="433"/>
      <x:c r="K43" s="468"/>
      <x:c r="L43" s="469"/>
      <x:c r="M43" s="433"/>
      <x:c r="N43" s="470"/>
      <x:c r="O43" s="432"/>
    </x:row>
    <x:row r="44" spans="1:16" ht="15.6" customHeight="1" s="434" customFormat="1" x14ac:dyDescent="0.3">
      <x:c r="A44" s="487"/>
      <x:c r="B44" s="462"/>
      <x:c r="C44" s="487"/>
      <x:c r="D44" s="492"/>
      <x:c r="E44" s="490"/>
      <x:c r="F44" s="490"/>
      <x:c r="G44" s="491"/>
      <x:c r="H44" s="490"/>
      <x:c r="I44" s="653"/>
      <x:c r="J44" s="433"/>
      <x:c r="K44" s="468"/>
      <x:c r="L44" s="469"/>
      <x:c r="M44" s="433"/>
      <x:c r="N44" s="470"/>
      <x:c r="O44" s="432"/>
    </x:row>
    <x:row r="45" spans="1:16" ht="15" customHeight="1" x14ac:dyDescent="0.35">
      <x:c r="A45" s="493" t="s">
        <x:v>43</x:v>
      </x:c>
      <x:c r="B45" s="493"/>
      <x:c r="C45" s="493"/>
      <x:c r="D45" s="493"/>
      <x:c r="E45" s="493"/>
      <x:c r="F45" s="493"/>
      <x:c r="G45" s="516">
        <x:f>SUM(G35:G44)</x:f>
      </x:c>
      <x:c r="J45" s="516">
        <x:f>SUM(J35:J44)</x:f>
      </x:c>
      <x:c r="L45" s="495"/>
      <x:c r="M45" s="564">
        <x:f>SUM(M35:M44)</x:f>
      </x:c>
    </x:row>
    <x:row r="46" spans="1:16" ht="15" customHeight="1" x14ac:dyDescent="0.3">
      <x:c r="A46" s="520"/>
      <x:c r="G46" s="435"/>
    </x:row>
    <x:row r="47" spans="1:16" ht="15" customHeight="1" x14ac:dyDescent="0.3">
      <x:c r="A47" s="499"/>
      <x:c r="G47" s="435"/>
      <x:c r="J47" s="435"/>
    </x:row>
    <x:row r="48" spans="1:16" ht="15" customHeight="1" x14ac:dyDescent="0.3">
      <x:c r="A48" s="499"/>
      <x:c r="G48" s="435"/>
      <x:c r="J48" s="435"/>
    </x:row>
    <x:row r="49" spans="1:16" ht="15" customHeight="1" x14ac:dyDescent="0.3">
      <x:c r="A49" s="499"/>
      <x:c r="G49" s="435"/>
      <x:c r="J49" s="435"/>
    </x:row>
    <x:row r="50" spans="1:16" ht="15" customHeight="1" x14ac:dyDescent="0.3">
      <x:c r="A50" s="499"/>
      <x:c r="G50" s="435"/>
      <x:c r="J50" s="435"/>
      <x:c r="M50" s="435">
        <x:f>M45/12</x:f>
      </x:c>
      <x:c r="N50" s="431" t="s">
        <x:v>1180</x:v>
      </x:c>
    </x:row>
    <x:row r="51" spans="1:16" ht="15" customHeight="1" x14ac:dyDescent="0.3">
      <x:c r="A51" s="499"/>
      <x:c r="G51" s="435"/>
      <x:c r="J51" s="435"/>
      <x:c r="M51" s="435">
        <x:f>M45/24</x:f>
      </x:c>
      <x:c r="N51" s="431" t="s">
        <x:v>1180</x:v>
      </x:c>
    </x:row>
    <x:row r="52" spans="1:16" ht="15" customHeight="1" x14ac:dyDescent="0.25">
      <x:c r="A52" s="436" t="s">
        <x:v>0</x:v>
      </x:c>
      <x:c r="B52" s="436"/>
      <x:c r="C52" s="436"/>
      <x:c r="D52" s="436"/>
      <x:c r="E52" s="436"/>
      <x:c r="F52" s="436"/>
      <x:c r="G52" s="437"/>
      <x:c r="H52" s="438"/>
      <x:c r="I52" s="654"/>
      <x:c r="J52" s="440"/>
      <x:c r="K52" s="441"/>
      <x:c r="L52" s="442"/>
      <x:c r="M52" s="443"/>
    </x:row>
    <x:row r="53" spans="1:16" ht="15" customHeight="1" x14ac:dyDescent="0.25">
      <x:c r="A53" s="436" t="s">
        <x:v>1</x:v>
      </x:c>
      <x:c r="B53" s="436"/>
      <x:c r="C53" s="436"/>
      <x:c r="D53" s="436"/>
      <x:c r="E53" s="436"/>
      <x:c r="F53" s="436"/>
      <x:c r="G53" s="437"/>
      <x:c r="H53" s="438"/>
      <x:c r="I53" s="654"/>
      <x:c r="J53" s="441"/>
      <x:c r="K53" s="441"/>
      <x:c r="L53" s="442"/>
      <x:c r="M53" s="443"/>
    </x:row>
    <x:row r="54" spans="1:16" ht="15" customHeight="1" x14ac:dyDescent="0.25">
      <x:c r="A54" s="436"/>
      <x:c r="B54" s="436" t="s">
        <x:v>1506</x:v>
      </x:c>
      <x:c r="C54" s="436"/>
      <x:c r="D54" s="445"/>
      <x:c r="E54" s="436"/>
      <x:c r="F54" s="436"/>
      <x:c r="G54" s="437"/>
      <x:c r="H54" s="438"/>
      <x:c r="I54" s="654"/>
      <x:c r="J54" s="441"/>
      <x:c r="K54" s="441"/>
      <x:c r="L54" s="442"/>
      <x:c r="M54" s="443"/>
    </x:row>
    <x:row r="55" spans="1:16" ht="15" customHeight="1" x14ac:dyDescent="0.3">
      <x:c r="A55" s="436"/>
      <x:c r="B55" s="436" t="s">
        <x:v>1181</x:v>
      </x:c>
      <x:c r="C55" s="436"/>
      <x:c r="D55" s="445"/>
      <x:c r="E55" s="436"/>
      <x:c r="F55" s="436"/>
      <x:c r="G55" s="443"/>
      <x:c r="H55" s="437"/>
      <x:c r="I55" s="655"/>
      <x:c r="J55" s="441"/>
      <x:c r="K55" s="441"/>
      <x:c r="L55" s="442"/>
      <x:c r="M55" s="443"/>
    </x:row>
    <x:row r="56" spans="1:16" ht="15" customHeight="1" x14ac:dyDescent="0.25">
      <x:c r="A56" s="447" t="s">
        <x:v>4</x:v>
      </x:c>
      <x:c r="B56" s="609"/>
      <x:c r="C56" s="441"/>
      <x:c r="D56" s="439"/>
      <x:c r="E56" s="441"/>
      <x:c r="F56" s="441"/>
      <x:c r="G56" s="448" t="s">
        <x:v>5</x:v>
      </x:c>
      <x:c r="H56" s="441"/>
      <x:c r="I56" s="654"/>
      <x:c r="J56" s="449" t="s">
        <x:v>6</x:v>
      </x:c>
      <x:c r="K56" s="450" t="s">
        <x:v>7</x:v>
      </x:c>
      <x:c r="L56" s="451" t="s">
        <x:v>8</x:v>
      </x:c>
      <x:c r="M56" s="449" t="s">
        <x:v>9</x:v>
      </x:c>
      <x:c r="O56" s="435"/>
    </x:row>
    <x:row r="57" spans="1:16" ht="15" customHeight="1" x14ac:dyDescent="0.3">
      <x:c r="A57" s="452" t="s">
        <x:v>10</x:v>
      </x:c>
      <x:c r="B57" s="452" t="s">
        <x:v>11</x:v>
      </x:c>
      <x:c r="C57" s="452" t="s">
        <x:v>12</x:v>
      </x:c>
      <x:c r="D57" s="453" t="s">
        <x:v>13</x:v>
      </x:c>
      <x:c r="E57" s="452" t="s">
        <x:v>14</x:v>
      </x:c>
      <x:c r="F57" s="454" t="s">
        <x:v>15</x:v>
      </x:c>
      <x:c r="G57" s="455" t="s">
        <x:v>16</x:v>
      </x:c>
      <x:c r="H57" s="456" t="s">
        <x:v>17</x:v>
      </x:c>
      <x:c r="I57" s="656" t="s">
        <x:v>18</x:v>
      </x:c>
      <x:c r="J57" s="458" t="s">
        <x:v>19</x:v>
      </x:c>
      <x:c r="K57" s="459"/>
      <x:c r="L57" s="460" t="s">
        <x:v>20</x:v>
      </x:c>
      <x:c r="M57" s="458" t="s">
        <x:v>21</x:v>
      </x:c>
      <x:c r="O57" s="435"/>
    </x:row>
    <x:row r="58" spans="1:16" ht="15" customHeight="1" x14ac:dyDescent="0.3">
      <x:c r="A58" s="664" t="s">
        <x:v>1318</x:v>
      </x:c>
      <x:c r="B58" s="552" t="s">
        <x:v>288</x:v>
      </x:c>
      <x:c r="C58" s="644" t="s">
        <x:v>1539</x:v>
      </x:c>
      <x:c r="D58" s="553">
        <x:v>46050</x:v>
      </x:c>
      <x:c r="E58" s="662">
        <x:f>202.85+30.31</x:f>
      </x:c>
      <x:c r="F58" s="662">
        <x:v>30.31</x:v>
      </x:c>
      <x:c r="G58" s="665">
        <x:v>50</x:v>
      </x:c>
      <x:c r="H58" s="662">
        <x:v>30.43</x:v>
      </x:c>
      <x:c r="I58" s="666">
        <x:v>46079</x:v>
      </x:c>
      <x:c r="J58" s="433">
        <x:f>50/1.15</x:f>
      </x:c>
      <x:c r="K58" s="468">
        <x:f>+I58-D58</x:f>
      </x:c>
      <x:c r="L58" s="469">
        <x:v>0.035</x:v>
      </x:c>
      <x:c r="M58" s="433">
        <x:f>+J58*L58</x:f>
      </x:c>
      <x:c r="O58" s="432"/>
    </x:row>
    <x:row r="59" spans="1:16" ht="15" customHeight="1" x14ac:dyDescent="0.3">
      <x:c r="A59" s="664" t="s">
        <x:v>1540</x:v>
      </x:c>
      <x:c r="B59" s="552" t="s">
        <x:v>288</x:v>
      </x:c>
      <x:c r="C59" s="644" t="s">
        <x:v>1541</x:v>
      </x:c>
      <x:c r="D59" s="553">
        <x:v>46048</x:v>
      </x:c>
      <x:c r="E59" s="662">
        <x:f>219.84+54.96</x:f>
      </x:c>
      <x:c r="F59" s="662">
        <x:v>54.96</x:v>
      </x:c>
      <x:c r="G59" s="665">
        <x:v>239.08</x:v>
      </x:c>
      <x:c r="H59" s="662">
        <x:v>32.98</x:v>
      </x:c>
      <x:c r="I59" s="666">
        <x:v>46077</x:v>
      </x:c>
      <x:c r="J59" s="433">
        <x:f>E59-F59</x:f>
      </x:c>
      <x:c r="K59" s="468">
        <x:f>+I59-D59</x:f>
      </x:c>
      <x:c r="L59" s="469">
        <x:v>0.035</x:v>
      </x:c>
      <x:c r="M59" s="433">
        <x:f>+J59*L59</x:f>
      </x:c>
      <x:c r="O59" s="432"/>
    </x:row>
    <x:row r="60" spans="1:16" ht="15" customHeight="1" x14ac:dyDescent="0.3">
      <x:c r="A60" s="664" t="s">
        <x:v>1318</x:v>
      </x:c>
      <x:c r="B60" s="552" t="s">
        <x:v>288</x:v>
      </x:c>
      <x:c r="C60" s="644" t="s">
        <x:v>1539</x:v>
      </x:c>
      <x:c r="D60" s="553">
        <x:v>46050</x:v>
      </x:c>
      <x:c r="E60" s="662">
        <x:f>202.85+30.31</x:f>
      </x:c>
      <x:c r="F60" s="662">
        <x:v>30.31</x:v>
      </x:c>
      <x:c r="G60" s="665">
        <x:v>50</x:v>
      </x:c>
      <x:c r="H60" s="662">
        <x:v>30.43</x:v>
      </x:c>
      <x:c r="I60" s="666">
        <x:v>46073</x:v>
      </x:c>
      <x:c r="J60" s="433">
        <x:f>50/1.15</x:f>
      </x:c>
      <x:c r="K60" s="468">
        <x:f>+I60-D60</x:f>
      </x:c>
      <x:c r="L60" s="469">
        <x:v>0.035</x:v>
      </x:c>
      <x:c r="M60" s="433">
        <x:f>+J60*L60</x:f>
      </x:c>
      <x:c r="O60" s="432"/>
    </x:row>
    <x:row r="61" spans="1:16" ht="15" customHeight="1" x14ac:dyDescent="0.3">
      <x:c r="A61" s="664" t="s">
        <x:v>1542</x:v>
      </x:c>
      <x:c r="B61" s="552" t="s">
        <x:v>1456</x:v>
      </x:c>
      <x:c r="C61" s="644" t="s">
        <x:v>1505</x:v>
      </x:c>
      <x:c r="D61" s="553">
        <x:v>46052</x:v>
      </x:c>
      <x:c r="E61" s="662">
        <x:f>1069.06+267.26</x:f>
      </x:c>
      <x:c r="F61" s="662">
        <x:v>267.26</x:v>
      </x:c>
      <x:c r="G61" s="665">
        <x:v>1162.6</x:v>
      </x:c>
      <x:c r="H61" s="662">
        <x:v>160.36</x:v>
      </x:c>
      <x:c r="I61" s="666">
        <x:v>46072</x:v>
      </x:c>
      <x:c r="J61" s="433">
        <x:f>E61-F61</x:f>
      </x:c>
      <x:c r="K61" s="468">
        <x:f>+I61-D61</x:f>
      </x:c>
      <x:c r="L61" s="469">
        <x:v>0.035</x:v>
      </x:c>
      <x:c r="M61" s="433">
        <x:f>+J61*L61</x:f>
      </x:c>
      <x:c r="O61" s="432"/>
    </x:row>
    <x:row r="62" spans="1:16" ht="15" customHeight="1" x14ac:dyDescent="0.3">
      <x:c r="A62" s="664" t="s">
        <x:v>1318</x:v>
      </x:c>
      <x:c r="B62" s="552" t="s">
        <x:v>288</x:v>
      </x:c>
      <x:c r="C62" s="644" t="s">
        <x:v>1539</x:v>
      </x:c>
      <x:c r="D62" s="553">
        <x:v>46050</x:v>
      </x:c>
      <x:c r="E62" s="662">
        <x:f>202.85+30.31</x:f>
      </x:c>
      <x:c r="F62" s="662">
        <x:v>30.31</x:v>
      </x:c>
      <x:c r="G62" s="665">
        <x:v>50</x:v>
      </x:c>
      <x:c r="H62" s="662">
        <x:v>30.43</x:v>
      </x:c>
      <x:c r="I62" s="666">
        <x:v>46065</x:v>
      </x:c>
      <x:c r="J62" s="433">
        <x:f>50/1.15</x:f>
      </x:c>
      <x:c r="K62" s="468">
        <x:f>+I62-D62</x:f>
      </x:c>
      <x:c r="L62" s="469">
        <x:v>0.035</x:v>
      </x:c>
      <x:c r="M62" s="433">
        <x:f>+J62*L62</x:f>
      </x:c>
      <x:c r="O62" s="432"/>
    </x:row>
    <x:row r="63" spans="1:16" ht="15" customHeight="1" x14ac:dyDescent="0.3">
      <x:c r="A63" s="664" t="s">
        <x:v>1318</x:v>
      </x:c>
      <x:c r="B63" s="552" t="s">
        <x:v>288</x:v>
      </x:c>
      <x:c r="C63" s="644" t="s">
        <x:v>1539</x:v>
      </x:c>
      <x:c r="D63" s="553">
        <x:v>46050</x:v>
      </x:c>
      <x:c r="E63" s="662">
        <x:f>202.85+30.31</x:f>
      </x:c>
      <x:c r="F63" s="662">
        <x:v>30.31</x:v>
      </x:c>
      <x:c r="G63" s="665">
        <x:v>50</x:v>
      </x:c>
      <x:c r="H63" s="662">
        <x:v>30.43</x:v>
      </x:c>
      <x:c r="I63" s="666">
        <x:v>46063</x:v>
      </x:c>
      <x:c r="J63" s="433">
        <x:f>50/1.15</x:f>
      </x:c>
      <x:c r="K63" s="468">
        <x:f>+I63-D63</x:f>
      </x:c>
      <x:c r="L63" s="469">
        <x:v>0.035</x:v>
      </x:c>
      <x:c r="M63" s="433">
        <x:f>+J63*L63</x:f>
      </x:c>
      <x:c r="O63" s="432"/>
    </x:row>
    <x:row r="64" spans="1:16" ht="15" customHeight="1" x14ac:dyDescent="0.3">
      <x:c r="A64" s="664" t="s">
        <x:v>1318</x:v>
      </x:c>
      <x:c r="B64" s="552" t="s">
        <x:v>288</x:v>
      </x:c>
      <x:c r="C64" s="644" t="s">
        <x:v>1539</x:v>
      </x:c>
      <x:c r="D64" s="553">
        <x:v>46050</x:v>
      </x:c>
      <x:c r="E64" s="662">
        <x:f>202.85+30.31</x:f>
      </x:c>
      <x:c r="F64" s="662">
        <x:v>30.31</x:v>
      </x:c>
      <x:c r="G64" s="665">
        <x:v>33.28</x:v>
      </x:c>
      <x:c r="H64" s="662">
        <x:v>30.43</x:v>
      </x:c>
      <x:c r="I64" s="666">
        <x:v>46062</x:v>
      </x:c>
      <x:c r="J64" s="433">
        <x:f>33.28/1.15</x:f>
      </x:c>
      <x:c r="K64" s="468">
        <x:f>+I64-D64</x:f>
      </x:c>
      <x:c r="L64" s="469">
        <x:v>0.035</x:v>
      </x:c>
      <x:c r="M64" s="433">
        <x:f>+J64*L64</x:f>
      </x:c>
      <x:c r="O64" s="432"/>
    </x:row>
    <x:row r="65" spans="1:16" ht="15" customHeight="1" x14ac:dyDescent="0.3">
      <x:c r="A65" s="664" t="s">
        <x:v>287</x:v>
      </x:c>
      <x:c r="B65" s="552" t="s">
        <x:v>288</x:v>
      </x:c>
      <x:c r="C65" s="644" t="s">
        <x:v>1543</x:v>
      </x:c>
      <x:c r="D65" s="553">
        <x:v>46021</x:v>
      </x:c>
      <x:c r="E65" s="662">
        <x:f>147.9+26.1</x:f>
      </x:c>
      <x:c r="F65" s="662">
        <x:v>26.1</x:v>
      </x:c>
      <x:c r="G65" s="665">
        <x:v>170.09</x:v>
      </x:c>
      <x:c r="H65" s="662">
        <x:v>22.19</x:v>
      </x:c>
      <x:c r="I65" s="666">
        <x:v>46059</x:v>
      </x:c>
      <x:c r="J65" s="433">
        <x:f>E65-F65</x:f>
      </x:c>
      <x:c r="K65" s="468">
        <x:f>+I65-D65</x:f>
      </x:c>
      <x:c r="L65" s="469">
        <x:v>0.03</x:v>
      </x:c>
      <x:c r="M65" s="433">
        <x:f>+J65*L65</x:f>
      </x:c>
      <x:c r="O65" s="432"/>
    </x:row>
    <x:row r="66" spans="1:16" ht="15" customHeight="1" x14ac:dyDescent="0.3">
      <x:c r="A66" s="664" t="s">
        <x:v>1253</x:v>
      </x:c>
      <x:c r="B66" s="552" t="s">
        <x:v>1254</x:v>
      </x:c>
      <x:c r="C66" s="644" t="s">
        <x:v>1544</x:v>
      </x:c>
      <x:c r="D66" s="553">
        <x:v>46057</x:v>
      </x:c>
      <x:c r="E66" s="662">
        <x:f>280.8+70.2</x:f>
      </x:c>
      <x:c r="F66" s="662">
        <x:v>70.2</x:v>
      </x:c>
      <x:c r="G66" s="665">
        <x:v>322.92</x:v>
      </x:c>
      <x:c r="H66" s="662">
        <x:v>42.12</x:v>
      </x:c>
      <x:c r="I66" s="666">
        <x:v>46057</x:v>
      </x:c>
      <x:c r="J66" s="433">
        <x:f>E66-F66</x:f>
      </x:c>
      <x:c r="K66" s="468">
        <x:f>+I66-D66</x:f>
      </x:c>
      <x:c r="L66" s="469">
        <x:v>0.04</x:v>
      </x:c>
      <x:c r="M66" s="433">
        <x:f>+J66*L66</x:f>
      </x:c>
      <x:c r="O66" s="432"/>
    </x:row>
    <x:row r="67" spans="1:16" ht="15" customHeight="1" x14ac:dyDescent="0.25">
      <x:c r="A67" s="551"/>
      <x:c r="B67" s="552"/>
      <x:c r="C67" s="644"/>
      <x:c r="D67" s="647"/>
      <x:c r="E67" s="648"/>
      <x:c r="F67" s="648"/>
      <x:c r="G67" s="504"/>
      <x:c r="H67" s="648"/>
      <x:c r="I67" s="646"/>
      <x:c r="J67" s="433"/>
      <x:c r="K67" s="468"/>
      <x:c r="L67" s="469"/>
      <x:c r="M67" s="433"/>
    </x:row>
    <x:row r="68" spans="1:16" ht="15" customHeight="1" x14ac:dyDescent="0.25">
      <x:c r="A68" s="606"/>
      <x:c r="B68" s="573"/>
      <x:c r="C68" s="606"/>
      <x:c r="D68" s="607"/>
      <x:c r="E68" s="569"/>
      <x:c r="F68" s="569"/>
      <x:c r="G68" s="466"/>
      <x:c r="H68" s="569"/>
      <x:c r="I68" s="652"/>
      <x:c r="J68" s="433"/>
      <x:c r="K68" s="468"/>
      <x:c r="L68" s="469"/>
      <x:c r="M68" s="433"/>
    </x:row>
    <x:row r="69" spans="1:16" ht="15" customHeight="1" x14ac:dyDescent="0.3">
      <x:c r="A69" s="471"/>
      <x:c r="B69" s="472"/>
      <x:c r="C69" s="472"/>
      <x:c r="D69" s="473"/>
      <x:c r="E69" s="474"/>
      <x:c r="F69" s="474"/>
      <x:c r="G69" s="475"/>
      <x:c r="H69" s="476"/>
      <x:c r="I69" s="657"/>
      <x:c r="J69" s="433"/>
      <x:c r="K69" s="468"/>
      <x:c r="L69" s="469"/>
      <x:c r="M69" s="433"/>
    </x:row>
    <x:row r="70" spans="1:16" ht="15" customHeight="1" x14ac:dyDescent="0.25">
      <x:c r="A70" s="478"/>
      <x:c r="B70" s="478"/>
      <x:c r="C70" s="478"/>
      <x:c r="D70" s="478"/>
      <x:c r="E70" s="478"/>
      <x:c r="F70" s="478"/>
      <x:c r="G70" s="479">
        <x:f>SUM(G58:G69)</x:f>
      </x:c>
      <x:c r="H70" s="480"/>
      <x:c r="I70" s="658"/>
      <x:c r="J70" s="479">
        <x:f>SUM(J58:J69)</x:f>
      </x:c>
      <x:c r="K70" s="482"/>
      <x:c r="L70" s="482"/>
      <x:c r="M70" s="479">
        <x:f>SUM(M58:M69)</x:f>
      </x:c>
    </x:row>
    <x:row r="71" spans="1:16" ht="15" customHeight="1" x14ac:dyDescent="0.25">
      <x:c r="A71" s="483"/>
      <x:c r="B71" s="483"/>
      <x:c r="C71" s="483"/>
      <x:c r="D71" s="484"/>
      <x:c r="E71" s="483"/>
      <x:c r="F71" s="483"/>
      <x:c r="G71" s="432"/>
      <x:c r="H71" s="434"/>
      <x:c r="I71" s="659"/>
      <x:c r="J71" s="434"/>
      <x:c r="K71" s="434"/>
      <x:c r="L71" s="434"/>
      <x:c r="M71" s="434"/>
    </x:row>
    <x:row r="72" spans="1:16" x14ac:dyDescent="0.25">
      <x:c r="A72" s="483"/>
      <x:c r="B72" s="483"/>
      <x:c r="C72" s="483"/>
      <x:c r="D72" s="484"/>
      <x:c r="E72" s="483"/>
      <x:c r="F72" s="483"/>
      <x:c r="G72" s="432"/>
      <x:c r="H72" s="434"/>
      <x:c r="I72" s="659"/>
      <x:c r="J72" s="432"/>
      <x:c r="K72" s="434"/>
      <x:c r="L72" s="434"/>
      <x:c r="M72" s="432"/>
    </x:row>
    <x:row r="73" spans="1:16" x14ac:dyDescent="0.25">
      <x:c r="A73" s="434" t="s">
        <x:v>30</x:v>
      </x:c>
      <x:c r="B73" s="483" t="s">
        <x:v>31</x:v>
      </x:c>
      <x:c r="C73" s="483" t="s">
        <x:v>32</x:v>
      </x:c>
      <x:c r="D73" s="485"/>
      <x:c r="E73" s="434"/>
      <x:c r="F73" s="434"/>
      <x:c r="G73" s="432"/>
      <x:c r="H73" s="434"/>
      <x:c r="I73" s="659"/>
      <x:c r="J73" s="434"/>
      <x:c r="K73" s="434"/>
      <x:c r="L73" s="434"/>
      <x:c r="M73" s="434"/>
    </x:row>
    <x:row r="74" spans="1:16" s="434" customFormat="1" x14ac:dyDescent="0.25">
      <x:c r="A74" s="551"/>
      <x:c r="B74" s="551"/>
      <x:c r="C74" s="644"/>
      <x:c r="D74" s="553"/>
      <x:c r="E74" s="662"/>
      <x:c r="F74" s="662"/>
      <x:c r="G74" s="504"/>
      <x:c r="H74" s="662"/>
      <x:c r="I74" s="553"/>
      <x:c r="J74" s="433"/>
      <x:c r="K74" s="468"/>
      <x:c r="L74" s="469"/>
      <x:c r="M74" s="433"/>
      <x:c r="N74" s="470"/>
    </x:row>
    <x:row r="75" spans="1:16" ht="15.6" customHeight="1" x14ac:dyDescent="0.3">
      <x:c r="A75" s="486"/>
      <x:c r="B75" s="462"/>
      <x:c r="C75" s="488"/>
      <x:c r="D75" s="489"/>
      <x:c r="E75" s="490"/>
      <x:c r="F75" s="490"/>
      <x:c r="G75" s="491"/>
      <x:c r="H75" s="490"/>
      <x:c r="I75" s="653"/>
      <x:c r="J75" s="433"/>
      <x:c r="K75" s="468"/>
      <x:c r="L75" s="469"/>
      <x:c r="M75" s="433"/>
    </x:row>
    <x:row r="76" spans="1:16" ht="16.2" customHeight="1" x14ac:dyDescent="0.35">
      <x:c r="A76" s="493" t="s">
        <x:v>43</x:v>
      </x:c>
      <x:c r="B76" s="493"/>
      <x:c r="C76" s="493"/>
      <x:c r="D76" s="493"/>
      <x:c r="E76" s="493"/>
      <x:c r="F76" s="493"/>
      <x:c r="G76" s="494">
        <x:f>SUM(G70:G75)</x:f>
      </x:c>
      <x:c r="I76" s="660"/>
      <x:c r="J76" s="494">
        <x:f>SUM(J70:J75)</x:f>
      </x:c>
      <x:c r="L76" s="495"/>
      <x:c r="M76" s="496">
        <x:f>SUM(M70:M75)</x:f>
      </x:c>
    </x:row>
    <x:row r="77" spans="1:16" x14ac:dyDescent="0.25">
      <x:c r="A77" s="497"/>
      <x:c r="E77" s="497"/>
      <x:c r="F77" s="497"/>
      <x:c r="G77" s="435"/>
      <x:c r="I77" s="660"/>
    </x:row>
    <x:row r="79" spans="1:16" x14ac:dyDescent="0.25">
      <x:c r="J79" s="435"/>
    </x:row>
    <x:row r="80" spans="1:16" x14ac:dyDescent="0.25">
      <x:c r="J80" s="435"/>
    </x:row>
    <x:row r="81" spans="1:16" x14ac:dyDescent="0.25">
      <x:c r="J81" s="435">
        <x:f>(J45+J76)*2%</x:f>
      </x:c>
      <x:c r="M81" s="435">
        <x:f>M76/12</x:f>
      </x:c>
      <x:c r="N81" s="431" t="s">
        <x:v>1199</x:v>
      </x:c>
    </x:row>
    <x:row r="82" spans="1:16" x14ac:dyDescent="0.25">
      <x:c r="J82" s="435">
        <x:f>J81/12</x:f>
      </x:c>
      <x:c r="K82" s="429" t="s">
        <x:v>655</x:v>
      </x:c>
      <x:c r="M82" s="435">
        <x:f>M76/24</x:f>
      </x:c>
      <x:c r="N82" s="431" t="s">
        <x:v>1199</x:v>
      </x:c>
    </x:row>
    <x:row r="83" spans="1:16" x14ac:dyDescent="0.25">
      <x:c r="J83" s="435">
        <x:f>J81/24</x:f>
      </x:c>
      <x:c r="K83" s="429" t="s">
        <x:v>655</x:v>
      </x:c>
    </x:row>
  </x:sheetData>
  <x:sortState xmlns:xlrd2="http://schemas.microsoft.com/office/spreadsheetml/2017/richdata2" ref="A8:P31">
    <x:sortCondition ref="I8:I31"/>
  </x:sortState>
  <x:mergeCells count="2">
    <x:mergeCell ref="A3:F3"/>
    <x:mergeCell ref="A45:F45"/>
  </x:mergeCells>
  <x:printOptions horizontalCentered="0" verticalCentered="0" headings="0" gridLines="0"/>
  <x:pageMargins left="0.3937007874015748" right="0" top="0.1968503937007874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171EE-C88B-44B1-A19E-0993F809801A}" mc:Ignorable="x14ac xr xr2 xr3">
  <x:sheetPr>
    <x:outlinePr summaryBelow="1" summaryRight="1"/>
  </x:sheetPr>
  <x:dimension ref="A1:O77"/>
  <x:sheetViews>
    <x:sheetView topLeftCell="C56" workbookViewId="0">
      <x:selection activeCell="J73" sqref="J73"/>
    </x:sheetView>
  </x:sheetViews>
  <x:sheetFormatPr baseColWidth="10" defaultColWidth="11.441406" defaultRowHeight="13.2" x14ac:dyDescent="0.25"/>
  <x:cols>
    <x:col min="1" max="1" width="17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3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13" style="431" customWidth="1"/>
    <x:col min="15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1545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3">
      <x:c r="A8" s="664" t="s">
        <x:v>136</x:v>
      </x:c>
      <x:c r="B8" s="552" t="s">
        <x:v>26</x:v>
      </x:c>
      <x:c r="C8" s="644" t="s">
        <x:v>1546</x:v>
      </x:c>
      <x:c r="D8" s="553">
        <x:v>46111</x:v>
      </x:c>
      <x:c r="E8" s="662">
        <x:f>98.82+32.94</x:f>
      </x:c>
      <x:c r="F8" s="662">
        <x:v>32.94</x:v>
      </x:c>
      <x:c r="G8" s="665">
        <x:v>107.21</x:v>
      </x:c>
      <x:c r="H8" s="662">
        <x:v>14.82</x:v>
      </x:c>
      <x:c r="I8" s="666">
        <x:v>46112</x:v>
      </x:c>
      <x:c r="J8" s="433">
        <x:f>+E8-F8</x:f>
      </x:c>
      <x:c r="K8" s="468">
        <x:f>+I8-D8</x:f>
      </x:c>
      <x:c r="L8" s="503">
        <x:v>0.04</x:v>
      </x:c>
      <x:c r="M8" s="504">
        <x:f>+J8*L8</x:f>
      </x:c>
      <x:c r="O8" s="432"/>
    </x:row>
    <x:row r="9" spans="1:16" ht="15" customHeight="1" x14ac:dyDescent="0.3">
      <x:c r="A9" s="664" t="s">
        <x:v>167</x:v>
      </x:c>
      <x:c r="B9" s="552" t="s">
        <x:v>26</x:v>
      </x:c>
      <x:c r="C9" s="644" t="s">
        <x:v>1547</x:v>
      </x:c>
      <x:c r="D9" s="553">
        <x:v>46107</x:v>
      </x:c>
      <x:c r="E9" s="662">
        <x:f>122.4+30.6</x:f>
      </x:c>
      <x:c r="F9" s="662">
        <x:v>30.6</x:v>
      </x:c>
      <x:c r="G9" s="665">
        <x:v>140.76</x:v>
      </x:c>
      <x:c r="H9" s="662">
        <x:v>18.36</x:v>
      </x:c>
      <x:c r="I9" s="666">
        <x:v>46112</x:v>
      </x:c>
      <x:c r="J9" s="433">
        <x:f>+E9-F9</x:f>
      </x:c>
      <x:c r="K9" s="468">
        <x:f>+I9-D9</x:f>
      </x:c>
      <x:c r="L9" s="503">
        <x:v>0.035</x:v>
      </x:c>
      <x:c r="M9" s="504">
        <x:f>+J9*L9</x:f>
      </x:c>
      <x:c r="O9" s="432"/>
    </x:row>
    <x:row r="10" spans="1:16" ht="15" customHeight="1" x14ac:dyDescent="0.3">
      <x:c r="A10" s="664" t="s">
        <x:v>70</x:v>
      </x:c>
      <x:c r="B10" s="552" t="s">
        <x:v>26</x:v>
      </x:c>
      <x:c r="C10" s="644" t="s">
        <x:v>1548</x:v>
      </x:c>
      <x:c r="D10" s="553">
        <x:v>46091</x:v>
      </x:c>
      <x:c r="E10" s="662">
        <x:f>683.1+227.7</x:f>
      </x:c>
      <x:c r="F10" s="662">
        <x:v>227.7</x:v>
      </x:c>
      <x:c r="G10" s="665">
        <x:v>771.91</x:v>
      </x:c>
      <x:c r="H10" s="662">
        <x:v>102.47</x:v>
      </x:c>
      <x:c r="I10" s="666">
        <x:v>46112</x:v>
      </x:c>
      <x:c r="J10" s="433">
        <x:f>+E10-F10</x:f>
      </x:c>
      <x:c r="K10" s="468">
        <x:f>+I10-D10</x:f>
      </x:c>
      <x:c r="L10" s="503">
        <x:v>0.035</x:v>
      </x:c>
      <x:c r="M10" s="504">
        <x:f>+J10*L10</x:f>
      </x:c>
      <x:c r="O10" s="432"/>
    </x:row>
    <x:row r="11" spans="1:16" ht="15" customHeight="1" x14ac:dyDescent="0.3">
      <x:c r="A11" s="664" t="s">
        <x:v>941</x:v>
      </x:c>
      <x:c r="B11" s="552" t="s">
        <x:v>478</x:v>
      </x:c>
      <x:c r="C11" s="644" t="s">
        <x:v>1549</x:v>
      </x:c>
      <x:c r="D11" s="553">
        <x:v>46107</x:v>
      </x:c>
      <x:c r="E11" s="662">
        <x:f>26.01+4.59</x:f>
      </x:c>
      <x:c r="F11" s="662">
        <x:v>4.59</x:v>
      </x:c>
      <x:c r="G11" s="665">
        <x:v>29.91</x:v>
      </x:c>
      <x:c r="H11" s="662">
        <x:v>3.9</x:v>
      </x:c>
      <x:c r="I11" s="553">
        <x:v>46107</x:v>
      </x:c>
      <x:c r="J11" s="433">
        <x:f>+E11-F11</x:f>
      </x:c>
      <x:c r="K11" s="468">
        <x:f>+I11-D11</x:f>
      </x:c>
      <x:c r="L11" s="503">
        <x:v>0.04</x:v>
      </x:c>
      <x:c r="M11" s="504">
        <x:f>+J11*L11</x:f>
      </x:c>
      <x:c r="O11" s="432"/>
    </x:row>
    <x:row r="12" spans="1:16" ht="15" customHeight="1" x14ac:dyDescent="0.3">
      <x:c r="A12" s="664" t="s">
        <x:v>1550</x:v>
      </x:c>
      <x:c r="B12" s="552" t="s">
        <x:v>26</x:v>
      </x:c>
      <x:c r="C12" s="644" t="s">
        <x:v>1551</x:v>
      </x:c>
      <x:c r="D12" s="553">
        <x:v>46105</x:v>
      </x:c>
      <x:c r="E12" s="662">
        <x:f>1190.3+297.58</x:f>
      </x:c>
      <x:c r="F12" s="662">
        <x:v>297.58</x:v>
      </x:c>
      <x:c r="G12" s="665">
        <x:v>1291.47</x:v>
      </x:c>
      <x:c r="H12" s="662">
        <x:v>178.55</x:v>
      </x:c>
      <x:c r="I12" s="666">
        <x:v>46106</x:v>
      </x:c>
      <x:c r="J12" s="433">
        <x:f>+E12-F12</x:f>
      </x:c>
      <x:c r="K12" s="468">
        <x:f>+I12-D12</x:f>
      </x:c>
      <x:c r="L12" s="503">
        <x:v>0.04</x:v>
      </x:c>
      <x:c r="M12" s="504">
        <x:f>+J12*L12</x:f>
      </x:c>
      <x:c r="O12" s="432"/>
    </x:row>
    <x:row r="13" spans="1:16" ht="15" customHeight="1" x14ac:dyDescent="0.3">
      <x:c r="A13" s="664" t="s">
        <x:v>1550</x:v>
      </x:c>
      <x:c r="B13" s="552" t="s">
        <x:v>26</x:v>
      </x:c>
      <x:c r="C13" s="644" t="s">
        <x:v>1552</x:v>
      </x:c>
      <x:c r="D13" s="553">
        <x:v>46105</x:v>
      </x:c>
      <x:c r="E13" s="662">
        <x:f>16.32+4.08</x:f>
      </x:c>
      <x:c r="F13" s="662">
        <x:v>4.08</x:v>
      </x:c>
      <x:c r="G13" s="665">
        <x:v>17.7</x:v>
      </x:c>
      <x:c r="H13" s="662">
        <x:v>2.45</x:v>
      </x:c>
      <x:c r="I13" s="666">
        <x:v>46106</x:v>
      </x:c>
      <x:c r="J13" s="433">
        <x:f>+E13-F13</x:f>
      </x:c>
      <x:c r="K13" s="468">
        <x:f>+I13-D13</x:f>
      </x:c>
      <x:c r="L13" s="503">
        <x:v>0.04</x:v>
      </x:c>
      <x:c r="M13" s="504">
        <x:f>+J13*L13</x:f>
      </x:c>
      <x:c r="O13" s="432"/>
    </x:row>
    <x:row r="14" spans="1:16" ht="15" customHeight="1" x14ac:dyDescent="0.3">
      <x:c r="A14" s="664" t="s">
        <x:v>941</x:v>
      </x:c>
      <x:c r="B14" s="552" t="s">
        <x:v>478</x:v>
      </x:c>
      <x:c r="C14" s="644" t="s">
        <x:v>1553</x:v>
      </x:c>
      <x:c r="D14" s="553">
        <x:v>46101</x:v>
      </x:c>
      <x:c r="E14" s="662">
        <x:f>788.36+139.12</x:f>
      </x:c>
      <x:c r="F14" s="662">
        <x:v>139.12</x:v>
      </x:c>
      <x:c r="G14" s="665">
        <x:v>906.61</x:v>
      </x:c>
      <x:c r="H14" s="662">
        <x:v>118.25</x:v>
      </x:c>
      <x:c r="I14" s="553">
        <x:v>46101</x:v>
      </x:c>
      <x:c r="J14" s="433">
        <x:f>+E14-F14</x:f>
      </x:c>
      <x:c r="K14" s="468">
        <x:f>+I14-D14</x:f>
      </x:c>
      <x:c r="L14" s="503">
        <x:v>0.04</x:v>
      </x:c>
      <x:c r="M14" s="504">
        <x:f>+J14*L14</x:f>
      </x:c>
      <x:c r="O14" s="432"/>
    </x:row>
    <x:row r="15" spans="1:16" ht="15" customHeight="1" x14ac:dyDescent="0.3">
      <x:c r="A15" s="664" t="s">
        <x:v>25</x:v>
      </x:c>
      <x:c r="B15" s="552" t="s">
        <x:v>26</x:v>
      </x:c>
      <x:c r="C15" s="644" t="s">
        <x:v>1554</x:v>
      </x:c>
      <x:c r="D15" s="553">
        <x:v>46065</x:v>
      </x:c>
      <x:c r="E15" s="662">
        <x:f>652.8+163.2</x:f>
      </x:c>
      <x:c r="F15" s="662">
        <x:v>163.2</x:v>
      </x:c>
      <x:c r="G15" s="665">
        <x:v>709.92</x:v>
      </x:c>
      <x:c r="H15" s="662">
        <x:v>97.92</x:v>
      </x:c>
      <x:c r="I15" s="666">
        <x:v>46101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16" ht="15" customHeight="1" x14ac:dyDescent="0.3">
      <x:c r="A16" s="664" t="s">
        <x:v>491</x:v>
      </x:c>
      <x:c r="B16" s="552" t="s">
        <x:v>1508</x:v>
      </x:c>
      <x:c r="C16" s="644" t="s">
        <x:v>1407</x:v>
      </x:c>
      <x:c r="D16" s="553">
        <x:v>45810</x:v>
      </x:c>
      <x:c r="E16" s="662">
        <x:f>3269.75+1089.92</x:f>
      </x:c>
      <x:c r="F16" s="662">
        <x:v>1089.92</x:v>
      </x:c>
      <x:c r="G16" s="665">
        <x:v>159.29</x:v>
      </x:c>
      <x:c r="H16" s="662">
        <x:v>490.46</x:v>
      </x:c>
      <x:c r="I16" s="666">
        <x:v>46100</x:v>
      </x:c>
      <x:c r="J16" s="433">
        <x:f>159.29/1.15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16" ht="15" customHeight="1" x14ac:dyDescent="0.3">
      <x:c r="A17" s="664" t="s">
        <x:v>114</x:v>
      </x:c>
      <x:c r="B17" s="552" t="s">
        <x:v>26</x:v>
      </x:c>
      <x:c r="C17" s="644" t="s">
        <x:v>1555</x:v>
      </x:c>
      <x:c r="D17" s="553">
        <x:v>46066</x:v>
      </x:c>
      <x:c r="E17" s="662">
        <x:f>240.77+60.19</x:f>
      </x:c>
      <x:c r="F17" s="662">
        <x:v>60.19</x:v>
      </x:c>
      <x:c r="G17" s="665">
        <x:v>261.84</x:v>
      </x:c>
      <x:c r="H17" s="662">
        <x:v>36.12</x:v>
      </x:c>
      <x:c r="I17" s="666">
        <x:v>46097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16" ht="15" customHeight="1" x14ac:dyDescent="0.3">
      <x:c r="A18" s="664" t="s">
        <x:v>114</x:v>
      </x:c>
      <x:c r="B18" s="552" t="s">
        <x:v>26</x:v>
      </x:c>
      <x:c r="C18" s="644" t="s">
        <x:v>1556</x:v>
      </x:c>
      <x:c r="D18" s="553">
        <x:v>46064</x:v>
      </x:c>
      <x:c r="E18" s="662">
        <x:f>116.54+29.14</x:f>
      </x:c>
      <x:c r="F18" s="662">
        <x:v>29.14</x:v>
      </x:c>
      <x:c r="G18" s="665">
        <x:v>126.74</x:v>
      </x:c>
      <x:c r="H18" s="662">
        <x:v>17.48</x:v>
      </x:c>
      <x:c r="I18" s="666">
        <x:v>46097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16" ht="15" customHeight="1" x14ac:dyDescent="0.3">
      <x:c r="A19" s="664" t="s">
        <x:v>491</x:v>
      </x:c>
      <x:c r="B19" s="552" t="s">
        <x:v>1508</x:v>
      </x:c>
      <x:c r="C19" s="644" t="s">
        <x:v>1407</x:v>
      </x:c>
      <x:c r="D19" s="553">
        <x:v>45810</x:v>
      </x:c>
      <x:c r="E19" s="662">
        <x:f>3269.75+1089.92</x:f>
      </x:c>
      <x:c r="F19" s="662">
        <x:v>1089.92</x:v>
      </x:c>
      <x:c r="G19" s="665">
        <x:v>250</x:v>
      </x:c>
      <x:c r="H19" s="662">
        <x:v>490.46</x:v>
      </x:c>
      <x:c r="I19" s="666">
        <x:v>46093</x:v>
      </x:c>
      <x:c r="J19" s="433">
        <x:f>250/1.15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16" ht="15" customHeight="1" x14ac:dyDescent="0.3">
      <x:c r="A20" s="664" t="s">
        <x:v>690</x:v>
      </x:c>
      <x:c r="B20" s="552" t="s">
        <x:v>105</x:v>
      </x:c>
      <x:c r="C20" s="644" t="s">
        <x:v>1557</x:v>
      </x:c>
      <x:c r="D20" s="553">
        <x:v>46058</x:v>
      </x:c>
      <x:c r="E20" s="662">
        <x:f>100.98+17.82</x:f>
      </x:c>
      <x:c r="F20" s="662">
        <x:v>17.82</x:v>
      </x:c>
      <x:c r="G20" s="665">
        <x:v>116.13</x:v>
      </x:c>
      <x:c r="H20" s="662">
        <x:v>15.15</x:v>
      </x:c>
      <x:c r="I20" s="666">
        <x:v>46092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16" ht="15" customHeight="1" x14ac:dyDescent="0.3">
      <x:c r="A21" s="664" t="s">
        <x:v>52</x:v>
      </x:c>
      <x:c r="B21" s="552" t="s">
        <x:v>53</x:v>
      </x:c>
      <x:c r="C21" s="644" t="s">
        <x:v>1558</x:v>
      </x:c>
      <x:c r="D21" s="553">
        <x:v>46063</x:v>
      </x:c>
      <x:c r="E21" s="662">
        <x:f>392.04+130.68</x:f>
      </x:c>
      <x:c r="F21" s="662">
        <x:v>130.68</x:v>
      </x:c>
      <x:c r="G21" s="665">
        <x:v>426.35</x:v>
      </x:c>
      <x:c r="H21" s="662">
        <x:v>58.81</x:v>
      </x:c>
      <x:c r="I21" s="666">
        <x:v>46091</x:v>
      </x:c>
      <x:c r="J21" s="433">
        <x:f>+E21-F21</x:f>
      </x:c>
      <x:c r="K21" s="468">
        <x:f>+I21-D21</x:f>
      </x:c>
      <x:c r="L21" s="503">
        <x:v>0.035</x:v>
      </x:c>
      <x:c r="M21" s="504">
        <x:f>+J21*L21</x:f>
      </x:c>
      <x:c r="O21" s="432"/>
    </x:row>
    <x:row r="22" spans="1:16" ht="15" customHeight="1" x14ac:dyDescent="0.3">
      <x:c r="A22" s="664" t="s">
        <x:v>114</x:v>
      </x:c>
      <x:c r="B22" s="552" t="s">
        <x:v>26</x:v>
      </x:c>
      <x:c r="C22" s="644" t="s">
        <x:v>1559</x:v>
      </x:c>
      <x:c r="D22" s="553">
        <x:v>46041</x:v>
      </x:c>
      <x:c r="E22" s="662">
        <x:f>130.75+32.69</x:f>
      </x:c>
      <x:c r="F22" s="662">
        <x:v>32.69</x:v>
      </x:c>
      <x:c r="G22" s="665">
        <x:v>142.19</x:v>
      </x:c>
      <x:c r="H22" s="662">
        <x:v>19.61</x:v>
      </x:c>
      <x:c r="I22" s="666">
        <x:v>46091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16" ht="15" customHeight="1" x14ac:dyDescent="0.3">
      <x:c r="A23" s="664" t="s">
        <x:v>462</x:v>
      </x:c>
      <x:c r="B23" s="552" t="s">
        <x:v>463</x:v>
      </x:c>
      <x:c r="C23" s="644" t="s">
        <x:v>1560</x:v>
      </x:c>
      <x:c r="D23" s="553">
        <x:v>46036</x:v>
      </x:c>
      <x:c r="E23" s="662">
        <x:f>229.81+40.55</x:f>
      </x:c>
      <x:c r="F23" s="662">
        <x:v>40.55</x:v>
      </x:c>
      <x:c r="G23" s="665">
        <x:v>264.28</x:v>
      </x:c>
      <x:c r="H23" s="662">
        <x:v>34.47</x:v>
      </x:c>
      <x:c r="I23" s="666">
        <x:v>46091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3">
      <x:c r="A24" s="664" t="s">
        <x:v>25</x:v>
      </x:c>
      <x:c r="B24" s="552" t="s">
        <x:v>26</x:v>
      </x:c>
      <x:c r="C24" s="644" t="s">
        <x:v>1561</x:v>
      </x:c>
      <x:c r="D24" s="553">
        <x:v>46059</x:v>
      </x:c>
      <x:c r="E24" s="662">
        <x:f>244.8+61.2</x:f>
      </x:c>
      <x:c r="F24" s="662">
        <x:v>61.2</x:v>
      </x:c>
      <x:c r="G24" s="665">
        <x:v>266.22</x:v>
      </x:c>
      <x:c r="H24" s="662">
        <x:v>36.72</x:v>
      </x:c>
      <x:c r="I24" s="666">
        <x:v>46090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3">
      <x:c r="A25" s="664" t="s">
        <x:v>822</x:v>
      </x:c>
      <x:c r="B25" s="552" t="s">
        <x:v>26</x:v>
      </x:c>
      <x:c r="C25" s="644" t="s">
        <x:v>1562</x:v>
      </x:c>
      <x:c r="D25" s="553">
        <x:v>46036</x:v>
      </x:c>
      <x:c r="E25" s="662">
        <x:f>141.27+24.93</x:f>
      </x:c>
      <x:c r="F25" s="662">
        <x:v>24.93</x:v>
      </x:c>
      <x:c r="G25" s="665">
        <x:v>153.63</x:v>
      </x:c>
      <x:c r="H25" s="662">
        <x:v>21.19</x:v>
      </x:c>
      <x:c r="I25" s="666">
        <x:v>46087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3">
      <x:c r="A26" s="664" t="s">
        <x:v>975</x:v>
      </x:c>
      <x:c r="B26" s="552" t="s">
        <x:v>1508</x:v>
      </x:c>
      <x:c r="C26" s="644" t="s">
        <x:v>1337</x:v>
      </x:c>
      <x:c r="D26" s="553">
        <x:v>45894</x:v>
      </x:c>
      <x:c r="E26" s="662">
        <x:f>469.71+82.89</x:f>
      </x:c>
      <x:c r="F26" s="662">
        <x:v>82.89</x:v>
      </x:c>
      <x:c r="G26" s="665">
        <x:v>11.61</x:v>
      </x:c>
      <x:c r="H26" s="662">
        <x:v>70.46</x:v>
      </x:c>
      <x:c r="I26" s="666">
        <x:v>46087</x:v>
      </x:c>
      <x:c r="J26" s="433">
        <x:f>11.61/1.15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3">
      <x:c r="A27" s="664" t="s">
        <x:v>118</x:v>
      </x:c>
      <x:c r="B27" s="552" t="s">
        <x:v>26</x:v>
      </x:c>
      <x:c r="C27" s="644" t="s">
        <x:v>1563</x:v>
      </x:c>
      <x:c r="D27" s="553">
        <x:v>46083</x:v>
      </x:c>
      <x:c r="E27" s="662">
        <x:f>20.36+3.04</x:f>
      </x:c>
      <x:c r="F27" s="662">
        <x:v>3.04</x:v>
      </x:c>
      <x:c r="G27" s="665">
        <x:v>22.08</x:v>
      </x:c>
      <x:c r="H27" s="662">
        <x:v>3.05</x:v>
      </x:c>
      <x:c r="I27" s="666">
        <x:v>46084</x:v>
      </x:c>
      <x:c r="J27" s="433">
        <x:f>+E27-F27</x:f>
      </x:c>
      <x:c r="K27" s="468">
        <x:f>+I27-D27</x:f>
      </x:c>
      <x:c r="L27" s="503">
        <x:v>0.04</x:v>
      </x:c>
      <x:c r="M27" s="504">
        <x:f>+J27*L27</x:f>
      </x:c>
      <x:c r="O27" s="432"/>
    </x:row>
    <x:row r="28" spans="1:16" ht="15" customHeight="1" x14ac:dyDescent="0.25">
      <x:c r="A28" s="551"/>
      <x:c r="B28" s="552"/>
      <x:c r="C28" s="644"/>
      <x:c r="D28" s="553"/>
      <x:c r="E28" s="662"/>
      <x:c r="F28" s="662"/>
      <x:c r="G28" s="504"/>
      <x:c r="H28" s="662"/>
      <x:c r="I28" s="553"/>
      <x:c r="J28" s="433"/>
      <x:c r="K28" s="468"/>
      <x:c r="L28" s="503"/>
      <x:c r="M28" s="504"/>
      <x:c r="O28" s="432"/>
    </x:row>
    <x:row r="29" spans="1:16" ht="15" customHeight="1" x14ac:dyDescent="0.25">
      <x:c r="A29" s="606"/>
      <x:c r="B29" s="573"/>
      <x:c r="C29" s="606"/>
      <x:c r="D29" s="629"/>
      <x:c r="E29" s="569"/>
      <x:c r="F29" s="569"/>
      <x:c r="G29" s="466"/>
      <x:c r="H29" s="569"/>
      <x:c r="I29" s="652"/>
      <x:c r="J29" s="433"/>
      <x:c r="K29" s="468"/>
      <x:c r="L29" s="503"/>
      <x:c r="M29" s="504"/>
      <x:c r="O29" s="432"/>
    </x:row>
    <x:row r="30" spans="1:16" ht="15" customHeight="1" x14ac:dyDescent="0.3">
      <x:c r="G30" s="516">
        <x:f>SUM(G8:G29)</x:f>
      </x:c>
      <x:c r="J30" s="516">
        <x:f>SUM(J8:J29)</x:f>
      </x:c>
      <x:c r="M30" s="516">
        <x:f>SUM(M8:M29)</x:f>
      </x:c>
      <x:c r="O30" s="432"/>
    </x:row>
    <x:row r="31" spans="1:16" ht="15" customHeight="1" x14ac:dyDescent="0.25">
      <x:c r="G31" s="435"/>
      <x:c r="H31" s="435"/>
      <x:c r="O31" s="432"/>
    </x:row>
    <x:row r="32" spans="1:16" ht="15" customHeight="1" x14ac:dyDescent="0.25">
      <x:c r="A32" s="517" t="s">
        <x:v>30</x:v>
      </x:c>
      <x:c r="B32" s="518" t="s">
        <x:v>31</x:v>
      </x:c>
      <x:c r="C32" s="518" t="s">
        <x:v>32</x:v>
      </x:c>
      <x:c r="J32" s="435"/>
      <x:c r="O32" s="432"/>
    </x:row>
    <x:row r="33" spans="1:16" ht="14.4" customHeight="1" s="434" customFormat="1" x14ac:dyDescent="0.3">
      <x:c r="A33" s="664" t="s">
        <x:v>136</x:v>
      </x:c>
      <x:c r="B33" s="551" t="s">
        <x:v>1564</x:v>
      </x:c>
      <x:c r="C33" s="644" t="s">
        <x:v>1565</x:v>
      </x:c>
      <x:c r="D33" s="553">
        <x:v>46091</x:v>
      </x:c>
      <x:c r="E33" s="662">
        <x:f>612+204</x:f>
      </x:c>
      <x:c r="F33" s="662">
        <x:v>204</x:v>
      </x:c>
      <x:c r="G33" s="665">
        <x:v>664.02</x:v>
      </x:c>
      <x:c r="H33" s="662">
        <x:v>91.8</x:v>
      </x:c>
      <x:c r="I33" s="666">
        <x:v>46125</x:v>
      </x:c>
      <x:c r="J33" s="433">
        <x:f>+E33-F33</x:f>
      </x:c>
      <x:c r="K33" s="468">
        <x:f>+I33-D33</x:f>
      </x:c>
      <x:c r="L33" s="469">
        <x:v>0.03</x:v>
      </x:c>
      <x:c r="M33" s="433">
        <x:f>+J33*L33</x:f>
      </x:c>
      <x:c r="N33" s="470"/>
      <x:c r="O33" s="432"/>
    </x:row>
    <x:row r="34" spans="1:16" ht="14.4" customHeight="1" s="434" customFormat="1" x14ac:dyDescent="0.3">
      <x:c r="A34" s="664" t="s">
        <x:v>136</x:v>
      </x:c>
      <x:c r="B34" s="551" t="s">
        <x:v>1566</x:v>
      </x:c>
      <x:c r="C34" s="644" t="s">
        <x:v>1567</x:v>
      </x:c>
      <x:c r="D34" s="553">
        <x:v>46104</x:v>
      </x:c>
      <x:c r="E34" s="662">
        <x:f>1646.01+548.67</x:f>
      </x:c>
      <x:c r="F34" s="662">
        <x:v>548.67</x:v>
      </x:c>
      <x:c r="G34" s="665">
        <x:v>1785.92</x:v>
      </x:c>
      <x:c r="H34" s="662">
        <x:v>246.9</x:v>
      </x:c>
      <x:c r="I34" s="666">
        <x:v>46134</x:v>
      </x:c>
      <x:c r="J34" s="433">
        <x:f>+E34-F34</x:f>
      </x:c>
      <x:c r="K34" s="468">
        <x:f>+I34-D34</x:f>
      </x:c>
      <x:c r="L34" s="469">
        <x:v>0.03</x:v>
      </x:c>
      <x:c r="M34" s="433">
        <x:f>+J34*L34</x:f>
      </x:c>
      <x:c r="N34" s="470"/>
      <x:c r="O34" s="432"/>
    </x:row>
    <x:row r="35" spans="1:16" ht="14.4" customHeight="1" s="434" customFormat="1" x14ac:dyDescent="0.3">
      <x:c r="A35" s="664" t="s">
        <x:v>422</x:v>
      </x:c>
      <x:c r="B35" s="551" t="s">
        <x:v>1568</x:v>
      </x:c>
      <x:c r="C35" s="644" t="s">
        <x:v>1569</x:v>
      </x:c>
      <x:c r="D35" s="553">
        <x:v>46094</x:v>
      </x:c>
      <x:c r="E35" s="662">
        <x:f>115.57+20.39</x:f>
      </x:c>
      <x:c r="F35" s="662">
        <x:v>20.39</x:v>
      </x:c>
      <x:c r="G35" s="665">
        <x:v>132.9</x:v>
      </x:c>
      <x:c r="H35" s="662">
        <x:v>17.33</x:v>
      </x:c>
      <x:c r="I35" s="666">
        <x:v>46132</x:v>
      </x:c>
      <x:c r="J35" s="433">
        <x:f>+E35-F35</x:f>
      </x:c>
      <x:c r="K35" s="468">
        <x:f>+I35-D35</x:f>
      </x:c>
      <x:c r="L35" s="469">
        <x:v>0.03</x:v>
      </x:c>
      <x:c r="M35" s="433">
        <x:f>+J35*L35</x:f>
      </x:c>
      <x:c r="N35" s="470"/>
      <x:c r="O35" s="432"/>
    </x:row>
    <x:row r="36" spans="1:16" ht="14.4" customHeight="1" s="434" customFormat="1" x14ac:dyDescent="0.3">
      <x:c r="A36" s="664" t="s">
        <x:v>64</x:v>
      </x:c>
      <x:c r="B36" s="551" t="s">
        <x:v>1570</x:v>
      </x:c>
      <x:c r="C36" s="644" t="s">
        <x:v>1571</x:v>
      </x:c>
      <x:c r="D36" s="553">
        <x:v>46034</x:v>
      </x:c>
      <x:c r="E36" s="662">
        <x:f>111.69+19.71</x:f>
      </x:c>
      <x:c r="F36" s="662">
        <x:v>19.71</x:v>
      </x:c>
      <x:c r="G36" s="665">
        <x:v>128.44</x:v>
      </x:c>
      <x:c r="H36" s="662">
        <x:v>16.75</x:v>
      </x:c>
      <x:c r="I36" s="666">
        <x:v>46119</x:v>
      </x:c>
      <x:c r="J36" s="433">
        <x:f>+E36-F36</x:f>
      </x:c>
      <x:c r="K36" s="468">
        <x:f>+I36-D36</x:f>
      </x:c>
      <x:c r="L36" s="469">
        <x:v>0.03</x:v>
      </x:c>
      <x:c r="M36" s="433">
        <x:f>+J36*L36</x:f>
      </x:c>
      <x:c r="N36" s="470"/>
      <x:c r="O36" s="432"/>
    </x:row>
    <x:row r="37" spans="1:16" ht="14.4" customHeight="1" s="434" customFormat="1" x14ac:dyDescent="0.3">
      <x:c r="A37" s="664" t="s">
        <x:v>101</x:v>
      </x:c>
      <x:c r="B37" s="551" t="s">
        <x:v>1572</x:v>
      </x:c>
      <x:c r="C37" s="644" t="s">
        <x:v>1573</x:v>
      </x:c>
      <x:c r="D37" s="553">
        <x:v>46080</x:v>
      </x:c>
      <x:c r="E37" s="662">
        <x:f>77.42+13.66</x:f>
      </x:c>
      <x:c r="F37" s="662">
        <x:v>13.66</x:v>
      </x:c>
      <x:c r="G37" s="665">
        <x:v>84.2</x:v>
      </x:c>
      <x:c r="H37" s="662">
        <x:v>11.61</x:v>
      </x:c>
      <x:c r="I37" s="666">
        <x:v>46125</x:v>
      </x:c>
      <x:c r="J37" s="433">
        <x:f>+E37-F37</x:f>
      </x:c>
      <x:c r="K37" s="468">
        <x:f>+I37-D37</x:f>
      </x:c>
      <x:c r="L37" s="469">
        <x:v>0.03</x:v>
      </x:c>
      <x:c r="M37" s="433">
        <x:f>+J37*L37</x:f>
      </x:c>
      <x:c r="N37" s="470"/>
      <x:c r="O37" s="432"/>
    </x:row>
    <x:row r="38" spans="1:16" ht="14.4" customHeight="1" s="434" customFormat="1" x14ac:dyDescent="0.3">
      <x:c r="A38" s="664" t="s">
        <x:v>101</x:v>
      </x:c>
      <x:c r="B38" s="551" t="s">
        <x:v>1574</x:v>
      </x:c>
      <x:c r="C38" s="644" t="s">
        <x:v>1575</x:v>
      </x:c>
      <x:c r="D38" s="553">
        <x:v>46085</x:v>
      </x:c>
      <x:c r="E38" s="662">
        <x:f>56+9.88</x:f>
      </x:c>
      <x:c r="F38" s="662">
        <x:v>9.88</x:v>
      </x:c>
      <x:c r="G38" s="665">
        <x:v>60.76</x:v>
      </x:c>
      <x:c r="H38" s="662">
        <x:v>8.4</x:v>
      </x:c>
      <x:c r="I38" s="666">
        <x:v>46140</x:v>
      </x:c>
      <x:c r="J38" s="433">
        <x:f>+E38-F38</x:f>
      </x:c>
      <x:c r="K38" s="468">
        <x:f>+I38-D38</x:f>
      </x:c>
      <x:c r="L38" s="469">
        <x:v>0.03</x:v>
      </x:c>
      <x:c r="M38" s="433">
        <x:f>+J38*L38</x:f>
      </x:c>
      <x:c r="N38" s="470"/>
      <x:c r="O38" s="432"/>
    </x:row>
    <x:row r="39" spans="1:16" ht="14.4" customHeight="1" s="434" customFormat="1" x14ac:dyDescent="0.3">
      <x:c r="A39" s="664" t="s">
        <x:v>101</x:v>
      </x:c>
      <x:c r="B39" s="551" t="s">
        <x:v>1574</x:v>
      </x:c>
      <x:c r="C39" s="644" t="s">
        <x:v>1576</x:v>
      </x:c>
      <x:c r="D39" s="553">
        <x:v>46087</x:v>
      </x:c>
      <x:c r="E39" s="662">
        <x:f>94.76+16.72</x:f>
      </x:c>
      <x:c r="F39" s="662">
        <x:v>16.72</x:v>
      </x:c>
      <x:c r="G39" s="665">
        <x:v>102.81</x:v>
      </x:c>
      <x:c r="H39" s="662">
        <x:v>14.21</x:v>
      </x:c>
      <x:c r="I39" s="666">
        <x:v>46140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16" ht="14.4" customHeight="1" s="434" customFormat="1" x14ac:dyDescent="0.3">
      <x:c r="A40" s="664" t="s">
        <x:v>101</x:v>
      </x:c>
      <x:c r="B40" s="551" t="s">
        <x:v>1574</x:v>
      </x:c>
      <x:c r="C40" s="644" t="s">
        <x:v>1577</x:v>
      </x:c>
      <x:c r="D40" s="553">
        <x:v>46090</x:v>
      </x:c>
      <x:c r="E40" s="662">
        <x:f>216.75+38.25</x:f>
      </x:c>
      <x:c r="F40" s="662">
        <x:v>38.25</x:v>
      </x:c>
      <x:c r="G40" s="665">
        <x:v>235.17</x:v>
      </x:c>
      <x:c r="H40" s="662">
        <x:v>32.51</x:v>
      </x:c>
      <x:c r="I40" s="666">
        <x:v>46140</x:v>
      </x:c>
      <x:c r="J40" s="433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16" ht="14.4" customHeight="1" s="434" customFormat="1" x14ac:dyDescent="0.3">
      <x:c r="A41" s="664" t="s">
        <x:v>118</x:v>
      </x:c>
      <x:c r="B41" s="551" t="s">
        <x:v>1578</x:v>
      </x:c>
      <x:c r="C41" s="644" t="s">
        <x:v>1579</x:v>
      </x:c>
      <x:c r="D41" s="553">
        <x:v>46104</x:v>
      </x:c>
      <x:c r="E41" s="662">
        <x:f>3785.04+1261.68</x:f>
      </x:c>
      <x:c r="F41" s="662">
        <x:v>1261.68</x:v>
      </x:c>
      <x:c r="G41" s="665">
        <x:v>4106.77</x:v>
      </x:c>
      <x:c r="H41" s="662">
        <x:v>567.76</x:v>
      </x:c>
      <x:c r="I41" s="666">
        <x:v>46136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633"/>
      <x:c r="O41" s="432"/>
    </x:row>
    <x:row r="42" spans="1:16" ht="15" customHeight="1" s="434" customFormat="1" x14ac:dyDescent="0.25">
      <x:c r="A42" s="487"/>
      <x:c r="B42" s="462"/>
      <x:c r="C42" s="462"/>
      <x:c r="D42" s="492"/>
      <x:c r="E42" s="491"/>
      <x:c r="F42" s="491"/>
      <x:c r="G42" s="491"/>
      <x:c r="H42" s="610"/>
      <x:c r="I42" s="653"/>
      <x:c r="J42" s="433"/>
      <x:c r="K42" s="468"/>
      <x:c r="L42" s="469"/>
      <x:c r="M42" s="433"/>
      <x:c r="N42" s="470"/>
      <x:c r="O42" s="432"/>
    </x:row>
    <x:row r="43" spans="1:16" ht="15.6" customHeight="1" s="434" customFormat="1" x14ac:dyDescent="0.3">
      <x:c r="A43" s="487"/>
      <x:c r="B43" s="462"/>
      <x:c r="C43" s="487"/>
      <x:c r="D43" s="492"/>
      <x:c r="E43" s="490"/>
      <x:c r="F43" s="490"/>
      <x:c r="G43" s="491"/>
      <x:c r="H43" s="490"/>
      <x:c r="I43" s="653"/>
      <x:c r="J43" s="433"/>
      <x:c r="K43" s="468"/>
      <x:c r="L43" s="469"/>
      <x:c r="M43" s="433"/>
      <x:c r="N43" s="470"/>
      <x:c r="O43" s="432"/>
    </x:row>
    <x:row r="44" spans="1:16" ht="15" customHeight="1" x14ac:dyDescent="0.35">
      <x:c r="A44" s="493" t="s">
        <x:v>43</x:v>
      </x:c>
      <x:c r="B44" s="493"/>
      <x:c r="C44" s="493"/>
      <x:c r="D44" s="493"/>
      <x:c r="E44" s="493"/>
      <x:c r="F44" s="493"/>
      <x:c r="G44" s="516">
        <x:f>SUM(G30:G43)</x:f>
      </x:c>
      <x:c r="J44" s="516">
        <x:f>SUM(J30:J43)</x:f>
      </x:c>
      <x:c r="L44" s="495"/>
      <x:c r="M44" s="564">
        <x:f>SUM(M30:M43)</x:f>
      </x:c>
    </x:row>
    <x:row r="45" spans="1:16" ht="15" customHeight="1" x14ac:dyDescent="0.3">
      <x:c r="A45" s="520"/>
      <x:c r="G45" s="435"/>
    </x:row>
    <x:row r="46" spans="1:16" ht="15" customHeight="1" x14ac:dyDescent="0.3">
      <x:c r="A46" s="499"/>
      <x:c r="G46" s="435"/>
      <x:c r="J46" s="435"/>
    </x:row>
    <x:row r="47" spans="1:16" ht="15" customHeight="1" x14ac:dyDescent="0.3">
      <x:c r="A47" s="499"/>
      <x:c r="G47" s="435"/>
      <x:c r="J47" s="435"/>
    </x:row>
    <x:row r="48" spans="1:16" ht="15" customHeight="1" x14ac:dyDescent="0.3">
      <x:c r="A48" s="499"/>
      <x:c r="G48" s="435"/>
      <x:c r="J48" s="435"/>
    </x:row>
    <x:row r="49" spans="1:16" ht="15" customHeight="1" x14ac:dyDescent="0.3">
      <x:c r="A49" s="499"/>
      <x:c r="G49" s="435"/>
      <x:c r="J49" s="435"/>
      <x:c r="M49" s="435">
        <x:f>M44/12</x:f>
      </x:c>
      <x:c r="N49" s="431" t="s">
        <x:v>1180</x:v>
      </x:c>
    </x:row>
    <x:row r="50" spans="1:16" ht="15" customHeight="1" x14ac:dyDescent="0.3">
      <x:c r="A50" s="499"/>
      <x:c r="G50" s="435"/>
      <x:c r="J50" s="435"/>
      <x:c r="M50" s="435">
        <x:f>M44/24</x:f>
      </x:c>
      <x:c r="N50" s="431" t="s">
        <x:v>1180</x:v>
      </x:c>
    </x:row>
    <x:row r="51" spans="1:16" ht="15" customHeight="1" x14ac:dyDescent="0.25">
      <x:c r="A51" s="436" t="s">
        <x:v>0</x:v>
      </x:c>
      <x:c r="B51" s="436"/>
      <x:c r="C51" s="436"/>
      <x:c r="D51" s="436"/>
      <x:c r="E51" s="436"/>
      <x:c r="F51" s="436"/>
      <x:c r="G51" s="437"/>
      <x:c r="H51" s="438"/>
      <x:c r="I51" s="654"/>
      <x:c r="J51" s="440"/>
      <x:c r="K51" s="441"/>
      <x:c r="L51" s="442"/>
      <x:c r="M51" s="443"/>
    </x:row>
    <x:row r="52" spans="1:16" ht="15" customHeight="1" x14ac:dyDescent="0.25">
      <x:c r="A52" s="436" t="s">
        <x:v>1</x:v>
      </x:c>
      <x:c r="B52" s="436"/>
      <x:c r="C52" s="436"/>
      <x:c r="D52" s="436"/>
      <x:c r="E52" s="436"/>
      <x:c r="F52" s="436"/>
      <x:c r="G52" s="437"/>
      <x:c r="H52" s="438"/>
      <x:c r="I52" s="654"/>
      <x:c r="J52" s="441"/>
      <x:c r="K52" s="441"/>
      <x:c r="L52" s="442"/>
      <x:c r="M52" s="443"/>
    </x:row>
    <x:row r="53" spans="1:16" ht="15" customHeight="1" x14ac:dyDescent="0.25">
      <x:c r="A53" s="436"/>
      <x:c r="B53" s="436" t="s">
        <x:v>1545</x:v>
      </x:c>
      <x:c r="C53" s="436"/>
      <x:c r="D53" s="445"/>
      <x:c r="E53" s="436"/>
      <x:c r="F53" s="436"/>
      <x:c r="G53" s="437"/>
      <x:c r="H53" s="438"/>
      <x:c r="I53" s="654"/>
      <x:c r="J53" s="441"/>
      <x:c r="K53" s="441"/>
      <x:c r="L53" s="442"/>
      <x:c r="M53" s="443"/>
    </x:row>
    <x:row r="54" spans="1:16" ht="15" customHeight="1" x14ac:dyDescent="0.3">
      <x:c r="A54" s="436"/>
      <x:c r="B54" s="436" t="s">
        <x:v>1181</x:v>
      </x:c>
      <x:c r="C54" s="436"/>
      <x:c r="D54" s="445"/>
      <x:c r="E54" s="436"/>
      <x:c r="F54" s="436"/>
      <x:c r="G54" s="443"/>
      <x:c r="H54" s="437"/>
      <x:c r="I54" s="655"/>
      <x:c r="J54" s="441"/>
      <x:c r="K54" s="441"/>
      <x:c r="L54" s="442"/>
      <x:c r="M54" s="443"/>
    </x:row>
    <x:row r="55" spans="1:16" ht="15" customHeight="1" x14ac:dyDescent="0.25">
      <x:c r="A55" s="447" t="s">
        <x:v>4</x:v>
      </x:c>
      <x:c r="B55" s="609"/>
      <x:c r="C55" s="441"/>
      <x:c r="D55" s="439"/>
      <x:c r="E55" s="441"/>
      <x:c r="F55" s="441"/>
      <x:c r="G55" s="448" t="s">
        <x:v>5</x:v>
      </x:c>
      <x:c r="H55" s="441"/>
      <x:c r="I55" s="654"/>
      <x:c r="J55" s="449" t="s">
        <x:v>6</x:v>
      </x:c>
      <x:c r="K55" s="450" t="s">
        <x:v>7</x:v>
      </x:c>
      <x:c r="L55" s="451" t="s">
        <x:v>8</x:v>
      </x:c>
      <x:c r="M55" s="449" t="s">
        <x:v>9</x:v>
      </x:c>
      <x:c r="O55" s="435"/>
    </x:row>
    <x:row r="56" spans="1:16" ht="15" customHeight="1" x14ac:dyDescent="0.3">
      <x:c r="A56" s="452" t="s">
        <x:v>10</x:v>
      </x:c>
      <x:c r="B56" s="452" t="s">
        <x:v>11</x:v>
      </x:c>
      <x:c r="C56" s="452" t="s">
        <x:v>12</x:v>
      </x:c>
      <x:c r="D56" s="453" t="s">
        <x:v>13</x:v>
      </x:c>
      <x:c r="E56" s="452" t="s">
        <x:v>14</x:v>
      </x:c>
      <x:c r="F56" s="454" t="s">
        <x:v>15</x:v>
      </x:c>
      <x:c r="G56" s="455" t="s">
        <x:v>16</x:v>
      </x:c>
      <x:c r="H56" s="456" t="s">
        <x:v>17</x:v>
      </x:c>
      <x:c r="I56" s="656" t="s">
        <x:v>18</x:v>
      </x:c>
      <x:c r="J56" s="458" t="s">
        <x:v>19</x:v>
      </x:c>
      <x:c r="K56" s="459"/>
      <x:c r="L56" s="460" t="s">
        <x:v>20</x:v>
      </x:c>
      <x:c r="M56" s="458" t="s">
        <x:v>21</x:v>
      </x:c>
      <x:c r="O56" s="435"/>
    </x:row>
    <x:row r="57" spans="1:16" ht="15" customHeight="1" x14ac:dyDescent="0.3">
      <x:c r="A57" s="664" t="s">
        <x:v>1580</x:v>
      </x:c>
      <x:c r="B57" s="552" t="s">
        <x:v>26</x:v>
      </x:c>
      <x:c r="C57" s="644" t="s">
        <x:v>1581</x:v>
      </x:c>
      <x:c r="D57" s="553">
        <x:v>46112</x:v>
      </x:c>
      <x:c r="E57" s="662">
        <x:f>66.53+7.39</x:f>
      </x:c>
      <x:c r="F57" s="662">
        <x:v>7.39</x:v>
      </x:c>
      <x:c r="G57" s="665">
        <x:v>76.51</x:v>
      </x:c>
      <x:c r="H57" s="662">
        <x:v>9.98</x:v>
      </x:c>
      <x:c r="I57" s="666">
        <x:v>46112</x:v>
      </x:c>
      <x:c r="J57" s="433">
        <x:f>E57-F57</x:f>
      </x:c>
      <x:c r="K57" s="468">
        <x:f>+I57-D57</x:f>
      </x:c>
      <x:c r="L57" s="469">
        <x:v>0.04</x:v>
      </x:c>
      <x:c r="M57" s="433">
        <x:f>+J57*L57</x:f>
      </x:c>
      <x:c r="O57" s="432"/>
    </x:row>
    <x:row r="58" spans="1:16" ht="15" customHeight="1" x14ac:dyDescent="0.3">
      <x:c r="A58" s="664" t="s">
        <x:v>1582</x:v>
      </x:c>
      <x:c r="B58" s="552" t="s">
        <x:v>1583</x:v>
      </x:c>
      <x:c r="C58" s="644" t="s">
        <x:v>1584</x:v>
      </x:c>
      <x:c r="D58" s="553">
        <x:v>46105</x:v>
      </x:c>
      <x:c r="E58" s="662">
        <x:f>357.5+89.38</x:f>
      </x:c>
      <x:c r="F58" s="662">
        <x:v>89.38</x:v>
      </x:c>
      <x:c r="G58" s="665">
        <x:v>387.89</x:v>
      </x:c>
      <x:c r="H58" s="662">
        <x:v>53.63</x:v>
      </x:c>
      <x:c r="I58" s="666">
        <x:v>46105</x:v>
      </x:c>
      <x:c r="J58" s="433">
        <x:f>E58-F58</x:f>
      </x:c>
      <x:c r="K58" s="468">
        <x:f>+I58-D58</x:f>
      </x:c>
      <x:c r="L58" s="469">
        <x:v>0.04</x:v>
      </x:c>
      <x:c r="M58" s="433">
        <x:f>+J58*L58</x:f>
      </x:c>
      <x:c r="O58" s="432"/>
    </x:row>
    <x:row r="59" spans="1:16" ht="15" customHeight="1" x14ac:dyDescent="0.3">
      <x:c r="A59" s="664" t="s">
        <x:v>1250</x:v>
      </x:c>
      <x:c r="B59" s="552" t="s">
        <x:v>1251</x:v>
      </x:c>
      <x:c r="C59" s="644" t="s">
        <x:v>1585</x:v>
      </x:c>
      <x:c r="D59" s="553">
        <x:v>46056</x:v>
      </x:c>
      <x:c r="E59" s="662">
        <x:f>702.62+175.66</x:f>
      </x:c>
      <x:c r="F59" s="662">
        <x:v>175.66</x:v>
      </x:c>
      <x:c r="G59" s="665">
        <x:v>764.09</x:v>
      </x:c>
      <x:c r="H59" s="662">
        <x:v>105.39</x:v>
      </x:c>
      <x:c r="I59" s="666">
        <x:v>46094</x:v>
      </x:c>
      <x:c r="J59" s="433">
        <x:f>E59-F59</x:f>
      </x:c>
      <x:c r="K59" s="468">
        <x:f>+I59-D59</x:f>
      </x:c>
      <x:c r="L59" s="469">
        <x:v>0.03</x:v>
      </x:c>
      <x:c r="M59" s="433">
        <x:f>+J59*L59</x:f>
      </x:c>
      <x:c r="O59" s="432"/>
    </x:row>
    <x:row r="60" spans="1:16" ht="15" customHeight="1" x14ac:dyDescent="0.3">
      <x:c r="A60" s="664" t="s">
        <x:v>1253</x:v>
      </x:c>
      <x:c r="B60" s="552" t="s">
        <x:v>1254</x:v>
      </x:c>
      <x:c r="C60" s="644" t="s">
        <x:v>1586</x:v>
      </x:c>
      <x:c r="D60" s="553">
        <x:v>46093</x:v>
      </x:c>
      <x:c r="E60" s="662">
        <x:f>205.92+51.48</x:f>
      </x:c>
      <x:c r="F60" s="662">
        <x:v>51.48</x:v>
      </x:c>
      <x:c r="G60" s="665">
        <x:v>236.81</x:v>
      </x:c>
      <x:c r="H60" s="662">
        <x:v>30.89</x:v>
      </x:c>
      <x:c r="I60" s="666">
        <x:v>46093</x:v>
      </x:c>
      <x:c r="J60" s="433">
        <x:f>E60-F60</x:f>
      </x:c>
      <x:c r="K60" s="468">
        <x:f>+I60-D60</x:f>
      </x:c>
      <x:c r="L60" s="469">
        <x:v>0.04</x:v>
      </x:c>
      <x:c r="M60" s="433">
        <x:f>+J60*L60</x:f>
      </x:c>
      <x:c r="O60" s="432"/>
    </x:row>
    <x:row r="61" spans="1:16" ht="15" customHeight="1" x14ac:dyDescent="0.25">
      <x:c r="A61" s="606"/>
      <x:c r="B61" s="573"/>
      <x:c r="C61" s="606"/>
      <x:c r="D61" s="607"/>
      <x:c r="E61" s="569"/>
      <x:c r="F61" s="569"/>
      <x:c r="G61" s="466"/>
      <x:c r="H61" s="569"/>
      <x:c r="I61" s="652"/>
      <x:c r="J61" s="433"/>
      <x:c r="K61" s="468"/>
      <x:c r="L61" s="469"/>
      <x:c r="M61" s="433"/>
    </x:row>
    <x:row r="62" spans="1:16" ht="15" customHeight="1" x14ac:dyDescent="0.25">
      <x:c r="A62" s="606"/>
      <x:c r="B62" s="573"/>
      <x:c r="C62" s="606"/>
      <x:c r="D62" s="607"/>
      <x:c r="E62" s="569"/>
      <x:c r="F62" s="569"/>
      <x:c r="G62" s="466"/>
      <x:c r="H62" s="569"/>
      <x:c r="I62" s="652"/>
      <x:c r="J62" s="433"/>
      <x:c r="K62" s="468"/>
      <x:c r="L62" s="469"/>
      <x:c r="M62" s="433"/>
    </x:row>
    <x:row r="63" spans="1:16" ht="15" customHeight="1" x14ac:dyDescent="0.3">
      <x:c r="A63" s="471"/>
      <x:c r="B63" s="472"/>
      <x:c r="C63" s="472"/>
      <x:c r="D63" s="473"/>
      <x:c r="E63" s="474"/>
      <x:c r="F63" s="474"/>
      <x:c r="G63" s="475"/>
      <x:c r="H63" s="476"/>
      <x:c r="I63" s="657"/>
      <x:c r="J63" s="433"/>
      <x:c r="K63" s="468"/>
      <x:c r="L63" s="469"/>
      <x:c r="M63" s="433"/>
    </x:row>
    <x:row r="64" spans="1:16" ht="15" customHeight="1" x14ac:dyDescent="0.25">
      <x:c r="A64" s="478"/>
      <x:c r="B64" s="478"/>
      <x:c r="C64" s="478"/>
      <x:c r="D64" s="478"/>
      <x:c r="E64" s="478"/>
      <x:c r="F64" s="478"/>
      <x:c r="G64" s="479">
        <x:f>SUM(G57:G63)</x:f>
      </x:c>
      <x:c r="H64" s="480"/>
      <x:c r="I64" s="658"/>
      <x:c r="J64" s="479">
        <x:f>SUM(J57:J63)</x:f>
      </x:c>
      <x:c r="K64" s="482"/>
      <x:c r="L64" s="482"/>
      <x:c r="M64" s="479">
        <x:f>SUM(M57:M63)</x:f>
      </x:c>
    </x:row>
    <x:row r="65" spans="1:16" ht="15" customHeight="1" x14ac:dyDescent="0.25">
      <x:c r="A65" s="483"/>
      <x:c r="B65" s="483"/>
      <x:c r="C65" s="483"/>
      <x:c r="D65" s="484"/>
      <x:c r="E65" s="483"/>
      <x:c r="F65" s="483"/>
      <x:c r="G65" s="432"/>
      <x:c r="H65" s="434"/>
      <x:c r="I65" s="659"/>
      <x:c r="J65" s="434"/>
      <x:c r="K65" s="434"/>
      <x:c r="L65" s="434"/>
      <x:c r="M65" s="434"/>
    </x:row>
    <x:row r="66" spans="1:16" x14ac:dyDescent="0.25">
      <x:c r="A66" s="483"/>
      <x:c r="B66" s="483"/>
      <x:c r="C66" s="483"/>
      <x:c r="D66" s="484"/>
      <x:c r="E66" s="483"/>
      <x:c r="F66" s="483"/>
      <x:c r="G66" s="432"/>
      <x:c r="H66" s="434"/>
      <x:c r="I66" s="659"/>
      <x:c r="J66" s="432"/>
      <x:c r="K66" s="434"/>
      <x:c r="L66" s="434"/>
      <x:c r="M66" s="432"/>
    </x:row>
    <x:row r="67" spans="1:16" x14ac:dyDescent="0.25">
      <x:c r="A67" s="434" t="s">
        <x:v>30</x:v>
      </x:c>
      <x:c r="B67" s="483" t="s">
        <x:v>31</x:v>
      </x:c>
      <x:c r="C67" s="483" t="s">
        <x:v>32</x:v>
      </x:c>
      <x:c r="D67" s="485"/>
      <x:c r="E67" s="434"/>
      <x:c r="F67" s="434"/>
      <x:c r="G67" s="432"/>
      <x:c r="H67" s="434"/>
      <x:c r="I67" s="659"/>
      <x:c r="J67" s="434"/>
      <x:c r="K67" s="434"/>
      <x:c r="L67" s="434"/>
      <x:c r="M67" s="434"/>
    </x:row>
    <x:row r="68" spans="1:16" s="434" customFormat="1" x14ac:dyDescent="0.25">
      <x:c r="A68" s="551"/>
      <x:c r="B68" s="551"/>
      <x:c r="C68" s="644"/>
      <x:c r="D68" s="553"/>
      <x:c r="E68" s="662"/>
      <x:c r="F68" s="662"/>
      <x:c r="G68" s="504"/>
      <x:c r="H68" s="662"/>
      <x:c r="I68" s="553"/>
      <x:c r="J68" s="433"/>
      <x:c r="K68" s="468"/>
      <x:c r="L68" s="469"/>
      <x:c r="M68" s="433"/>
      <x:c r="N68" s="470"/>
    </x:row>
    <x:row r="69" spans="1:16" ht="15.6" customHeight="1" x14ac:dyDescent="0.3">
      <x:c r="A69" s="486"/>
      <x:c r="B69" s="462"/>
      <x:c r="C69" s="488"/>
      <x:c r="D69" s="489"/>
      <x:c r="E69" s="490"/>
      <x:c r="F69" s="490"/>
      <x:c r="G69" s="491"/>
      <x:c r="H69" s="490"/>
      <x:c r="I69" s="653"/>
      <x:c r="J69" s="433"/>
      <x:c r="K69" s="468"/>
      <x:c r="L69" s="469"/>
      <x:c r="M69" s="433"/>
    </x:row>
    <x:row r="70" spans="1:16" ht="16.2" customHeight="1" x14ac:dyDescent="0.35">
      <x:c r="A70" s="493" t="s">
        <x:v>43</x:v>
      </x:c>
      <x:c r="B70" s="493"/>
      <x:c r="C70" s="493"/>
      <x:c r="D70" s="493"/>
      <x:c r="E70" s="493"/>
      <x:c r="F70" s="493"/>
      <x:c r="G70" s="494">
        <x:f>SUM(G64:G69)</x:f>
      </x:c>
      <x:c r="I70" s="660"/>
      <x:c r="J70" s="494">
        <x:f>SUM(J64:J69)</x:f>
      </x:c>
      <x:c r="L70" s="495"/>
      <x:c r="M70" s="496">
        <x:f>SUM(M64:M69)</x:f>
      </x:c>
    </x:row>
    <x:row r="71" spans="1:16" x14ac:dyDescent="0.25">
      <x:c r="A71" s="497"/>
      <x:c r="E71" s="497"/>
      <x:c r="F71" s="497"/>
      <x:c r="G71" s="435"/>
      <x:c r="I71" s="660"/>
    </x:row>
    <x:row r="73" spans="1:16" x14ac:dyDescent="0.25">
      <x:c r="J73" s="435"/>
    </x:row>
    <x:row r="74" spans="1:16" x14ac:dyDescent="0.25">
      <x:c r="J74" s="435"/>
    </x:row>
    <x:row r="75" spans="1:16" x14ac:dyDescent="0.25">
      <x:c r="J75" s="435">
        <x:f>(J44+J70)*2%</x:f>
      </x:c>
      <x:c r="M75" s="435">
        <x:f>M70/12</x:f>
      </x:c>
      <x:c r="N75" s="431" t="s">
        <x:v>1199</x:v>
      </x:c>
    </x:row>
    <x:row r="76" spans="1:16" x14ac:dyDescent="0.25">
      <x:c r="J76" s="435">
        <x:f>J75/12</x:f>
      </x:c>
      <x:c r="K76" s="429" t="s">
        <x:v>655</x:v>
      </x:c>
      <x:c r="M76" s="435">
        <x:f>M70/24</x:f>
      </x:c>
      <x:c r="N76" s="431" t="s">
        <x:v>1199</x:v>
      </x:c>
    </x:row>
    <x:row r="77" spans="1:16" x14ac:dyDescent="0.25">
      <x:c r="J77" s="435">
        <x:f>J75/24</x:f>
      </x:c>
      <x:c r="K77" s="429" t="s">
        <x:v>655</x:v>
      </x:c>
    </x:row>
  </x:sheetData>
  <x:sortState xmlns:xlrd2="http://schemas.microsoft.com/office/spreadsheetml/2017/richdata2" ref="A8:P27">
    <x:sortCondition descending="1" ref="I8:I27"/>
  </x:sortState>
  <x:mergeCells count="2">
    <x:mergeCell ref="A3:F3"/>
    <x:mergeCell ref="A44:F44"/>
  </x:mergeCells>
  <x:printOptions horizontalCentered="0" verticalCentered="0" headings="0" gridLines="0"/>
  <x:pageMargins left="0.3937007874015748" right="0" top="0.3937007874015748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49781C4-36E4-4C7B-AEA7-60C9EB3100AE}" mc:Ignorable="x14ac xr xr2 xr3">
  <x:sheetPr>
    <x:outlinePr summaryBelow="1" summaryRight="1"/>
  </x:sheetPr>
  <x:dimension ref="A1:O78"/>
  <x:sheetViews>
    <x:sheetView topLeftCell="F23" workbookViewId="0">
      <x:selection activeCell="O23" sqref="O23 O:S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3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9.664062" style="431" customWidth="1"/>
    <x:col min="15" max="15" width="12.441406" style="429" customWidth="1"/>
    <x:col min="16" max="16" width="8" style="429" customWidth="1"/>
    <x:col min="17" max="16384" width="11.441406" style="429" customWidth="1"/>
  </x:cols>
  <x:sheetData>
    <x:row r="1" spans="1:16" ht="15" customHeight="1" x14ac:dyDescent="0.25">
      <x:c r="B1" s="608"/>
      <x:c r="C1" s="608"/>
      <x:c r="G1" s="435"/>
    </x:row>
    <x:row r="2" spans="1:16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16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16" ht="15" customHeight="1" x14ac:dyDescent="0.25">
      <x:c r="A4" s="436"/>
      <x:c r="B4" s="436" t="s">
        <x:v>1587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16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16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16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16" ht="15" customHeight="1" x14ac:dyDescent="0.3">
      <x:c r="A8" s="664" t="s">
        <x:v>1588</x:v>
      </x:c>
      <x:c r="B8" s="552" t="s">
        <x:v>309</x:v>
      </x:c>
      <x:c r="C8" s="644" t="s">
        <x:v>1589</x:v>
      </x:c>
      <x:c r="D8" s="553">
        <x:v>46134</x:v>
      </x:c>
      <x:c r="E8" s="662">
        <x:f>438.91+109.73</x:f>
      </x:c>
      <x:c r="F8" s="662">
        <x:v>109.73</x:v>
      </x:c>
      <x:c r="G8" s="665">
        <x:v>504.75</x:v>
      </x:c>
      <x:c r="H8" s="662">
        <x:v>65.84</x:v>
      </x:c>
      <x:c r="I8" s="666">
        <x:v>46134</x:v>
      </x:c>
      <x:c r="J8" s="433">
        <x:f>+E8-F8</x:f>
      </x:c>
      <x:c r="K8" s="468">
        <x:f>+I8-D8</x:f>
      </x:c>
      <x:c r="L8" s="503">
        <x:v>0.04</x:v>
      </x:c>
      <x:c r="M8" s="504">
        <x:f>+J8*L8</x:f>
      </x:c>
      <x:c r="O8" s="432"/>
    </x:row>
    <x:row r="9" spans="1:16" ht="15" customHeight="1" x14ac:dyDescent="0.3">
      <x:c r="A9" s="664" t="s">
        <x:v>154</x:v>
      </x:c>
      <x:c r="B9" s="552" t="s">
        <x:v>155</x:v>
      </x:c>
      <x:c r="C9" s="644" t="s">
        <x:v>1590</x:v>
      </x:c>
      <x:c r="D9" s="666">
        <x:v>46135</x:v>
      </x:c>
      <x:c r="E9" s="667">
        <x:f>171.11+25.57</x:f>
      </x:c>
      <x:c r="F9" s="667">
        <x:v>25.57</x:v>
      </x:c>
      <x:c r="G9" s="665">
        <x:v>196.78</x:v>
      </x:c>
      <x:c r="H9" s="667">
        <x:v>25.67</x:v>
      </x:c>
      <x:c r="I9" s="666">
        <x:v>46135</x:v>
      </x:c>
      <x:c r="J9" s="433">
        <x:f>+E9-F9</x:f>
      </x:c>
      <x:c r="K9" s="468">
        <x:f>+I9-D9</x:f>
      </x:c>
      <x:c r="L9" s="503">
        <x:v>0.04</x:v>
      </x:c>
      <x:c r="M9" s="504">
        <x:f>+J9*L9</x:f>
      </x:c>
      <x:c r="O9" s="432"/>
    </x:row>
    <x:row r="10" spans="1:16" ht="15" customHeight="1" x14ac:dyDescent="0.3">
      <x:c r="A10" s="664" t="s">
        <x:v>805</x:v>
      </x:c>
      <x:c r="B10" s="552" t="s">
        <x:v>806</x:v>
      </x:c>
      <x:c r="C10" s="644" t="s">
        <x:v>1591</x:v>
      </x:c>
      <x:c r="D10" s="553">
        <x:v>46118</x:v>
      </x:c>
      <x:c r="E10" s="662">
        <x:f>72.35+10.81</x:f>
      </x:c>
      <x:c r="F10" s="662">
        <x:v>10.81</x:v>
      </x:c>
      <x:c r="G10" s="665">
        <x:v>83.2</x:v>
      </x:c>
      <x:c r="H10" s="662">
        <x:v>10.85</x:v>
      </x:c>
      <x:c r="I10" s="666">
        <x:v>46120</x:v>
      </x:c>
      <x:c r="J10" s="433">
        <x:f>+E10-F10</x:f>
      </x:c>
      <x:c r="K10" s="468">
        <x:f>+I10-D10</x:f>
      </x:c>
      <x:c r="L10" s="503">
        <x:v>0.035</x:v>
      </x:c>
      <x:c r="M10" s="504">
        <x:f>+J10*L10</x:f>
      </x:c>
      <x:c r="O10" s="432"/>
    </x:row>
    <x:row r="11" spans="1:16" ht="15" customHeight="1" x14ac:dyDescent="0.3">
      <x:c r="A11" s="664" t="s">
        <x:v>114</x:v>
      </x:c>
      <x:c r="B11" s="552" t="s">
        <x:v>26</x:v>
      </x:c>
      <x:c r="C11" s="644" t="s">
        <x:v>1592</x:v>
      </x:c>
      <x:c r="D11" s="553">
        <x:v>46132</x:v>
      </x:c>
      <x:c r="E11" s="662">
        <x:f>42.72+10.68</x:f>
      </x:c>
      <x:c r="F11" s="662">
        <x:v>10.68</x:v>
      </x:c>
      <x:c r="G11" s="665">
        <x:v>46.36</x:v>
      </x:c>
      <x:c r="H11" s="662">
        <x:v>6.41</x:v>
      </x:c>
      <x:c r="I11" s="666">
        <x:v>46134</x:v>
      </x:c>
      <x:c r="J11" s="433">
        <x:f>+E11-F11</x:f>
      </x:c>
      <x:c r="K11" s="468">
        <x:f>+I11-D11</x:f>
      </x:c>
      <x:c r="L11" s="503">
        <x:v>0.035</x:v>
      </x:c>
      <x:c r="M11" s="504">
        <x:f>+J11*L11</x:f>
      </x:c>
      <x:c r="O11" s="432"/>
    </x:row>
    <x:row r="12" spans="1:16" ht="15" customHeight="1" x14ac:dyDescent="0.3">
      <x:c r="A12" s="664" t="s">
        <x:v>1115</x:v>
      </x:c>
      <x:c r="B12" s="552" t="s">
        <x:v>401</x:v>
      </x:c>
      <x:c r="C12" s="644" t="s">
        <x:v>1593</x:v>
      </x:c>
      <x:c r="D12" s="553">
        <x:v>46114</x:v>
      </x:c>
      <x:c r="E12" s="662">
        <x:f>246.84+43.56-1.18</x:f>
      </x:c>
      <x:c r="F12" s="662">
        <x:v>43.56</x:v>
      </x:c>
      <x:c r="G12" s="665">
        <x:v>282.69</x:v>
      </x:c>
      <x:c r="H12" s="662">
        <x:v>37.03</x:v>
      </x:c>
      <x:c r="I12" s="666">
        <x:v>46118</x:v>
      </x:c>
      <x:c r="J12" s="433">
        <x:f>+E12-F12</x:f>
      </x:c>
      <x:c r="K12" s="468">
        <x:f>+I12-D12</x:f>
      </x:c>
      <x:c r="L12" s="503">
        <x:v>0.035</x:v>
      </x:c>
      <x:c r="M12" s="504">
        <x:f>+J12*L12</x:f>
      </x:c>
      <x:c r="O12" s="432"/>
    </x:row>
    <x:row r="13" spans="1:16" ht="15" customHeight="1" x14ac:dyDescent="0.3">
      <x:c r="A13" s="664" t="s">
        <x:v>941</x:v>
      </x:c>
      <x:c r="B13" s="552" t="s">
        <x:v>478</x:v>
      </x:c>
      <x:c r="C13" s="644" t="s">
        <x:v>1594</x:v>
      </x:c>
      <x:c r="D13" s="553">
        <x:v>46114</x:v>
      </x:c>
      <x:c r="E13" s="662">
        <x:f>76.5+13.5</x:f>
      </x:c>
      <x:c r="F13" s="662">
        <x:v>13.5</x:v>
      </x:c>
      <x:c r="G13" s="665">
        <x:v>87.98</x:v>
      </x:c>
      <x:c r="H13" s="662">
        <x:v>11.48</x:v>
      </x:c>
      <x:c r="I13" s="666">
        <x:v>46120</x:v>
      </x:c>
      <x:c r="J13" s="433">
        <x:f>+E13-F13</x:f>
      </x:c>
      <x:c r="K13" s="468">
        <x:f>+I13-D13</x:f>
      </x:c>
      <x:c r="L13" s="503">
        <x:v>0.035</x:v>
      </x:c>
      <x:c r="M13" s="504">
        <x:f>+J13*L13</x:f>
      </x:c>
      <x:c r="O13" s="432"/>
    </x:row>
    <x:row r="14" spans="1:16" ht="15" customHeight="1" x14ac:dyDescent="0.3">
      <x:c r="A14" s="664" t="s">
        <x:v>225</x:v>
      </x:c>
      <x:c r="B14" s="552" t="s">
        <x:v>105</x:v>
      </x:c>
      <x:c r="C14" s="644" t="s">
        <x:v>1595</x:v>
      </x:c>
      <x:c r="D14" s="553">
        <x:v>46106</x:v>
      </x:c>
      <x:c r="E14" s="662">
        <x:f>1710.36+570.12</x:f>
      </x:c>
      <x:c r="F14" s="662">
        <x:v>570.12</x:v>
      </x:c>
      <x:c r="G14" s="665">
        <x:v>1855.73</x:v>
      </x:c>
      <x:c r="H14" s="662">
        <x:v>256.55</x:v>
      </x:c>
      <x:c r="I14" s="666">
        <x:v>46114</x:v>
      </x:c>
      <x:c r="J14" s="433">
        <x:f>+E14-F14</x:f>
      </x:c>
      <x:c r="K14" s="468">
        <x:f>+I14-D14</x:f>
      </x:c>
      <x:c r="L14" s="503">
        <x:v>0.035</x:v>
      </x:c>
      <x:c r="M14" s="504">
        <x:f>+J14*L14</x:f>
      </x:c>
      <x:c r="O14" s="432"/>
    </x:row>
    <x:row r="15" spans="1:16" ht="15" customHeight="1" x14ac:dyDescent="0.3">
      <x:c r="A15" s="664" t="s">
        <x:v>360</x:v>
      </x:c>
      <x:c r="B15" s="552" t="s">
        <x:v>26</x:v>
      </x:c>
      <x:c r="C15" s="644" t="s">
        <x:v>1596</x:v>
      </x:c>
      <x:c r="D15" s="553">
        <x:v>46132</x:v>
      </x:c>
      <x:c r="E15" s="662">
        <x:f>841.63+114.77</x:f>
      </x:c>
      <x:c r="F15" s="662">
        <x:v>114.77</x:v>
      </x:c>
      <x:c r="G15" s="665">
        <x:v>913.17</x:v>
      </x:c>
      <x:c r="H15" s="662">
        <x:v>126.24</x:v>
      </x:c>
      <x:c r="I15" s="666">
        <x:v>46140</x:v>
      </x:c>
      <x:c r="J15" s="433">
        <x:f>+E15-F15</x:f>
      </x:c>
      <x:c r="K15" s="468">
        <x:f>+I15-D15</x:f>
      </x:c>
      <x:c r="L15" s="503">
        <x:v>0.035</x:v>
      </x:c>
      <x:c r="M15" s="504">
        <x:f>+J15*L15</x:f>
      </x:c>
      <x:c r="O15" s="432"/>
    </x:row>
    <x:row r="16" spans="1:16" ht="15" customHeight="1" x14ac:dyDescent="0.3">
      <x:c r="A16" s="664" t="s">
        <x:v>697</x:v>
      </x:c>
      <x:c r="B16" s="552" t="s">
        <x:v>53</x:v>
      </x:c>
      <x:c r="C16" s="644" t="s">
        <x:v>1597</x:v>
      </x:c>
      <x:c r="D16" s="553">
        <x:v>46122</x:v>
      </x:c>
      <x:c r="E16" s="662">
        <x:f>715.14+238.38</x:f>
      </x:c>
      <x:c r="F16" s="662">
        <x:v>238.38</x:v>
      </x:c>
      <x:c r="G16" s="665">
        <x:v>775.93</x:v>
      </x:c>
      <x:c r="H16" s="662">
        <x:v>107.27</x:v>
      </x:c>
      <x:c r="I16" s="666">
        <x:v>46135</x:v>
      </x:c>
      <x:c r="J16" s="433">
        <x:f>+E16-F16</x:f>
      </x:c>
      <x:c r="K16" s="468">
        <x:f>+I16-D16</x:f>
      </x:c>
      <x:c r="L16" s="503">
        <x:v>0.035</x:v>
      </x:c>
      <x:c r="M16" s="504">
        <x:f>+J16*L16</x:f>
      </x:c>
      <x:c r="O16" s="432"/>
    </x:row>
    <x:row r="17" spans="1:16" ht="15" customHeight="1" x14ac:dyDescent="0.3">
      <x:c r="A17" s="664" t="s">
        <x:v>136</x:v>
      </x:c>
      <x:c r="B17" s="552" t="s">
        <x:v>26</x:v>
      </x:c>
      <x:c r="C17" s="644" t="s">
        <x:v>1598</x:v>
      </x:c>
      <x:c r="D17" s="553">
        <x:v>46119</x:v>
      </x:c>
      <x:c r="E17" s="662">
        <x:f>188.1+62.7</x:f>
      </x:c>
      <x:c r="F17" s="662">
        <x:v>62.7</x:v>
      </x:c>
      <x:c r="G17" s="665">
        <x:v>204.09</x:v>
      </x:c>
      <x:c r="H17" s="662">
        <x:v>28.22</x:v>
      </x:c>
      <x:c r="I17" s="666">
        <x:v>46134</x:v>
      </x:c>
      <x:c r="J17" s="433">
        <x:f>+E17-F17</x:f>
      </x:c>
      <x:c r="K17" s="468">
        <x:f>+I17-D17</x:f>
      </x:c>
      <x:c r="L17" s="503">
        <x:v>0.035</x:v>
      </x:c>
      <x:c r="M17" s="504">
        <x:f>+J17*L17</x:f>
      </x:c>
      <x:c r="O17" s="432"/>
    </x:row>
    <x:row r="18" spans="1:16" ht="15" customHeight="1" x14ac:dyDescent="0.3">
      <x:c r="A18" s="664" t="s">
        <x:v>136</x:v>
      </x:c>
      <x:c r="B18" s="552" t="s">
        <x:v>26</x:v>
      </x:c>
      <x:c r="C18" s="644" t="s">
        <x:v>1599</x:v>
      </x:c>
      <x:c r="D18" s="553">
        <x:v>46120</x:v>
      </x:c>
      <x:c r="E18" s="662">
        <x:f>190.26+63.42</x:f>
      </x:c>
      <x:c r="F18" s="662">
        <x:v>63.42</x:v>
      </x:c>
      <x:c r="G18" s="665">
        <x:v>206.43</x:v>
      </x:c>
      <x:c r="H18" s="662">
        <x:v>28.54</x:v>
      </x:c>
      <x:c r="I18" s="666">
        <x:v>46135</x:v>
      </x:c>
      <x:c r="J18" s="433">
        <x:f>+E18-F18</x:f>
      </x:c>
      <x:c r="K18" s="468">
        <x:f>+I18-D18</x:f>
      </x:c>
      <x:c r="L18" s="503">
        <x:v>0.035</x:v>
      </x:c>
      <x:c r="M18" s="504">
        <x:f>+J18*L18</x:f>
      </x:c>
      <x:c r="O18" s="432"/>
    </x:row>
    <x:row r="19" spans="1:16" ht="15" customHeight="1" x14ac:dyDescent="0.3">
      <x:c r="A19" s="664" t="s">
        <x:v>1023</x:v>
      </x:c>
      <x:c r="B19" s="552" t="s">
        <x:v>26</x:v>
      </x:c>
      <x:c r="C19" s="644" t="s">
        <x:v>1600</x:v>
      </x:c>
      <x:c r="D19" s="553">
        <x:v>46121</x:v>
      </x:c>
      <x:c r="E19" s="662">
        <x:f>459+81</x:f>
      </x:c>
      <x:c r="F19" s="662">
        <x:v>81</x:v>
      </x:c>
      <x:c r="G19" s="665">
        <x:v>527.85</x:v>
      </x:c>
      <x:c r="H19" s="662">
        <x:v>68.85</x:v>
      </x:c>
      <x:c r="I19" s="666">
        <x:v>46139</x:v>
      </x:c>
      <x:c r="J19" s="433">
        <x:f>+E19-F19</x:f>
      </x:c>
      <x:c r="K19" s="468">
        <x:f>+I19-D19</x:f>
      </x:c>
      <x:c r="L19" s="503">
        <x:v>0.035</x:v>
      </x:c>
      <x:c r="M19" s="504">
        <x:f>+J19*L19</x:f>
      </x:c>
      <x:c r="O19" s="432"/>
    </x:row>
    <x:row r="20" spans="1:16" ht="15" customHeight="1" x14ac:dyDescent="0.3">
      <x:c r="A20" s="664" t="s">
        <x:v>25</x:v>
      </x:c>
      <x:c r="B20" s="552" t="s">
        <x:v>26</x:v>
      </x:c>
      <x:c r="C20" s="644" t="s">
        <x:v>1601</x:v>
      </x:c>
      <x:c r="D20" s="553">
        <x:v>46107</x:v>
      </x:c>
      <x:c r="E20" s="662">
        <x:f>326.4+81.6</x:f>
      </x:c>
      <x:c r="F20" s="662">
        <x:v>81.6</x:v>
      </x:c>
      <x:c r="G20" s="665">
        <x:v>354.14</x:v>
      </x:c>
      <x:c r="H20" s="662">
        <x:v>48.96</x:v>
      </x:c>
      <x:c r="I20" s="666">
        <x:v>46133</x:v>
      </x:c>
      <x:c r="J20" s="433">
        <x:f>+E20-F20</x:f>
      </x:c>
      <x:c r="K20" s="468">
        <x:f>+I20-D20</x:f>
      </x:c>
      <x:c r="L20" s="503">
        <x:v>0.035</x:v>
      </x:c>
      <x:c r="M20" s="504">
        <x:f>+J20*L20</x:f>
      </x:c>
      <x:c r="O20" s="432"/>
    </x:row>
    <x:row r="21" spans="1:16" ht="15" customHeight="1" x14ac:dyDescent="0.3">
      <x:c r="A21" s="664" t="s">
        <x:v>697</x:v>
      </x:c>
      <x:c r="B21" s="552" t="s">
        <x:v>53</x:v>
      </x:c>
      <x:c r="C21" s="644" t="s">
        <x:v>1602</x:v>
      </x:c>
      <x:c r="D21" s="553">
        <x:v>46106</x:v>
      </x:c>
      <x:c r="E21" s="662">
        <x:f>1799.82+599.94</x:f>
      </x:c>
      <x:c r="F21" s="662">
        <x:v>599.94</x:v>
      </x:c>
      <x:c r="G21" s="665">
        <x:v>1952.8</x:v>
      </x:c>
      <x:c r="H21" s="662">
        <x:v>269.97</x:v>
      </x:c>
      <x:c r="I21" s="666">
        <x:v>46135</x:v>
      </x:c>
      <x:c r="J21" s="433">
        <x:f>+E21-F21</x:f>
      </x:c>
      <x:c r="K21" s="468">
        <x:f>+I21-D21</x:f>
      </x:c>
      <x:c r="L21" s="503">
        <x:v>0.035</x:v>
      </x:c>
      <x:c r="M21" s="504">
        <x:f>+J21*L21</x:f>
      </x:c>
      <x:c r="O21" s="432"/>
    </x:row>
    <x:row r="22" spans="1:16" ht="15" customHeight="1" x14ac:dyDescent="0.3">
      <x:c r="A22" s="664" t="s">
        <x:v>52</x:v>
      </x:c>
      <x:c r="B22" s="552" t="s">
        <x:v>53</x:v>
      </x:c>
      <x:c r="C22" s="644" t="s">
        <x:v>1603</x:v>
      </x:c>
      <x:c r="D22" s="553">
        <x:v>46106</x:v>
      </x:c>
      <x:c r="E22" s="662">
        <x:f>1693.62+564.54</x:f>
      </x:c>
      <x:c r="F22" s="662">
        <x:v>564.54</x:v>
      </x:c>
      <x:c r="G22" s="665">
        <x:v>1837.58</x:v>
      </x:c>
      <x:c r="H22" s="662">
        <x:v>254.04</x:v>
      </x:c>
      <x:c r="I22" s="666">
        <x:v>46136</x:v>
      </x:c>
      <x:c r="J22" s="433">
        <x:f>+E22-F22</x:f>
      </x:c>
      <x:c r="K22" s="468">
        <x:f>+I22-D22</x:f>
      </x:c>
      <x:c r="L22" s="503">
        <x:v>0.035</x:v>
      </x:c>
      <x:c r="M22" s="504">
        <x:f>+J22*L22</x:f>
      </x:c>
      <x:c r="O22" s="432"/>
    </x:row>
    <x:row r="23" spans="1:16" ht="15" customHeight="1" x14ac:dyDescent="0.3">
      <x:c r="A23" s="664" t="s">
        <x:v>164</x:v>
      </x:c>
      <x:c r="B23" s="552" t="s">
        <x:v>26</x:v>
      </x:c>
      <x:c r="C23" s="644" t="s">
        <x:v>1604</x:v>
      </x:c>
      <x:c r="D23" s="553">
        <x:v>46108</x:v>
      </x:c>
      <x:c r="E23" s="662">
        <x:f>486.8+85.91</x:f>
      </x:c>
      <x:c r="F23" s="662">
        <x:v>85.91</x:v>
      </x:c>
      <x:c r="G23" s="665">
        <x:v>559.82</x:v>
      </x:c>
      <x:c r="H23" s="662">
        <x:v>73.02</x:v>
      </x:c>
      <x:c r="I23" s="666">
        <x:v>46140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16" ht="15" customHeight="1" x14ac:dyDescent="0.3">
      <x:c r="A24" s="664" t="s">
        <x:v>25</x:v>
      </x:c>
      <x:c r="B24" s="552" t="s">
        <x:v>26</x:v>
      </x:c>
      <x:c r="C24" s="644" t="s">
        <x:v>1605</x:v>
      </x:c>
      <x:c r="D24" s="553">
        <x:v>46079</x:v>
      </x:c>
      <x:c r="E24" s="662">
        <x:f>510+127.5</x:f>
      </x:c>
      <x:c r="F24" s="662">
        <x:v>127.5</x:v>
      </x:c>
      <x:c r="G24" s="665">
        <x:v>554.63</x:v>
      </x:c>
      <x:c r="H24" s="662">
        <x:v>76.5</x:v>
      </x:c>
      <x:c r="I24" s="666">
        <x:v>46113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16" ht="15" customHeight="1" x14ac:dyDescent="0.3">
      <x:c r="A25" s="664" t="s">
        <x:v>164</x:v>
      </x:c>
      <x:c r="B25" s="552" t="s">
        <x:v>26</x:v>
      </x:c>
      <x:c r="C25" s="644" t="s">
        <x:v>1606</x:v>
      </x:c>
      <x:c r="D25" s="553">
        <x:v>46098</x:v>
      </x:c>
      <x:c r="E25" s="662">
        <x:f>86.7+15.3</x:f>
      </x:c>
      <x:c r="F25" s="662">
        <x:v>15.3</x:v>
      </x:c>
      <x:c r="G25" s="665">
        <x:v>99.71</x:v>
      </x:c>
      <x:c r="H25" s="662">
        <x:v>13.01</x:v>
      </x:c>
      <x:c r="I25" s="666">
        <x:v>46140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16" ht="15" customHeight="1" x14ac:dyDescent="0.3">
      <x:c r="A26" s="664" t="s">
        <x:v>114</x:v>
      </x:c>
      <x:c r="B26" s="552" t="s">
        <x:v>26</x:v>
      </x:c>
      <x:c r="C26" s="644" t="s">
        <x:v>1607</x:v>
      </x:c>
      <x:c r="D26" s="553">
        <x:v>46073</x:v>
      </x:c>
      <x:c r="E26" s="662">
        <x:f>237.02+59.26</x:f>
      </x:c>
      <x:c r="F26" s="662">
        <x:v>59.26</x:v>
      </x:c>
      <x:c r="G26" s="665">
        <x:v>257.75</x:v>
      </x:c>
      <x:c r="H26" s="662">
        <x:v>35.55</x:v>
      </x:c>
      <x:c r="I26" s="666">
        <x:v>46125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16" ht="15" customHeight="1" x14ac:dyDescent="0.3">
      <x:c r="A27" s="664" t="s">
        <x:v>118</x:v>
      </x:c>
      <x:c r="B27" s="552" t="s">
        <x:v>26</x:v>
      </x:c>
      <x:c r="C27" s="644" t="s">
        <x:v>1608</x:v>
      </x:c>
      <x:c r="D27" s="553">
        <x:v>46065</x:v>
      </x:c>
      <x:c r="E27" s="662">
        <x:f>88.92+25.08</x:f>
      </x:c>
      <x:c r="F27" s="662">
        <x:v>25.08</x:v>
      </x:c>
      <x:c r="G27" s="665">
        <x:v>96.7</x:v>
      </x:c>
      <x:c r="H27" s="662">
        <x:v>13.34</x:v>
      </x:c>
      <x:c r="I27" s="666">
        <x:v>46118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16" ht="15" customHeight="1" x14ac:dyDescent="0.3">
      <x:c r="A28" s="664" t="s">
        <x:v>339</x:v>
      </x:c>
      <x:c r="B28" s="552" t="s">
        <x:v>333</x:v>
      </x:c>
      <x:c r="C28" s="644" t="s">
        <x:v>1609</x:v>
      </x:c>
      <x:c r="D28" s="553">
        <x:v>46073</x:v>
      </x:c>
      <x:c r="E28" s="662">
        <x:f>565.01+99.71</x:f>
      </x:c>
      <x:c r="F28" s="662">
        <x:v>99.71</x:v>
      </x:c>
      <x:c r="G28" s="665">
        <x:v>150</x:v>
      </x:c>
      <x:c r="H28" s="662">
        <x:v>84.75</x:v>
      </x:c>
      <x:c r="I28" s="666">
        <x:v>46128</x:v>
      </x:c>
      <x:c r="J28" s="433">
        <x:f>150/1.15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16" ht="15" customHeight="1" x14ac:dyDescent="0.3">
      <x:c r="A29" s="664" t="s">
        <x:v>109</x:v>
      </x:c>
      <x:c r="B29" s="552" t="s">
        <x:v>110</x:v>
      </x:c>
      <x:c r="C29" s="644" t="s">
        <x:v>1610</x:v>
      </x:c>
      <x:c r="D29" s="553">
        <x:v>46072</x:v>
      </x:c>
      <x:c r="E29" s="662">
        <x:f>415.14+73.26</x:f>
      </x:c>
      <x:c r="F29" s="662">
        <x:v>73.26</x:v>
      </x:c>
      <x:c r="G29" s="665">
        <x:v>451.47</x:v>
      </x:c>
      <x:c r="H29" s="662">
        <x:v>62.27</x:v>
      </x:c>
      <x:c r="I29" s="666">
        <x:v>46139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16" ht="15" customHeight="1" x14ac:dyDescent="0.3">
      <x:c r="A30" s="664" t="s">
        <x:v>339</x:v>
      </x:c>
      <x:c r="B30" s="552" t="s">
        <x:v>333</x:v>
      </x:c>
      <x:c r="C30" s="644" t="s">
        <x:v>1609</x:v>
      </x:c>
      <x:c r="D30" s="553">
        <x:v>46073</x:v>
      </x:c>
      <x:c r="E30" s="662">
        <x:f>565.01+99.71</x:f>
      </x:c>
      <x:c r="F30" s="662">
        <x:v>99.71</x:v>
      </x:c>
      <x:c r="G30" s="665">
        <x:v>150</x:v>
      </x:c>
      <x:c r="H30" s="662">
        <x:v>84.75</x:v>
      </x:c>
      <x:c r="I30" s="666">
        <x:v>46140</x:v>
      </x:c>
      <x:c r="J30" s="433">
        <x:f>150/1.15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16" ht="15" customHeight="1" x14ac:dyDescent="0.3">
      <x:c r="A31" s="664" t="s">
        <x:v>75</x:v>
      </x:c>
      <x:c r="B31" s="497" t="s">
        <x:v>26</x:v>
      </x:c>
      <x:c r="C31" s="644" t="s">
        <x:v>1611</x:v>
      </x:c>
      <x:c r="D31" s="553">
        <x:v>45852</x:v>
      </x:c>
      <x:c r="E31" s="662">
        <x:f>103.02+18.18</x:f>
      </x:c>
      <x:c r="F31" s="662">
        <x:v>18.18</x:v>
      </x:c>
      <x:c r="G31" s="665">
        <x:v>118.47</x:v>
      </x:c>
      <x:c r="H31" s="662">
        <x:v>15.45</x:v>
      </x:c>
      <x:c r="I31" s="666">
        <x:v>46119</x:v>
      </x:c>
      <x:c r="J31" s="433">
        <x:f>+E31-F31</x:f>
      </x:c>
      <x:c r="K31" s="468">
        <x:f>+I31-D31</x:f>
      </x:c>
      <x:c r="L31" s="503">
        <x:v>0</x:v>
      </x:c>
      <x:c r="M31" s="504">
        <x:f>+J31*L31</x:f>
      </x:c>
      <x:c r="O31" s="432"/>
    </x:row>
    <x:row r="32" spans="1:16" ht="15" customHeight="1" x14ac:dyDescent="0.25">
      <x:c r="A32" s="551"/>
      <x:c r="B32" s="552"/>
      <x:c r="C32" s="644"/>
      <x:c r="D32" s="553"/>
      <x:c r="E32" s="662"/>
      <x:c r="F32" s="662"/>
      <x:c r="G32" s="504"/>
      <x:c r="H32" s="662"/>
      <x:c r="I32" s="553"/>
      <x:c r="J32" s="433"/>
      <x:c r="K32" s="468"/>
      <x:c r="L32" s="503"/>
      <x:c r="M32" s="504"/>
      <x:c r="O32" s="432"/>
    </x:row>
    <x:row r="33" spans="1:16" ht="15" customHeight="1" x14ac:dyDescent="0.25">
      <x:c r="A33" s="551"/>
      <x:c r="B33" s="668"/>
      <x:c r="C33" s="644"/>
      <x:c r="D33" s="553"/>
      <x:c r="E33" s="669"/>
      <x:c r="F33" s="669"/>
      <x:c r="G33" s="528"/>
      <x:c r="H33" s="669"/>
      <x:c r="I33" s="556"/>
      <x:c r="J33" s="433"/>
      <x:c r="K33" s="468"/>
      <x:c r="L33" s="503"/>
      <x:c r="M33" s="504"/>
      <x:c r="O33" s="432"/>
    </x:row>
    <x:row r="34" spans="1:16" ht="15" customHeight="1" x14ac:dyDescent="0.25">
      <x:c r="A34" s="606"/>
      <x:c r="B34" s="573"/>
      <x:c r="C34" s="606"/>
      <x:c r="D34" s="629"/>
      <x:c r="E34" s="569"/>
      <x:c r="F34" s="569"/>
      <x:c r="G34" s="466"/>
      <x:c r="H34" s="569"/>
      <x:c r="I34" s="652"/>
      <x:c r="J34" s="433"/>
      <x:c r="K34" s="468"/>
      <x:c r="L34" s="503"/>
      <x:c r="M34" s="504"/>
      <x:c r="O34" s="432"/>
    </x:row>
    <x:row r="35" spans="1:16" ht="15" customHeight="1" x14ac:dyDescent="0.3">
      <x:c r="G35" s="516">
        <x:f>SUM(G8:G34)</x:f>
      </x:c>
      <x:c r="J35" s="516">
        <x:f>SUM(J8:J34)</x:f>
      </x:c>
      <x:c r="M35" s="516">
        <x:f>SUM(M8:M34)</x:f>
      </x:c>
      <x:c r="O35" s="432"/>
    </x:row>
    <x:row r="36" spans="1:16" ht="15" customHeight="1" x14ac:dyDescent="0.25">
      <x:c r="G36" s="435"/>
      <x:c r="H36" s="435"/>
      <x:c r="O36" s="432"/>
    </x:row>
    <x:row r="37" spans="1:16" ht="15" customHeight="1" x14ac:dyDescent="0.25">
      <x:c r="A37" s="517" t="s">
        <x:v>30</x:v>
      </x:c>
      <x:c r="B37" s="518" t="s">
        <x:v>31</x:v>
      </x:c>
      <x:c r="C37" s="518" t="s">
        <x:v>32</x:v>
      </x:c>
      <x:c r="J37" s="435"/>
      <x:c r="O37" s="432"/>
    </x:row>
    <x:row r="38" spans="1:16" ht="14.4" customHeight="1" s="434" customFormat="1" x14ac:dyDescent="0.3">
      <x:c r="A38" s="664" t="s">
        <x:v>457</x:v>
      </x:c>
      <x:c r="B38" s="551" t="s">
        <x:v>1612</x:v>
      </x:c>
      <x:c r="C38" s="644" t="s">
        <x:v>1613</x:v>
      </x:c>
      <x:c r="D38" s="553">
        <x:v>46122</x:v>
      </x:c>
      <x:c r="E38" s="662">
        <x:f>347.39+51.91</x:f>
      </x:c>
      <x:c r="F38" s="662">
        <x:v>51.91</x:v>
      </x:c>
      <x:c r="G38" s="665">
        <x:v>399.3</x:v>
      </x:c>
      <x:c r="H38" s="662">
        <x:v>52.11</x:v>
      </x:c>
      <x:c r="I38" s="666">
        <x:v>46155</x:v>
      </x:c>
      <x:c r="J38" s="433">
        <x:f>+E38-F38</x:f>
      </x:c>
      <x:c r="K38" s="468">
        <x:f>+I38-D38</x:f>
      </x:c>
      <x:c r="L38" s="469">
        <x:v>0.03</x:v>
      </x:c>
      <x:c r="M38" s="433">
        <x:f>+J38*L38</x:f>
      </x:c>
      <x:c r="N38" s="470"/>
      <x:c r="O38" s="432"/>
    </x:row>
    <x:row r="39" spans="1:16" ht="14.4" customHeight="1" s="434" customFormat="1" x14ac:dyDescent="0.3">
      <x:c r="A39" s="664" t="s">
        <x:v>1037</x:v>
      </x:c>
      <x:c r="B39" s="551" t="s">
        <x:v>1614</x:v>
      </x:c>
      <x:c r="C39" s="644" t="s">
        <x:v>1615</x:v>
      </x:c>
      <x:c r="D39" s="666">
        <x:v>46038</x:v>
      </x:c>
      <x:c r="E39" s="667">
        <x:f>86.7+15.3</x:f>
      </x:c>
      <x:c r="F39" s="667">
        <x:v>15.3</x:v>
      </x:c>
      <x:c r="G39" s="665">
        <x:v>743.21</x:v>
      </x:c>
      <x:c r="H39" s="667">
        <x:v>13.01</x:v>
      </x:c>
      <x:c r="I39" s="666">
        <x:v>46150</x:v>
      </x:c>
      <x:c r="J39" s="433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16" ht="14.4" customHeight="1" s="434" customFormat="1" x14ac:dyDescent="0.3">
      <x:c r="A40" s="664" t="s">
        <x:v>1037</x:v>
      </x:c>
      <x:c r="B40" s="551" t="s">
        <x:v>1614</x:v>
      </x:c>
      <x:c r="C40" s="644" t="s">
        <x:v>1616</x:v>
      </x:c>
      <x:c r="D40" s="666">
        <x:v>46043</x:v>
      </x:c>
      <x:c r="E40" s="667">
        <x:f>596.7+105.3</x:f>
      </x:c>
      <x:c r="F40" s="667">
        <x:v>105.3</x:v>
      </x:c>
      <x:c r="G40" s="665">
        <x:v>743.21</x:v>
      </x:c>
      <x:c r="H40" s="667">
        <x:v>89.51</x:v>
      </x:c>
      <x:c r="I40" s="666">
        <x:v>46150</x:v>
      </x:c>
      <x:c r="J40" s="433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16" ht="14.4" customHeight="1" s="434" customFormat="1" x14ac:dyDescent="0.3">
      <x:c r="A41" s="664" t="s">
        <x:v>36</x:v>
      </x:c>
      <x:c r="B41" s="551" t="s">
        <x:v>1617</x:v>
      </x:c>
      <x:c r="C41" s="644" t="s">
        <x:v>1618</x:v>
      </x:c>
      <x:c r="D41" s="553">
        <x:v>46112</x:v>
      </x:c>
      <x:c r="E41" s="662">
        <x:f>1198.8+399.6</x:f>
      </x:c>
      <x:c r="F41" s="662">
        <x:v>399.6</x:v>
      </x:c>
      <x:c r="G41" s="665">
        <x:v>1300.69</x:v>
      </x:c>
      <x:c r="H41" s="662">
        <x:v>179.82</x:v>
      </x:c>
      <x:c r="I41" s="666">
        <x:v>46193</x:v>
      </x:c>
      <x:c r="J41" s="433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16" ht="14.4" customHeight="1" s="434" customFormat="1" x14ac:dyDescent="0.3">
      <x:c r="A42" s="664" t="s">
        <x:v>136</x:v>
      </x:c>
      <x:c r="B42" s="551" t="s">
        <x:v>1619</x:v>
      </x:c>
      <x:c r="C42" s="644" t="s">
        <x:v>1620</x:v>
      </x:c>
      <x:c r="D42" s="553">
        <x:v>46127</x:v>
      </x:c>
      <x:c r="E42" s="662">
        <x:f>831.6+277.2</x:f>
      </x:c>
      <x:c r="F42" s="662">
        <x:v>277.2</x:v>
      </x:c>
      <x:c r="G42" s="665">
        <x:v>902.29</x:v>
      </x:c>
      <x:c r="H42" s="662">
        <x:v>124.74</x:v>
      </x:c>
      <x:c r="I42" s="666">
        <x:v>46157</x:v>
      </x:c>
      <x:c r="J42" s="433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16" ht="14.4" customHeight="1" s="434" customFormat="1" x14ac:dyDescent="0.3">
      <x:c r="A43" s="664" t="s">
        <x:v>70</x:v>
      </x:c>
      <x:c r="B43" s="551" t="s">
        <x:v>1621</x:v>
      </x:c>
      <x:c r="C43" s="644" t="s">
        <x:v>1622</x:v>
      </x:c>
      <x:c r="D43" s="666">
        <x:v>46120</x:v>
      </x:c>
      <x:c r="E43" s="667">
        <x:f>295.68+73.92</x:f>
      </x:c>
      <x:c r="F43" s="667">
        <x:v>73.92</x:v>
      </x:c>
      <x:c r="G43" s="665">
        <x:v>334.12</x:v>
      </x:c>
      <x:c r="H43" s="667">
        <x:v>44.35</x:v>
      </x:c>
      <x:c r="I43" s="666">
        <x:v>46150</x:v>
      </x:c>
      <x:c r="J43" s="433">
        <x:f>+E43-F43</x:f>
      </x:c>
      <x:c r="K43" s="468">
        <x:f>+I43-D43</x:f>
      </x:c>
      <x:c r="L43" s="469">
        <x:v>0.03</x:v>
      </x:c>
      <x:c r="M43" s="433">
        <x:f>+J43*L43</x:f>
      </x:c>
      <x:c r="N43" s="470"/>
      <x:c r="O43" s="432"/>
    </x:row>
    <x:row r="44" spans="1:16" ht="14.4" customHeight="1" s="434" customFormat="1" x14ac:dyDescent="0.3">
      <x:c r="A44" s="664" t="s">
        <x:v>136</x:v>
      </x:c>
      <x:c r="B44" s="551" t="s">
        <x:v>1623</x:v>
      </x:c>
      <x:c r="C44" s="644" t="s">
        <x:v>1624</x:v>
      </x:c>
      <x:c r="D44" s="553">
        <x:v>46135</x:v>
      </x:c>
      <x:c r="E44" s="662">
        <x:f>459+153</x:f>
      </x:c>
      <x:c r="F44" s="662">
        <x:v>153</x:v>
      </x:c>
      <x:c r="G44" s="665">
        <x:v>498.02</x:v>
      </x:c>
      <x:c r="H44" s="662">
        <x:v>68.85</x:v>
      </x:c>
      <x:c r="I44" s="666">
        <x:v>46165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16" s="434" customFormat="1" x14ac:dyDescent="0.25">
      <x:c r="A45" s="551"/>
      <x:c r="B45" s="551"/>
      <x:c r="C45" s="644"/>
      <x:c r="D45" s="553"/>
      <x:c r="E45" s="662"/>
      <x:c r="F45" s="662"/>
      <x:c r="G45" s="504"/>
      <x:c r="H45" s="662"/>
      <x:c r="I45" s="553"/>
      <x:c r="J45" s="433"/>
      <x:c r="K45" s="468"/>
      <x:c r="L45" s="469"/>
      <x:c r="M45" s="433"/>
      <x:c r="N45" s="633"/>
      <x:c r="O45" s="432"/>
    </x:row>
    <x:row r="46" spans="1:16" ht="15.6" customHeight="1" s="434" customFormat="1" x14ac:dyDescent="0.3">
      <x:c r="A46" s="487"/>
      <x:c r="B46" s="462"/>
      <x:c r="C46" s="487"/>
      <x:c r="D46" s="492"/>
      <x:c r="E46" s="490"/>
      <x:c r="F46" s="490"/>
      <x:c r="G46" s="491"/>
      <x:c r="H46" s="490"/>
      <x:c r="I46" s="653"/>
      <x:c r="J46" s="433"/>
      <x:c r="K46" s="468"/>
      <x:c r="L46" s="469"/>
      <x:c r="M46" s="433"/>
      <x:c r="N46" s="470"/>
      <x:c r="O46" s="432"/>
    </x:row>
    <x:row r="47" spans="1:16" ht="15" customHeight="1" x14ac:dyDescent="0.35">
      <x:c r="A47" s="493" t="s">
        <x:v>43</x:v>
      </x:c>
      <x:c r="B47" s="493"/>
      <x:c r="C47" s="493"/>
      <x:c r="D47" s="493"/>
      <x:c r="E47" s="493"/>
      <x:c r="F47" s="493"/>
      <x:c r="G47" s="516">
        <x:f>SUM(G35:G46)</x:f>
      </x:c>
      <x:c r="J47" s="516">
        <x:f>SUM(J35:J46)</x:f>
      </x:c>
      <x:c r="L47" s="495"/>
      <x:c r="M47" s="564">
        <x:f>SUM(M35:M46)</x:f>
      </x:c>
    </x:row>
    <x:row r="48" spans="1:16" ht="15" customHeight="1" x14ac:dyDescent="0.3">
      <x:c r="A48" s="520"/>
      <x:c r="G48" s="435"/>
    </x:row>
    <x:row r="49" spans="1:16" ht="15" customHeight="1" x14ac:dyDescent="0.3">
      <x:c r="A49" s="499"/>
      <x:c r="G49" s="435"/>
      <x:c r="J49" s="435"/>
    </x:row>
    <x:row r="50" spans="1:16" ht="15" customHeight="1" x14ac:dyDescent="0.3">
      <x:c r="A50" s="499"/>
      <x:c r="G50" s="435"/>
      <x:c r="J50" s="435"/>
    </x:row>
    <x:row r="51" spans="1:16" ht="15" customHeight="1" x14ac:dyDescent="0.3">
      <x:c r="A51" s="499"/>
      <x:c r="G51" s="435"/>
      <x:c r="J51" s="435"/>
    </x:row>
    <x:row r="52" spans="1:16" ht="15" customHeight="1" x14ac:dyDescent="0.3">
      <x:c r="A52" s="499"/>
      <x:c r="G52" s="435"/>
      <x:c r="J52" s="435"/>
      <x:c r="M52" s="435">
        <x:f>M47/12</x:f>
      </x:c>
      <x:c r="N52" s="431" t="s">
        <x:v>1180</x:v>
      </x:c>
    </x:row>
    <x:row r="53" spans="1:16" ht="15" customHeight="1" x14ac:dyDescent="0.3">
      <x:c r="A53" s="499"/>
      <x:c r="G53" s="435"/>
      <x:c r="J53" s="435"/>
      <x:c r="M53" s="435">
        <x:f>M47/24</x:f>
      </x:c>
      <x:c r="N53" s="431" t="s">
        <x:v>1180</x:v>
      </x:c>
    </x:row>
    <x:row r="54" spans="1:16" ht="15" customHeight="1" x14ac:dyDescent="0.25">
      <x:c r="A54" s="436" t="s">
        <x:v>0</x:v>
      </x:c>
      <x:c r="B54" s="436"/>
      <x:c r="C54" s="436"/>
      <x:c r="D54" s="436"/>
      <x:c r="E54" s="436"/>
      <x:c r="F54" s="436"/>
      <x:c r="G54" s="437"/>
      <x:c r="H54" s="438"/>
      <x:c r="I54" s="654"/>
      <x:c r="J54" s="440"/>
      <x:c r="K54" s="441"/>
      <x:c r="L54" s="442"/>
      <x:c r="M54" s="443"/>
    </x:row>
    <x:row r="55" spans="1:16" ht="15" customHeight="1" x14ac:dyDescent="0.25">
      <x:c r="A55" s="436" t="s">
        <x:v>1</x:v>
      </x:c>
      <x:c r="B55" s="436"/>
      <x:c r="C55" s="436"/>
      <x:c r="D55" s="436"/>
      <x:c r="E55" s="436"/>
      <x:c r="F55" s="436"/>
      <x:c r="G55" s="437"/>
      <x:c r="H55" s="438"/>
      <x:c r="I55" s="654"/>
      <x:c r="J55" s="441"/>
      <x:c r="K55" s="441"/>
      <x:c r="L55" s="442"/>
      <x:c r="M55" s="443"/>
    </x:row>
    <x:row r="56" spans="1:16" ht="15" customHeight="1" x14ac:dyDescent="0.25">
      <x:c r="A56" s="436"/>
      <x:c r="B56" s="436" t="s">
        <x:v>1587</x:v>
      </x:c>
      <x:c r="C56" s="436"/>
      <x:c r="D56" s="445"/>
      <x:c r="E56" s="436"/>
      <x:c r="F56" s="436"/>
      <x:c r="G56" s="437"/>
      <x:c r="H56" s="438"/>
      <x:c r="I56" s="654"/>
      <x:c r="J56" s="441"/>
      <x:c r="K56" s="441"/>
      <x:c r="L56" s="442"/>
      <x:c r="M56" s="443"/>
    </x:row>
    <x:row r="57" spans="1:16" ht="15" customHeight="1" x14ac:dyDescent="0.3">
      <x:c r="A57" s="436"/>
      <x:c r="B57" s="436" t="s">
        <x:v>1181</x:v>
      </x:c>
      <x:c r="C57" s="436"/>
      <x:c r="D57" s="445"/>
      <x:c r="E57" s="436"/>
      <x:c r="F57" s="436"/>
      <x:c r="G57" s="443"/>
      <x:c r="H57" s="437"/>
      <x:c r="I57" s="655"/>
      <x:c r="J57" s="441"/>
      <x:c r="K57" s="441"/>
      <x:c r="L57" s="442"/>
      <x:c r="M57" s="443"/>
    </x:row>
    <x:row r="58" spans="1:16" ht="15" customHeight="1" x14ac:dyDescent="0.25">
      <x:c r="A58" s="447" t="s">
        <x:v>4</x:v>
      </x:c>
      <x:c r="B58" s="609"/>
      <x:c r="C58" s="441"/>
      <x:c r="D58" s="439"/>
      <x:c r="E58" s="441"/>
      <x:c r="F58" s="441"/>
      <x:c r="G58" s="448" t="s">
        <x:v>5</x:v>
      </x:c>
      <x:c r="H58" s="441"/>
      <x:c r="I58" s="654"/>
      <x:c r="J58" s="449" t="s">
        <x:v>6</x:v>
      </x:c>
      <x:c r="K58" s="450" t="s">
        <x:v>7</x:v>
      </x:c>
      <x:c r="L58" s="451" t="s">
        <x:v>8</x:v>
      </x:c>
      <x:c r="M58" s="449" t="s">
        <x:v>9</x:v>
      </x:c>
      <x:c r="O58" s="435"/>
    </x:row>
    <x:row r="59" spans="1:16" ht="15" customHeight="1" x14ac:dyDescent="0.3">
      <x:c r="A59" s="452" t="s">
        <x:v>10</x:v>
      </x:c>
      <x:c r="B59" s="452" t="s">
        <x:v>11</x:v>
      </x:c>
      <x:c r="C59" s="452" t="s">
        <x:v>12</x:v>
      </x:c>
      <x:c r="D59" s="453" t="s">
        <x:v>13</x:v>
      </x:c>
      <x:c r="E59" s="452" t="s">
        <x:v>14</x:v>
      </x:c>
      <x:c r="F59" s="454" t="s">
        <x:v>15</x:v>
      </x:c>
      <x:c r="G59" s="455" t="s">
        <x:v>16</x:v>
      </x:c>
      <x:c r="H59" s="456" t="s">
        <x:v>17</x:v>
      </x:c>
      <x:c r="I59" s="656" t="s">
        <x:v>18</x:v>
      </x:c>
      <x:c r="J59" s="458" t="s">
        <x:v>19</x:v>
      </x:c>
      <x:c r="K59" s="459"/>
      <x:c r="L59" s="460" t="s">
        <x:v>20</x:v>
      </x:c>
      <x:c r="M59" s="458" t="s">
        <x:v>21</x:v>
      </x:c>
      <x:c r="O59" s="435"/>
    </x:row>
    <x:row r="60" spans="1:16" ht="15" customHeight="1" x14ac:dyDescent="0.3">
      <x:c r="A60" s="664" t="s">
        <x:v>1625</x:v>
      </x:c>
      <x:c r="B60" s="552" t="s">
        <x:v>1626</x:v>
      </x:c>
      <x:c r="C60" s="644" t="s">
        <x:v>1627</x:v>
      </x:c>
      <x:c r="D60" s="553">
        <x:v>46135</x:v>
      </x:c>
      <x:c r="E60" s="662">
        <x:f>535.1+133.78</x:f>
      </x:c>
      <x:c r="F60" s="662">
        <x:v>133.78</x:v>
      </x:c>
      <x:c r="G60" s="665">
        <x:v>580.59</x:v>
      </x:c>
      <x:c r="H60" s="662">
        <x:v>80.27</x:v>
      </x:c>
      <x:c r="I60" s="666">
        <x:v>46139</x:v>
      </x:c>
      <x:c r="J60" s="433">
        <x:f>E60-F60</x:f>
      </x:c>
      <x:c r="K60" s="468">
        <x:f>+I60-D60</x:f>
      </x:c>
      <x:c r="L60" s="469">
        <x:v>0.035</x:v>
      </x:c>
      <x:c r="M60" s="433">
        <x:f>+J60*L60</x:f>
      </x:c>
      <x:c r="O60" s="432"/>
    </x:row>
    <x:row r="61" spans="1:16" ht="15" customHeight="1" x14ac:dyDescent="0.3">
      <x:c r="A61" s="664" t="s">
        <x:v>287</x:v>
      </x:c>
      <x:c r="B61" s="552" t="s">
        <x:v>288</x:v>
      </x:c>
      <x:c r="C61" s="644" t="s">
        <x:v>1628</x:v>
      </x:c>
      <x:c r="D61" s="553">
        <x:v>46059</x:v>
      </x:c>
      <x:c r="E61" s="662">
        <x:f>147.9+26.1</x:f>
      </x:c>
      <x:c r="F61" s="662">
        <x:v>26.1</x:v>
      </x:c>
      <x:c r="G61" s="665">
        <x:v>170.09</x:v>
      </x:c>
      <x:c r="H61" s="662">
        <x:v>22.19</x:v>
      </x:c>
      <x:c r="I61" s="666">
        <x:v>46129</x:v>
      </x:c>
      <x:c r="J61" s="433">
        <x:f>E61-F61</x:f>
      </x:c>
      <x:c r="K61" s="468">
        <x:f>+I61-D61</x:f>
      </x:c>
      <x:c r="L61" s="469">
        <x:v>0.03</x:v>
      </x:c>
      <x:c r="M61" s="433">
        <x:f>+J61*L61</x:f>
      </x:c>
      <x:c r="O61" s="432"/>
    </x:row>
    <x:row r="62" spans="1:16" ht="15" customHeight="1" x14ac:dyDescent="0.25">
      <x:c r="A62" s="551"/>
      <x:c r="B62" s="552"/>
      <x:c r="C62" s="644"/>
      <x:c r="D62" s="647"/>
      <x:c r="E62" s="648"/>
      <x:c r="F62" s="648"/>
      <x:c r="G62" s="504"/>
      <x:c r="H62" s="648"/>
      <x:c r="I62" s="646"/>
      <x:c r="J62" s="433"/>
      <x:c r="K62" s="468"/>
      <x:c r="L62" s="469"/>
      <x:c r="M62" s="433"/>
    </x:row>
    <x:row r="63" spans="1:16" ht="15" customHeight="1" x14ac:dyDescent="0.25">
      <x:c r="A63" s="606"/>
      <x:c r="B63" s="573"/>
      <x:c r="C63" s="606"/>
      <x:c r="D63" s="607"/>
      <x:c r="E63" s="569"/>
      <x:c r="F63" s="569"/>
      <x:c r="G63" s="466"/>
      <x:c r="H63" s="569"/>
      <x:c r="I63" s="652"/>
      <x:c r="J63" s="433"/>
      <x:c r="K63" s="468"/>
      <x:c r="L63" s="469"/>
      <x:c r="M63" s="433"/>
    </x:row>
    <x:row r="64" spans="1:16" ht="15" customHeight="1" x14ac:dyDescent="0.3">
      <x:c r="A64" s="471"/>
      <x:c r="B64" s="472"/>
      <x:c r="C64" s="472"/>
      <x:c r="D64" s="473"/>
      <x:c r="E64" s="474"/>
      <x:c r="F64" s="474"/>
      <x:c r="G64" s="475"/>
      <x:c r="H64" s="476"/>
      <x:c r="I64" s="657"/>
      <x:c r="J64" s="433"/>
      <x:c r="K64" s="468"/>
      <x:c r="L64" s="469"/>
      <x:c r="M64" s="433"/>
    </x:row>
    <x:row r="65" spans="1:16" ht="15" customHeight="1" x14ac:dyDescent="0.25">
      <x:c r="A65" s="478"/>
      <x:c r="B65" s="478"/>
      <x:c r="C65" s="478"/>
      <x:c r="D65" s="478"/>
      <x:c r="E65" s="478"/>
      <x:c r="F65" s="478"/>
      <x:c r="G65" s="479">
        <x:f>SUM(G60:G64)</x:f>
      </x:c>
      <x:c r="H65" s="480"/>
      <x:c r="I65" s="658"/>
      <x:c r="J65" s="479">
        <x:f>SUM(J60:J64)</x:f>
      </x:c>
      <x:c r="K65" s="482"/>
      <x:c r="L65" s="482"/>
      <x:c r="M65" s="479">
        <x:f>SUM(M60:M64)</x:f>
      </x:c>
    </x:row>
    <x:row r="66" spans="1:16" ht="15" customHeight="1" x14ac:dyDescent="0.25">
      <x:c r="A66" s="483"/>
      <x:c r="B66" s="483"/>
      <x:c r="C66" s="483"/>
      <x:c r="D66" s="484"/>
      <x:c r="E66" s="483"/>
      <x:c r="F66" s="483"/>
      <x:c r="G66" s="432"/>
      <x:c r="H66" s="434"/>
      <x:c r="I66" s="659"/>
      <x:c r="J66" s="434"/>
      <x:c r="K66" s="434"/>
      <x:c r="L66" s="434"/>
      <x:c r="M66" s="434"/>
    </x:row>
    <x:row r="67" spans="1:16" x14ac:dyDescent="0.25">
      <x:c r="A67" s="483"/>
      <x:c r="B67" s="483"/>
      <x:c r="C67" s="483"/>
      <x:c r="D67" s="484"/>
      <x:c r="E67" s="483"/>
      <x:c r="F67" s="483"/>
      <x:c r="G67" s="432"/>
      <x:c r="H67" s="434"/>
      <x:c r="I67" s="659"/>
      <x:c r="J67" s="432"/>
      <x:c r="K67" s="434"/>
      <x:c r="L67" s="434"/>
      <x:c r="M67" s="432"/>
    </x:row>
    <x:row r="68" spans="1:16" x14ac:dyDescent="0.25">
      <x:c r="A68" s="434" t="s">
        <x:v>30</x:v>
      </x:c>
      <x:c r="B68" s="483" t="s">
        <x:v>31</x:v>
      </x:c>
      <x:c r="C68" s="483" t="s">
        <x:v>32</x:v>
      </x:c>
      <x:c r="D68" s="485"/>
      <x:c r="E68" s="434"/>
      <x:c r="F68" s="434"/>
      <x:c r="G68" s="432"/>
      <x:c r="H68" s="434"/>
      <x:c r="I68" s="659"/>
      <x:c r="J68" s="434"/>
      <x:c r="K68" s="434"/>
      <x:c r="L68" s="434"/>
      <x:c r="M68" s="434"/>
    </x:row>
    <x:row r="69" spans="1:16" s="434" customFormat="1" x14ac:dyDescent="0.25">
      <x:c r="A69" s="551"/>
      <x:c r="B69" s="551"/>
      <x:c r="C69" s="644"/>
      <x:c r="D69" s="553"/>
      <x:c r="E69" s="662"/>
      <x:c r="F69" s="662"/>
      <x:c r="G69" s="504"/>
      <x:c r="H69" s="662"/>
      <x:c r="I69" s="553"/>
      <x:c r="J69" s="433"/>
      <x:c r="K69" s="468"/>
      <x:c r="L69" s="469"/>
      <x:c r="M69" s="433"/>
      <x:c r="N69" s="470"/>
    </x:row>
    <x:row r="70" spans="1:16" ht="15.6" customHeight="1" x14ac:dyDescent="0.3">
      <x:c r="A70" s="486"/>
      <x:c r="B70" s="462"/>
      <x:c r="C70" s="488"/>
      <x:c r="D70" s="489"/>
      <x:c r="E70" s="490"/>
      <x:c r="F70" s="490"/>
      <x:c r="G70" s="491"/>
      <x:c r="H70" s="490"/>
      <x:c r="I70" s="653"/>
      <x:c r="J70" s="433"/>
      <x:c r="K70" s="468"/>
      <x:c r="L70" s="469"/>
      <x:c r="M70" s="433"/>
    </x:row>
    <x:row r="71" spans="1:16" ht="16.2" customHeight="1" x14ac:dyDescent="0.35">
      <x:c r="A71" s="493" t="s">
        <x:v>43</x:v>
      </x:c>
      <x:c r="B71" s="493"/>
      <x:c r="C71" s="493"/>
      <x:c r="D71" s="493"/>
      <x:c r="E71" s="493"/>
      <x:c r="F71" s="493"/>
      <x:c r="G71" s="494">
        <x:f>SUM(G65:G70)</x:f>
      </x:c>
      <x:c r="I71" s="660"/>
      <x:c r="J71" s="494">
        <x:f>SUM(J65:J70)</x:f>
      </x:c>
      <x:c r="L71" s="495"/>
      <x:c r="M71" s="496">
        <x:f>SUM(M65:M70)</x:f>
      </x:c>
    </x:row>
    <x:row r="72" spans="1:16" x14ac:dyDescent="0.25">
      <x:c r="A72" s="497"/>
      <x:c r="E72" s="497"/>
      <x:c r="F72" s="497"/>
      <x:c r="G72" s="435"/>
      <x:c r="I72" s="660"/>
    </x:row>
    <x:row r="74" spans="1:16" x14ac:dyDescent="0.25">
      <x:c r="J74" s="435"/>
    </x:row>
    <x:row r="75" spans="1:16" x14ac:dyDescent="0.25">
      <x:c r="J75" s="435"/>
    </x:row>
    <x:row r="76" spans="1:16" x14ac:dyDescent="0.25">
      <x:c r="J76" s="435">
        <x:f>(J47+J71)*2%</x:f>
      </x:c>
      <x:c r="M76" s="435">
        <x:f>M71/12</x:f>
      </x:c>
      <x:c r="N76" s="431" t="s">
        <x:v>1199</x:v>
      </x:c>
    </x:row>
    <x:row r="77" spans="1:16" x14ac:dyDescent="0.25">
      <x:c r="J77" s="435">
        <x:f>J76/12</x:f>
      </x:c>
      <x:c r="K77" s="429" t="s">
        <x:v>655</x:v>
      </x:c>
      <x:c r="M77" s="435">
        <x:f>M71/24</x:f>
      </x:c>
      <x:c r="N77" s="431" t="s">
        <x:v>1199</x:v>
      </x:c>
    </x:row>
    <x:row r="78" spans="1:16" x14ac:dyDescent="0.25">
      <x:c r="J78" s="435">
        <x:f>J76/24</x:f>
      </x:c>
      <x:c r="K78" s="429" t="s">
        <x:v>655</x:v>
      </x:c>
    </x:row>
  </x:sheetData>
  <x:sortState xmlns:xlrd2="http://schemas.microsoft.com/office/spreadsheetml/2017/richdata2" ref="A8:P31">
    <x:sortCondition ref="K8:K31"/>
  </x:sortState>
  <x:mergeCells count="2">
    <x:mergeCell ref="A3:F3"/>
    <x:mergeCell ref="A47:F47"/>
  </x:mergeCells>
  <x:printOptions horizontalCentered="0" verticalCentered="0" headings="0" gridLines="0"/>
  <x:pageMargins left="0.3937007874015748" right="0" top="0.3937007874015748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E93478-1FFC-42A1-9CD3-2592C3F25A26}" mc:Ignorable="x14ac xr xr2 xr3">
  <x:sheetPr>
    <x:outlinePr summaryBelow="1" summaryRight="1"/>
  </x:sheetPr>
  <x:dimension ref="A1:T126"/>
  <x:sheetViews>
    <x:sheetView topLeftCell="A34" workbookViewId="0">
      <x:selection activeCell="C1" sqref="C1 C:C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640" customWidth="1"/>
    <x:col min="10" max="10" width="13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9.664062" style="431" customWidth="1"/>
    <x:col min="15" max="15" width="12.441406" style="429" customWidth="1"/>
    <x:col min="16" max="16" width="8" style="429" customWidth="1"/>
    <x:col min="17" max="16384" width="11.441406" style="429" customWidth="1"/>
  </x:cols>
  <x:sheetData>
    <x:row r="1" spans="1:20" ht="15" customHeight="1" x14ac:dyDescent="0.25">
      <x:c r="B1" s="608"/>
      <x:c r="C1" s="608"/>
      <x:c r="G1" s="435"/>
    </x:row>
    <x:row r="2" spans="1:20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41"/>
      <x:c r="J2" s="440"/>
      <x:c r="K2" s="441"/>
      <x:c r="L2" s="442"/>
      <x:c r="M2" s="443"/>
    </x:row>
    <x:row r="3" spans="1:2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41"/>
      <x:c r="J3" s="441"/>
      <x:c r="K3" s="441"/>
      <x:c r="L3" s="442"/>
      <x:c r="M3" s="443"/>
    </x:row>
    <x:row r="4" spans="1:20" ht="15" customHeight="1" x14ac:dyDescent="0.25">
      <x:c r="A4" s="436"/>
      <x:c r="B4" s="436" t="s">
        <x:v>1629</x:v>
      </x:c>
      <x:c r="C4" s="436"/>
      <x:c r="D4" s="445"/>
      <x:c r="E4" s="436"/>
      <x:c r="F4" s="436"/>
      <x:c r="G4" s="437"/>
      <x:c r="H4" s="438"/>
      <x:c r="I4" s="641"/>
      <x:c r="J4" s="441"/>
      <x:c r="K4" s="441"/>
      <x:c r="L4" s="442"/>
      <x:c r="M4" s="443"/>
    </x:row>
    <x:row r="5" spans="1:20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642"/>
      <x:c r="J5" s="441"/>
      <x:c r="K5" s="441"/>
      <x:c r="L5" s="442"/>
      <x:c r="M5" s="443"/>
    </x:row>
    <x:row r="6" spans="1:20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41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20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43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20" ht="15" customHeight="1" x14ac:dyDescent="0.3">
      <x:c r="A8" s="664" t="s">
        <x:v>904</x:v>
      </x:c>
      <x:c r="B8" s="670" t="s">
        <x:v>478</x:v>
      </x:c>
      <x:c r="C8" s="644" t="s">
        <x:v>1630</x:v>
      </x:c>
      <x:c r="D8" s="666">
        <x:v>46128</x:v>
      </x:c>
      <x:c r="E8" s="665">
        <x:v>110.16</x:v>
      </x:c>
      <x:c r="F8" s="671">
        <x:v>14.32</x:v>
      </x:c>
      <x:c r="G8" s="665">
        <x:v>110.22</x:v>
      </x:c>
      <x:c r="H8" s="671">
        <x:v>14.38</x:v>
      </x:c>
      <x:c r="I8" s="672">
        <x:v>46145</x:v>
      </x:c>
      <x:c r="J8" s="433">
        <x:f>+E8-F8</x:f>
      </x:c>
      <x:c r="K8" s="468">
        <x:f>+I8-D8</x:f>
      </x:c>
      <x:c r="L8" s="503">
        <x:v>0.035</x:v>
      </x:c>
      <x:c r="M8" s="504">
        <x:f>+J8*L8</x:f>
      </x:c>
      <x:c r="O8" s="432"/>
    </x:row>
    <x:row r="9" spans="1:20" ht="15" customHeight="1" x14ac:dyDescent="0.3">
      <x:c r="A9" s="664" t="s">
        <x:v>228</x:v>
      </x:c>
      <x:c r="B9" s="670" t="s">
        <x:v>155</x:v>
      </x:c>
      <x:c r="C9" s="644" t="s">
        <x:v>1631</x:v>
      </x:c>
      <x:c r="D9" s="666">
        <x:v>46118</x:v>
      </x:c>
      <x:c r="E9" s="665">
        <x:v>297.3</x:v>
      </x:c>
      <x:c r="F9" s="671">
        <x:v>59.46</x:v>
      </x:c>
      <x:c r="G9" s="665">
        <x:v>258.06</x:v>
      </x:c>
      <x:c r="H9" s="671">
        <x:v>35.68</x:v>
      </x:c>
      <x:c r="I9" s="672">
        <x:v>46147</x:v>
      </x:c>
      <x:c r="J9" s="433">
        <x:f>+E9-F9</x:f>
      </x:c>
      <x:c r="K9" s="468">
        <x:f>+I9-D9</x:f>
      </x:c>
      <x:c r="L9" s="503">
        <x:v>0.035</x:v>
      </x:c>
      <x:c r="M9" s="504">
        <x:f>+J9*L9</x:f>
      </x:c>
      <x:c r="O9" s="432"/>
    </x:row>
    <x:row r="10" spans="1:20" ht="15" customHeight="1" x14ac:dyDescent="0.3">
      <x:c r="A10" s="664" t="s">
        <x:v>690</x:v>
      </x:c>
      <x:c r="B10" s="670" t="s">
        <x:v>105</x:v>
      </x:c>
      <x:c r="C10" s="644" t="s">
        <x:v>1632</x:v>
      </x:c>
      <x:c r="D10" s="666">
        <x:v>46107</x:v>
      </x:c>
      <x:c r="E10" s="665">
        <x:v>137.14</x:v>
      </x:c>
      <x:c r="F10" s="671">
        <x:v>20.57</x:v>
      </x:c>
      <x:c r="G10" s="665">
        <x:v>134.06</x:v>
      </x:c>
      <x:c r="H10" s="671">
        <x:v>17.49</x:v>
      </x:c>
      <x:c r="I10" s="672">
        <x:v>46148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20" ht="15" customHeight="1" x14ac:dyDescent="0.3">
      <x:c r="A11" s="664" t="s">
        <x:v>400</x:v>
      </x:c>
      <x:c r="B11" s="552" t="s">
        <x:v>401</x:v>
      </x:c>
      <x:c r="C11" s="644" t="s">
        <x:v>1633</x:v>
      </x:c>
      <x:c r="D11" s="666">
        <x:v>46038</x:v>
      </x:c>
      <x:c r="E11" s="665">
        <x:v>335.04</x:v>
      </x:c>
      <x:c r="F11" s="671">
        <x:v>50.26</x:v>
      </x:c>
      <x:c r="G11" s="665">
        <x:v>327.5</x:v>
      </x:c>
      <x:c r="H11" s="671">
        <x:v>42.72</x:v>
      </x:c>
      <x:c r="I11" s="672">
        <x:v>46149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20" ht="15" customHeight="1" x14ac:dyDescent="0.3">
      <x:c r="A12" s="664" t="s">
        <x:v>52</x:v>
      </x:c>
      <x:c r="B12" s="670" t="s">
        <x:v>53</x:v>
      </x:c>
      <x:c r="C12" s="644" t="s">
        <x:v>1634</x:v>
      </x:c>
      <x:c r="D12" s="666">
        <x:v>46113</x:v>
      </x:c>
      <x:c r="E12" s="665">
        <x:v>408</x:v>
      </x:c>
      <x:c r="F12" s="671">
        <x:v>102</x:v>
      </x:c>
      <x:c r="G12" s="665">
        <x:v>332.01</x:v>
      </x:c>
      <x:c r="H12" s="671">
        <x:v>45.9</x:v>
      </x:c>
      <x:c r="I12" s="672">
        <x:v>46150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20" ht="15" customHeight="1" x14ac:dyDescent="0.3">
      <x:c r="A13" s="664" t="s">
        <x:v>477</x:v>
      </x:c>
      <x:c r="B13" s="670" t="s">
        <x:v>478</x:v>
      </x:c>
      <x:c r="C13" s="644" t="s">
        <x:v>1635</x:v>
      </x:c>
      <x:c r="D13" s="666">
        <x:v>46086</x:v>
      </x:c>
      <x:c r="E13" s="665">
        <x:v>4128.3</x:v>
      </x:c>
      <x:c r="F13" s="671">
        <x:v>825.66</x:v>
      </x:c>
      <x:c r="G13" s="665">
        <x:f>2692.84+355.24+53.29+419.13+62.87</x:f>
      </x:c>
      <x:c r="H13" s="671">
        <x:v>495.4</x:v>
      </x:c>
      <x:c r="I13" s="672">
        <x:v>46153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20" ht="15" customHeight="1" x14ac:dyDescent="0.3">
      <x:c r="A14" s="664" t="s">
        <x:v>67</x:v>
      </x:c>
      <x:c r="B14" s="670" t="s">
        <x:v>26</x:v>
      </x:c>
      <x:c r="C14" s="644" t="s">
        <x:v>1636</x:v>
      </x:c>
      <x:c r="D14" s="666">
        <x:v>46092</x:v>
      </x:c>
      <x:c r="E14" s="665">
        <x:v>177.6</x:v>
      </x:c>
      <x:c r="F14" s="671">
        <x:v>35.52</x:v>
      </x:c>
      <x:c r="G14" s="665">
        <x:v>163.39</x:v>
      </x:c>
      <x:c r="H14" s="671">
        <x:v>21.31</x:v>
      </x:c>
      <x:c r="I14" s="672">
        <x:v>46153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20" ht="15" customHeight="1" x14ac:dyDescent="0.3">
      <x:c r="A15" s="664" t="s">
        <x:v>59</x:v>
      </x:c>
      <x:c r="B15" s="670" t="s">
        <x:v>60</x:v>
      </x:c>
      <x:c r="C15" s="644" t="s">
        <x:v>1637</x:v>
      </x:c>
      <x:c r="D15" s="666">
        <x:v>46107</x:v>
      </x:c>
      <x:c r="E15" s="665">
        <x:v>2071.7</x:v>
      </x:c>
      <x:c r="F15" s="671">
        <x:v>414.34</x:v>
      </x:c>
      <x:c r="G15" s="665">
        <x:v>1000</x:v>
      </x:c>
      <x:c r="H15" s="671">
        <x:v>248.6</x:v>
      </x:c>
      <x:c r="I15" s="672">
        <x:v>46153</x:v>
      </x:c>
      <x:c r="J15" s="433">
        <x:v>869.57</x:v>
      </x:c>
      <x:c r="K15" s="468">
        <x:f>+I15-D15</x:f>
      </x:c>
      <x:c r="L15" s="503">
        <x:v>0.03</x:v>
      </x:c>
      <x:c r="M15" s="504">
        <x:f>+J15*L15</x:f>
      </x:c>
      <x:c r="O15" s="432"/>
      <x:c r="R15" s="435"/>
    </x:row>
    <x:row r="16" spans="1:20" ht="15" customHeight="1" x14ac:dyDescent="0.3">
      <x:c r="A16" s="673" t="s">
        <x:v>477</x:v>
      </x:c>
      <x:c r="B16" s="674" t="s">
        <x:v>478</x:v>
      </x:c>
      <x:c r="C16" s="675" t="s">
        <x:v>1638</x:v>
      </x:c>
      <x:c r="D16" s="676">
        <x:v>46107</x:v>
      </x:c>
      <x:c r="E16" s="677">
        <x:v>3264</x:v>
      </x:c>
      <x:c r="F16" s="678">
        <x:v>652.8</x:v>
      </x:c>
      <x:c r="G16" s="665">
        <x:v>2833.16</x:v>
      </x:c>
      <x:c r="H16" s="678">
        <x:v>391.68</x:v>
      </x:c>
      <x:c r="I16" s="679">
        <x:v>46153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20" ht="15" customHeight="1" x14ac:dyDescent="0.3">
      <x:c r="A17" s="664" t="s">
        <x:v>477</x:v>
      </x:c>
      <x:c r="B17" s="670" t="s">
        <x:v>478</x:v>
      </x:c>
      <x:c r="C17" s="644" t="s">
        <x:v>1639</x:v>
      </x:c>
      <x:c r="D17" s="666">
        <x:v>46107</x:v>
      </x:c>
      <x:c r="E17" s="665">
        <x:v>1201.92</x:v>
      </x:c>
      <x:c r="F17" s="671">
        <x:v>240.38</x:v>
      </x:c>
      <x:c r="G17" s="665">
        <x:v>1043.27</x:v>
      </x:c>
      <x:c r="H17" s="671">
        <x:v>144.23</x:v>
      </x:c>
      <x:c r="I17" s="672">
        <x:v>46153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20" ht="15" customHeight="1" x14ac:dyDescent="0.3">
      <x:c r="A18" s="664" t="s">
        <x:v>477</x:v>
      </x:c>
      <x:c r="B18" s="670" t="s">
        <x:v>478</x:v>
      </x:c>
      <x:c r="C18" s="644" t="s">
        <x:v>1640</x:v>
      </x:c>
      <x:c r="D18" s="666">
        <x:v>46107</x:v>
      </x:c>
      <x:c r="E18" s="665">
        <x:v>306</x:v>
      </x:c>
      <x:c r="F18" s="671">
        <x:v>61.2</x:v>
      </x:c>
      <x:c r="G18" s="665">
        <x:v>265.6</x:v>
      </x:c>
      <x:c r="H18" s="671">
        <x:v>36.72</x:v>
      </x:c>
      <x:c r="I18" s="672">
        <x:v>46153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20" ht="15" customHeight="1" x14ac:dyDescent="0.3">
      <x:c r="A19" s="664" t="s">
        <x:v>477</x:v>
      </x:c>
      <x:c r="B19" s="670" t="s">
        <x:v>478</x:v>
      </x:c>
      <x:c r="C19" s="644" t="s">
        <x:v>1641</x:v>
      </x:c>
      <x:c r="D19" s="666">
        <x:v>46111</x:v>
      </x:c>
      <x:c r="E19" s="665">
        <x:v>91.8</x:v>
      </x:c>
      <x:c r="F19" s="671">
        <x:v>18.36</x:v>
      </x:c>
      <x:c r="G19" s="665">
        <x:v>79.68</x:v>
      </x:c>
      <x:c r="H19" s="671">
        <x:v>11.02</x:v>
      </x:c>
      <x:c r="I19" s="672">
        <x:v>46153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20" ht="15" customHeight="1" x14ac:dyDescent="0.3">
      <x:c r="A20" s="664" t="s">
        <x:v>296</x:v>
      </x:c>
      <x:c r="B20" s="670" t="s">
        <x:v>26</x:v>
      </x:c>
      <x:c r="C20" s="644" t="s">
        <x:v>1642</x:v>
      </x:c>
      <x:c r="D20" s="666">
        <x:v>46119</x:v>
      </x:c>
      <x:c r="E20" s="665">
        <x:v>164.88</x:v>
      </x:c>
      <x:c r="F20" s="671">
        <x:v>24.73</x:v>
      </x:c>
      <x:c r="G20" s="665">
        <x:v>161.17</x:v>
      </x:c>
      <x:c r="H20" s="671">
        <x:v>21.02</x:v>
      </x:c>
      <x:c r="I20" s="672">
        <x:v>46153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20" ht="15" customHeight="1" x14ac:dyDescent="0.3">
      <x:c r="A21" s="664" t="s">
        <x:v>477</x:v>
      </x:c>
      <x:c r="B21" s="670" t="s">
        <x:v>478</x:v>
      </x:c>
      <x:c r="C21" s="644" t="s">
        <x:v>1643</x:v>
      </x:c>
      <x:c r="D21" s="666">
        <x:v>46129</x:v>
      </x:c>
      <x:c r="E21" s="665">
        <x:v>406.2</x:v>
      </x:c>
      <x:c r="F21" s="671">
        <x:v>81.24</x:v>
      </x:c>
      <x:c r="G21" s="665">
        <x:v>352.58</x:v>
      </x:c>
      <x:c r="H21" s="671">
        <x:v>48.74</x:v>
      </x:c>
      <x:c r="I21" s="672">
        <x:v>46153</x:v>
      </x:c>
      <x:c r="J21" s="433">
        <x:f>+E21-F21</x:f>
      </x:c>
      <x:c r="K21" s="468">
        <x:f>+I21-D21</x:f>
      </x:c>
      <x:c r="L21" s="503">
        <x:v>0.035</x:v>
      </x:c>
      <x:c r="M21" s="504">
        <x:f>+J21*L21</x:f>
      </x:c>
      <x:c r="O21" s="432"/>
    </x:row>
    <x:row r="22" spans="1:20" ht="15" customHeight="1" x14ac:dyDescent="0.3">
      <x:c r="A22" s="664" t="s">
        <x:v>477</x:v>
      </x:c>
      <x:c r="B22" s="670" t="s">
        <x:v>478</x:v>
      </x:c>
      <x:c r="C22" s="644" t="s">
        <x:v>1644</x:v>
      </x:c>
      <x:c r="D22" s="666">
        <x:v>46134</x:v>
      </x:c>
      <x:c r="E22" s="665">
        <x:v>570.24</x:v>
      </x:c>
      <x:c r="F22" s="671">
        <x:v>114.05</x:v>
      </x:c>
      <x:c r="G22" s="665">
        <x:v>494.97</x:v>
      </x:c>
      <x:c r="H22" s="671">
        <x:v>68.43</x:v>
      </x:c>
      <x:c r="I22" s="672">
        <x:v>46153</x:v>
      </x:c>
      <x:c r="J22" s="433">
        <x:f>+E22-F22</x:f>
      </x:c>
      <x:c r="K22" s="468">
        <x:f>+I22-D22</x:f>
      </x:c>
      <x:c r="L22" s="503">
        <x:v>0.035</x:v>
      </x:c>
      <x:c r="M22" s="504">
        <x:f>+J22*L22</x:f>
      </x:c>
      <x:c r="O22" s="432"/>
    </x:row>
    <x:row r="23" spans="1:20" ht="15" customHeight="1" x14ac:dyDescent="0.3">
      <x:c r="A23" s="664" t="s">
        <x:v>995</x:v>
      </x:c>
      <x:c r="B23" s="670" t="s">
        <x:v>478</x:v>
      </x:c>
      <x:c r="C23" s="644" t="s">
        <x:v>1645</x:v>
      </x:c>
      <x:c r="D23" s="666">
        <x:v>46139</x:v>
      </x:c>
      <x:c r="E23" s="665">
        <x:v>401.16</x:v>
      </x:c>
      <x:c r="F23" s="671">
        <x:v>60.17</x:v>
      </x:c>
      <x:c r="G23" s="665">
        <x:v>200</x:v>
      </x:c>
      <x:c r="H23" s="671">
        <x:v>51.15</x:v>
      </x:c>
      <x:c r="I23" s="672">
        <x:v>46153</x:v>
      </x:c>
      <x:c r="J23" s="433">
        <x:v>159.59</x:v>
      </x:c>
      <x:c r="K23" s="468">
        <x:f>+I23-D23</x:f>
      </x:c>
      <x:c r="L23" s="503">
        <x:v>0.035</x:v>
      </x:c>
      <x:c r="M23" s="504">
        <x:f>+J23*L23</x:f>
      </x:c>
      <x:c r="O23" s="432"/>
      <x:c r="S23" s="515">
        <x:f>J23*R23</x:f>
      </x:c>
      <x:c r="T23" s="435">
        <x:f>E23-F23</x:f>
      </x:c>
    </x:row>
    <x:row r="24" spans="1:20" ht="15" customHeight="1" x14ac:dyDescent="0.3">
      <x:c r="A24" s="664" t="s">
        <x:v>995</x:v>
      </x:c>
      <x:c r="B24" s="670" t="s">
        <x:v>478</x:v>
      </x:c>
      <x:c r="C24" s="644" t="s">
        <x:v>1645</x:v>
      </x:c>
      <x:c r="D24" s="666">
        <x:v>46139</x:v>
      </x:c>
      <x:c r="E24" s="665">
        <x:v>401.16</x:v>
      </x:c>
      <x:c r="F24" s="671">
        <x:v>60.17</x:v>
      </x:c>
      <x:c r="G24" s="665">
        <x:v>227.33</x:v>
      </x:c>
      <x:c r="H24" s="671">
        <x:v>51.15</x:v>
      </x:c>
      <x:c r="I24" s="672">
        <x:v>46153</x:v>
      </x:c>
      <x:c r="J24" s="433">
        <x:v>181.4</x:v>
      </x:c>
      <x:c r="K24" s="468">
        <x:f>+I24-D24</x:f>
      </x:c>
      <x:c r="L24" s="503">
        <x:v>0.035</x:v>
      </x:c>
      <x:c r="M24" s="504">
        <x:f>+J24*L24</x:f>
      </x:c>
      <x:c r="O24" s="432"/>
      <x:c r="S24" s="515">
        <x:f>J24*R24</x:f>
      </x:c>
    </x:row>
    <x:row r="25" spans="1:20" ht="15" customHeight="1" x14ac:dyDescent="0.3">
      <x:c r="A25" s="664" t="s">
        <x:v>995</x:v>
      </x:c>
      <x:c r="B25" s="670" t="s">
        <x:v>478</x:v>
      </x:c>
      <x:c r="C25" s="644" t="s">
        <x:v>1646</x:v>
      </x:c>
      <x:c r="D25" s="666">
        <x:v>46149</x:v>
      </x:c>
      <x:c r="E25" s="665">
        <x:v>36</x:v>
      </x:c>
      <x:c r="F25" s="671">
        <x:v>5.4</x:v>
      </x:c>
      <x:c r="G25" s="665">
        <x:v>35.19</x:v>
      </x:c>
      <x:c r="H25" s="671">
        <x:v>4.59</x:v>
      </x:c>
      <x:c r="I25" s="672">
        <x:v>46153</x:v>
      </x:c>
      <x:c r="J25" s="433">
        <x:f>+E25-F25</x:f>
      </x:c>
      <x:c r="K25" s="468">
        <x:f>+I25-D25</x:f>
      </x:c>
      <x:c r="L25" s="503">
        <x:v>0.035</x:v>
      </x:c>
      <x:c r="M25" s="504">
        <x:f>+J25*L25</x:f>
      </x:c>
      <x:c r="O25" s="432"/>
    </x:row>
    <x:row r="26" spans="1:20" ht="15" customHeight="1" x14ac:dyDescent="0.3">
      <x:c r="A26" s="664" t="s">
        <x:v>339</x:v>
      </x:c>
      <x:c r="B26" s="670" t="s">
        <x:v>333</x:v>
      </x:c>
      <x:c r="C26" s="644" t="s">
        <x:v>1609</x:v>
      </x:c>
      <x:c r="D26" s="666">
        <x:v>46073</x:v>
      </x:c>
      <x:c r="E26" s="665">
        <x:v>664.72</x:v>
      </x:c>
      <x:c r="F26" s="671">
        <x:v>99.71</x:v>
      </x:c>
      <x:c r="G26" s="665">
        <x:v>150</x:v>
      </x:c>
      <x:c r="H26" s="671">
        <x:v>84.75</x:v>
      </x:c>
      <x:c r="I26" s="672">
        <x:v>46154</x:v>
      </x:c>
      <x:c r="J26" s="433">
        <x:f>150/1.15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20" ht="15" customHeight="1" x14ac:dyDescent="0.3">
      <x:c r="A27" s="664" t="s">
        <x:v>84</x:v>
      </x:c>
      <x:c r="B27" s="670" t="s">
        <x:v>26</x:v>
      </x:c>
      <x:c r="C27" s="644" t="s">
        <x:v>1647</x:v>
      </x:c>
      <x:c r="D27" s="666">
        <x:v>46091</x:v>
      </x:c>
      <x:c r="E27" s="665">
        <x:v>356.4</x:v>
      </x:c>
      <x:c r="F27" s="671">
        <x:v>89.1</x:v>
      </x:c>
      <x:c r="G27" s="665">
        <x:v>290.02</x:v>
      </x:c>
      <x:c r="H27" s="671">
        <x:v>40.1</x:v>
      </x:c>
      <x:c r="I27" s="672">
        <x:v>46154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20" ht="15" customHeight="1" x14ac:dyDescent="0.3">
      <x:c r="A28" s="664" t="s">
        <x:v>1104</x:v>
      </x:c>
      <x:c r="B28" s="670" t="s">
        <x:v>333</x:v>
      </x:c>
      <x:c r="C28" s="644" t="s">
        <x:v>1648</x:v>
      </x:c>
      <x:c r="D28" s="666">
        <x:v>46118</x:v>
      </x:c>
      <x:c r="E28" s="665">
        <x:v>289.08</x:v>
      </x:c>
      <x:c r="F28" s="671">
        <x:v>43.36</x:v>
      </x:c>
      <x:c r="G28" s="665">
        <x:v>282.58</x:v>
      </x:c>
      <x:c r="H28" s="671">
        <x:v>36.86</x:v>
      </x:c>
      <x:c r="I28" s="672">
        <x:v>46154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20" ht="15" customHeight="1" x14ac:dyDescent="0.3">
      <x:c r="A29" s="664" t="s">
        <x:v>697</x:v>
      </x:c>
      <x:c r="B29" s="670" t="s">
        <x:v>53</x:v>
      </x:c>
      <x:c r="C29" s="644" t="s">
        <x:v>1649</x:v>
      </x:c>
      <x:c r="D29" s="666">
        <x:v>46132</x:v>
      </x:c>
      <x:c r="E29" s="665">
        <x:v>117</x:v>
      </x:c>
      <x:c r="F29" s="671">
        <x:v>29.25</x:v>
      </x:c>
      <x:c r="G29" s="665">
        <x:v>95.2</x:v>
      </x:c>
      <x:c r="H29" s="671">
        <x:v>13.16</x:v>
      </x:c>
      <x:c r="I29" s="672">
        <x:v>46154</x:v>
      </x:c>
      <x:c r="J29" s="433">
        <x:f>+E29-F29</x:f>
      </x:c>
      <x:c r="K29" s="468">
        <x:f>+I29-D29</x:f>
      </x:c>
      <x:c r="L29" s="503">
        <x:v>0.035</x:v>
      </x:c>
      <x:c r="M29" s="504">
        <x:f>+J29*L29</x:f>
      </x:c>
      <x:c r="O29" s="432"/>
    </x:row>
    <x:row r="30" spans="1:20" ht="15" customHeight="1" x14ac:dyDescent="0.3">
      <x:c r="A30" s="664" t="s">
        <x:v>114</x:v>
      </x:c>
      <x:c r="B30" s="670" t="s">
        <x:v>26</x:v>
      </x:c>
      <x:c r="C30" s="644" t="s">
        <x:v>1650</x:v>
      </x:c>
      <x:c r="D30" s="666">
        <x:v>46101</x:v>
      </x:c>
      <x:c r="E30" s="665">
        <x:v>144.24</x:v>
      </x:c>
      <x:c r="F30" s="671">
        <x:v>28.85</x:v>
      </x:c>
      <x:c r="G30" s="665">
        <x:v>125.2</x:v>
      </x:c>
      <x:c r="H30" s="671">
        <x:v>17.31</x:v>
      </x:c>
      <x:c r="I30" s="672">
        <x:v>46155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20" ht="15" customHeight="1" x14ac:dyDescent="0.3">
      <x:c r="A31" s="664" t="s">
        <x:v>114</x:v>
      </x:c>
      <x:c r="B31" s="670" t="s">
        <x:v>26</x:v>
      </x:c>
      <x:c r="C31" s="644" t="s">
        <x:v>1651</x:v>
      </x:c>
      <x:c r="D31" s="666">
        <x:v>46108</x:v>
      </x:c>
      <x:c r="E31" s="665">
        <x:v>155.52</x:v>
      </x:c>
      <x:c r="F31" s="671">
        <x:v>31.1</x:v>
      </x:c>
      <x:c r="G31" s="665">
        <x:v>134.99</x:v>
      </x:c>
      <x:c r="H31" s="671">
        <x:v>18.66</x:v>
      </x:c>
      <x:c r="I31" s="672">
        <x:v>46155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20" ht="15" customHeight="1" x14ac:dyDescent="0.3">
      <x:c r="A32" s="664" t="s">
        <x:v>164</x:v>
      </x:c>
      <x:c r="B32" s="670" t="s">
        <x:v>26</x:v>
      </x:c>
      <x:c r="C32" s="644" t="s">
        <x:v>1652</x:v>
      </x:c>
      <x:c r="D32" s="666">
        <x:v>46129</x:v>
      </x:c>
      <x:c r="E32" s="665">
        <x:v>269.46</x:v>
      </x:c>
      <x:c r="F32" s="671">
        <x:v>40.42</x:v>
      </x:c>
      <x:c r="G32" s="665">
        <x:v>263.4</x:v>
      </x:c>
      <x:c r="H32" s="671">
        <x:v>34.36</x:v>
      </x:c>
      <x:c r="I32" s="672">
        <x:v>46155</x:v>
      </x:c>
      <x:c r="J32" s="433">
        <x:f>+E32-F32</x:f>
      </x:c>
      <x:c r="K32" s="468">
        <x:f>+I32-D32</x:f>
      </x:c>
      <x:c r="L32" s="503">
        <x:v>0.035</x:v>
      </x:c>
      <x:c r="M32" s="504">
        <x:f>+J32*L32</x:f>
      </x:c>
      <x:c r="O32" s="432"/>
    </x:row>
    <x:row r="33" spans="1:20" ht="15" customHeight="1" x14ac:dyDescent="0.3">
      <x:c r="A33" s="664" t="s">
        <x:v>332</x:v>
      </x:c>
      <x:c r="B33" s="670" t="s">
        <x:v>333</x:v>
      </x:c>
      <x:c r="C33" s="644" t="s">
        <x:v>1653</x:v>
      </x:c>
      <x:c r="D33" s="666">
        <x:v>46118</x:v>
      </x:c>
      <x:c r="E33" s="665">
        <x:v>165.48</x:v>
      </x:c>
      <x:c r="F33" s="671">
        <x:v>24.82</x:v>
      </x:c>
      <x:c r="G33" s="665">
        <x:v>161.76</x:v>
      </x:c>
      <x:c r="H33" s="671">
        <x:v>21.1</x:v>
      </x:c>
      <x:c r="I33" s="672">
        <x:v>46156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20" ht="15" customHeight="1" x14ac:dyDescent="0.3">
      <x:c r="A34" s="664" t="s">
        <x:v>354</x:v>
      </x:c>
      <x:c r="B34" s="670" t="s">
        <x:v>110</x:v>
      </x:c>
      <x:c r="C34" s="644" t="s">
        <x:v>1654</x:v>
      </x:c>
      <x:c r="D34" s="666">
        <x:v>46135</x:v>
      </x:c>
      <x:c r="E34" s="665">
        <x:v>399.42</x:v>
      </x:c>
      <x:c r="F34" s="671">
        <x:v>59.91</x:v>
      </x:c>
      <x:c r="G34" s="665">
        <x:v>368.37</x:v>
      </x:c>
      <x:c r="H34" s="671">
        <x:v>50.93</x:v>
      </x:c>
      <x:c r="I34" s="672">
        <x:v>46156</x:v>
      </x:c>
      <x:c r="J34" s="433">
        <x:f>+E34-F34</x:f>
      </x:c>
      <x:c r="K34" s="468">
        <x:f>+I34-D34</x:f>
      </x:c>
      <x:c r="L34" s="503">
        <x:v>0.035</x:v>
      </x:c>
      <x:c r="M34" s="504">
        <x:f>+J34*L34</x:f>
      </x:c>
      <x:c r="O34" s="432"/>
    </x:row>
    <x:row r="35" spans="1:20" ht="15" customHeight="1" x14ac:dyDescent="0.3">
      <x:c r="A35" s="664" t="s">
        <x:v>88</x:v>
      </x:c>
      <x:c r="B35" s="670" t="s">
        <x:v>26</x:v>
      </x:c>
      <x:c r="C35" s="644" t="s">
        <x:v>1655</x:v>
      </x:c>
      <x:c r="D35" s="666">
        <x:v>46094</x:v>
      </x:c>
      <x:c r="E35" s="665">
        <x:v>340.2</x:v>
      </x:c>
      <x:c r="F35" s="671">
        <x:v>51.03</x:v>
      </x:c>
      <x:c r="G35" s="665">
        <x:v>313.76</x:v>
      </x:c>
      <x:c r="H35" s="671">
        <x:v>43.38</x:v>
      </x:c>
      <x:c r="I35" s="672">
        <x:v>46157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  <x:c r="O35" s="432"/>
    </x:row>
    <x:row r="36" spans="1:20" ht="15" customHeight="1" x14ac:dyDescent="0.3">
      <x:c r="A36" s="664" t="s">
        <x:v>482</x:v>
      </x:c>
      <x:c r="B36" s="670" t="s">
        <x:v>478</x:v>
      </x:c>
      <x:c r="C36" s="644" t="s">
        <x:v>1656</x:v>
      </x:c>
      <x:c r="D36" s="666">
        <x:v>46121</x:v>
      </x:c>
      <x:c r="E36" s="665">
        <x:v>910.08</x:v>
      </x:c>
      <x:c r="F36" s="671">
        <x:v>154.71</x:v>
      </x:c>
      <x:c r="G36" s="665">
        <x:v>868.67</x:v>
      </x:c>
      <x:c r="H36" s="671">
        <x:v>113.3</x:v>
      </x:c>
      <x:c r="I36" s="672">
        <x:v>46157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  <x:c r="O36" s="432"/>
    </x:row>
    <x:row r="37" spans="1:20" ht="15" customHeight="1" x14ac:dyDescent="0.3">
      <x:c r="A37" s="664" t="s">
        <x:v>118</x:v>
      </x:c>
      <x:c r="B37" s="670" t="s">
        <x:v>26</x:v>
      </x:c>
      <x:c r="C37" s="644" t="s">
        <x:v>1657</x:v>
      </x:c>
      <x:c r="D37" s="666">
        <x:v>46127</x:v>
      </x:c>
      <x:c r="E37" s="665">
        <x:v>46.8</x:v>
      </x:c>
      <x:c r="F37" s="671">
        <x:v>7.02</x:v>
      </x:c>
      <x:c r="G37" s="665">
        <x:v>43.16</x:v>
      </x:c>
      <x:c r="H37" s="671">
        <x:v>5.97</x:v>
      </x:c>
      <x:c r="I37" s="672">
        <x:v>46157</x:v>
      </x:c>
      <x:c r="J37" s="433">
        <x:f>+E37-F37</x:f>
      </x:c>
      <x:c r="K37" s="468">
        <x:f>+I37-D37</x:f>
      </x:c>
      <x:c r="L37" s="503">
        <x:v>0.035</x:v>
      </x:c>
      <x:c r="M37" s="504">
        <x:f>+J37*L37</x:f>
      </x:c>
      <x:c r="O37" s="432"/>
    </x:row>
    <x:row r="38" spans="1:20" ht="15" customHeight="1" x14ac:dyDescent="0.3">
      <x:c r="A38" s="664" t="s">
        <x:v>118</x:v>
      </x:c>
      <x:c r="B38" s="670" t="s">
        <x:v>26</x:v>
      </x:c>
      <x:c r="C38" s="644" t="s">
        <x:v>1658</x:v>
      </x:c>
      <x:c r="D38" s="666">
        <x:v>46128</x:v>
      </x:c>
      <x:c r="E38" s="665">
        <x:v>1020</x:v>
      </x:c>
      <x:c r="F38" s="671">
        <x:v>255</x:v>
      </x:c>
      <x:c r="G38" s="665">
        <x:v>830.02</x:v>
      </x:c>
      <x:c r="H38" s="671">
        <x:v>114.75</x:v>
      </x:c>
      <x:c r="I38" s="672">
        <x:v>46157</x:v>
      </x:c>
      <x:c r="J38" s="433">
        <x:f>+E38-F38</x:f>
      </x:c>
      <x:c r="K38" s="468">
        <x:f>+I38-D38</x:f>
      </x:c>
      <x:c r="L38" s="503">
        <x:v>0.035</x:v>
      </x:c>
      <x:c r="M38" s="504">
        <x:f>+J38*L38</x:f>
      </x:c>
      <x:c r="O38" s="432"/>
    </x:row>
    <x:row r="39" spans="1:20" ht="15" customHeight="1" x14ac:dyDescent="0.3">
      <x:c r="A39" s="664" t="s">
        <x:v>67</x:v>
      </x:c>
      <x:c r="B39" s="670" t="s">
        <x:v>26</x:v>
      </x:c>
      <x:c r="C39" s="644" t="s">
        <x:v>1659</x:v>
      </x:c>
      <x:c r="D39" s="666">
        <x:v>46140</x:v>
      </x:c>
      <x:c r="E39" s="665">
        <x:v>70.2</x:v>
      </x:c>
      <x:c r="F39" s="671">
        <x:v>10.53</x:v>
      </x:c>
      <x:c r="G39" s="665">
        <x:v>68.62</x:v>
      </x:c>
      <x:c r="H39" s="671">
        <x:v>8.95</x:v>
      </x:c>
      <x:c r="I39" s="672">
        <x:v>46157</x:v>
      </x:c>
      <x:c r="J39" s="433">
        <x:f>+E39-F39</x:f>
      </x:c>
      <x:c r="K39" s="468">
        <x:f>+I39-D39</x:f>
      </x:c>
      <x:c r="L39" s="503">
        <x:v>0.035</x:v>
      </x:c>
      <x:c r="M39" s="504">
        <x:f>+J39*L39</x:f>
      </x:c>
      <x:c r="O39" s="432"/>
    </x:row>
    <x:row r="40" spans="1:20" ht="15" customHeight="1" x14ac:dyDescent="0.3">
      <x:c r="A40" s="664" t="s">
        <x:v>339</x:v>
      </x:c>
      <x:c r="B40" s="670" t="s">
        <x:v>333</x:v>
      </x:c>
      <x:c r="C40" s="644" t="s">
        <x:v>1609</x:v>
      </x:c>
      <x:c r="D40" s="666">
        <x:v>46073</x:v>
      </x:c>
      <x:c r="E40" s="665">
        <x:v>664.72</x:v>
      </x:c>
      <x:c r="F40" s="671">
        <x:v>99.71</x:v>
      </x:c>
      <x:c r="G40" s="665">
        <x:v>199.76</x:v>
      </x:c>
      <x:c r="H40" s="671">
        <x:v>84.75</x:v>
      </x:c>
      <x:c r="I40" s="672">
        <x:v>46161</x:v>
      </x:c>
      <x:c r="J40" s="433">
        <x:f>199.76/1.15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20" ht="15" customHeight="1" x14ac:dyDescent="0.3">
      <x:c r="A41" s="664" t="s">
        <x:v>25</x:v>
      </x:c>
      <x:c r="B41" s="670" t="s">
        <x:v>26</x:v>
      </x:c>
      <x:c r="C41" s="644" t="s">
        <x:v>1660</x:v>
      </x:c>
      <x:c r="D41" s="666">
        <x:v>46118</x:v>
      </x:c>
      <x:c r="E41" s="665">
        <x:v>153</x:v>
      </x:c>
      <x:c r="F41" s="671">
        <x:v>30.6</x:v>
      </x:c>
      <x:c r="G41" s="665">
        <x:v>132.8</x:v>
      </x:c>
      <x:c r="H41" s="671">
        <x:v>18.36</x:v>
      </x:c>
      <x:c r="I41" s="672">
        <x:v>46161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20" ht="15" customHeight="1" x14ac:dyDescent="0.3">
      <x:c r="A42" s="664" t="s">
        <x:v>205</x:v>
      </x:c>
      <x:c r="B42" s="670" t="s">
        <x:v>26</x:v>
      </x:c>
      <x:c r="C42" s="644" t="s">
        <x:v>1661</x:v>
      </x:c>
      <x:c r="D42" s="666">
        <x:v>46160</x:v>
      </x:c>
      <x:c r="E42" s="665">
        <x:v>122.4</x:v>
      </x:c>
      <x:c r="F42" s="671">
        <x:v>0</x:v>
      </x:c>
      <x:c r="G42" s="665">
        <x:v>140.76</x:v>
      </x:c>
      <x:c r="H42" s="671">
        <x:v>18.36</x:v>
      </x:c>
      <x:c r="I42" s="672">
        <x:v>46161</x:v>
      </x:c>
      <x:c r="J42" s="433">
        <x:f>+E42-F42</x:f>
      </x:c>
      <x:c r="K42" s="468">
        <x:f>+I42-D42</x:f>
      </x:c>
      <x:c r="L42" s="503">
        <x:v>0.04</x:v>
      </x:c>
      <x:c r="M42" s="504">
        <x:f>+J42*L42</x:f>
      </x:c>
      <x:c r="O42" s="432"/>
    </x:row>
    <x:row r="43" spans="1:20" ht="15" customHeight="1" x14ac:dyDescent="0.3">
      <x:c r="A43" s="664" t="s">
        <x:v>67</x:v>
      </x:c>
      <x:c r="B43" s="670" t="s">
        <x:v>26</x:v>
      </x:c>
      <x:c r="C43" s="644" t="s">
        <x:v>1662</x:v>
      </x:c>
      <x:c r="D43" s="666">
        <x:v>46091</x:v>
      </x:c>
      <x:c r="E43" s="665">
        <x:v>316.2</x:v>
      </x:c>
      <x:c r="F43" s="671">
        <x:v>63.24</x:v>
      </x:c>
      <x:c r="G43" s="665">
        <x:v>290.9</x:v>
      </x:c>
      <x:c r="H43" s="671">
        <x:v>37.94</x:v>
      </x:c>
      <x:c r="I43" s="672">
        <x:v>46162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20" ht="15" customHeight="1" x14ac:dyDescent="0.3">
      <x:c r="A44" s="680" t="s">
        <x:v>52</x:v>
      </x:c>
      <x:c r="B44" s="681" t="s">
        <x:v>53</x:v>
      </x:c>
      <x:c r="C44" s="644" t="s">
        <x:v>1663</x:v>
      </x:c>
      <x:c r="D44" s="666">
        <x:v>46133</x:v>
      </x:c>
      <x:c r="E44" s="665">
        <x:v>921</x:v>
      </x:c>
      <x:c r="F44" s="671">
        <x:v>230.25</x:v>
      </x:c>
      <x:c r="G44" s="665">
        <x:v>749.46</x:v>
      </x:c>
      <x:c r="H44" s="671">
        <x:v>103.61</x:v>
      </x:c>
      <x:c r="I44" s="672">
        <x:v>46162</x:v>
      </x:c>
      <x:c r="J44" s="433">
        <x:f>+E44-F44</x:f>
      </x:c>
      <x:c r="K44" s="468">
        <x:f>+I44-D44</x:f>
      </x:c>
      <x:c r="L44" s="503">
        <x:v>0.035</x:v>
      </x:c>
      <x:c r="M44" s="504">
        <x:f>+J44*L44</x:f>
      </x:c>
      <x:c r="O44" s="432"/>
    </x:row>
    <x:row r="45" spans="1:20" ht="15" customHeight="1" x14ac:dyDescent="0.3">
      <x:c r="A45" s="664" t="s">
        <x:v>343</x:v>
      </x:c>
      <x:c r="B45" s="670" t="s">
        <x:v>344</x:v>
      </x:c>
      <x:c r="C45" s="644" t="s">
        <x:v>1664</x:v>
      </x:c>
      <x:c r="D45" s="666">
        <x:v>46147</x:v>
      </x:c>
      <x:c r="E45" s="665">
        <x:v>112.08</x:v>
      </x:c>
      <x:c r="F45" s="671">
        <x:v>16.81</x:v>
      </x:c>
      <x:c r="G45" s="665">
        <x:v>109.56</x:v>
      </x:c>
      <x:c r="H45" s="671">
        <x:v>14.29</x:v>
      </x:c>
      <x:c r="I45" s="672">
        <x:v>46162</x:v>
      </x:c>
      <x:c r="J45" s="433">
        <x:f>+E45-F45</x:f>
      </x:c>
      <x:c r="K45" s="468">
        <x:f>+I45-D45</x:f>
      </x:c>
      <x:c r="L45" s="503">
        <x:v>0.035</x:v>
      </x:c>
      <x:c r="M45" s="504">
        <x:f>+J45*L45</x:f>
      </x:c>
      <x:c r="O45" s="432"/>
    </x:row>
    <x:row r="46" spans="1:20" ht="15" customHeight="1" x14ac:dyDescent="0.3">
      <x:c r="A46" s="664" t="s">
        <x:v>822</x:v>
      </x:c>
      <x:c r="B46" s="670" t="s">
        <x:v>26</x:v>
      </x:c>
      <x:c r="C46" s="644" t="s">
        <x:v>1665</x:v>
      </x:c>
      <x:c r="D46" s="666">
        <x:v>46107</x:v>
      </x:c>
      <x:c r="E46" s="665">
        <x:v>438.24</x:v>
      </x:c>
      <x:c r="F46" s="671">
        <x:v>65.74</x:v>
      </x:c>
      <x:c r="G46" s="665">
        <x:v>404.17</x:v>
      </x:c>
      <x:c r="H46" s="671">
        <x:v>55.88</x:v>
      </x:c>
      <x:c r="I46" s="672">
        <x:v>46163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20" ht="15" customHeight="1" x14ac:dyDescent="0.3">
      <x:c r="A47" s="664" t="s">
        <x:v>549</x:v>
      </x:c>
      <x:c r="B47" s="670" t="s">
        <x:v>60</x:v>
      </x:c>
      <x:c r="C47" s="644" t="s">
        <x:v>1666</x:v>
      </x:c>
      <x:c r="D47" s="666">
        <x:v>46107</x:v>
      </x:c>
      <x:c r="E47" s="665">
        <x:v>825.6</x:v>
      </x:c>
      <x:c r="F47" s="671">
        <x:v>206.4</x:v>
      </x:c>
      <x:c r="G47" s="665">
        <x:v>712.08</x:v>
      </x:c>
      <x:c r="H47" s="671">
        <x:v>92.88</x:v>
      </x:c>
      <x:c r="I47" s="672">
        <x:v>46163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20" ht="15" customHeight="1" x14ac:dyDescent="0.3">
      <x:c r="A48" s="664" t="s">
        <x:v>225</x:v>
      </x:c>
      <x:c r="B48" s="670" t="s">
        <x:v>105</x:v>
      </x:c>
      <x:c r="C48" s="644" t="s">
        <x:v>1667</x:v>
      </x:c>
      <x:c r="D48" s="666">
        <x:v>46133</x:v>
      </x:c>
      <x:c r="E48" s="665">
        <x:v>390.6</x:v>
      </x:c>
      <x:c r="F48" s="665">
        <x:v>97.65</x:v>
      </x:c>
      <x:c r="G48" s="664">
        <x:v>317.85</x:v>
      </x:c>
      <x:c r="H48" s="665">
        <x:v>43.94</x:v>
      </x:c>
      <x:c r="I48" s="672">
        <x:v>46165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20" ht="15" customHeight="1" x14ac:dyDescent="0.3">
      <x:c r="A49" s="664" t="s">
        <x:v>88</x:v>
      </x:c>
      <x:c r="B49" s="670" t="s">
        <x:v>26</x:v>
      </x:c>
      <x:c r="C49" s="644" t="s">
        <x:v>1668</x:v>
      </x:c>
      <x:c r="D49" s="666">
        <x:v>46118</x:v>
      </x:c>
      <x:c r="E49" s="665">
        <x:v>104.52</x:v>
      </x:c>
      <x:c r="F49" s="671">
        <x:v>15.68</x:v>
      </x:c>
      <x:c r="G49" s="665">
        <x:v>96.39</x:v>
      </x:c>
      <x:c r="H49" s="671">
        <x:v>13.33</x:v>
      </x:c>
      <x:c r="I49" s="672">
        <x:v>46168</x:v>
      </x:c>
      <x:c r="J49" s="433">
        <x:f>+E49-F49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20" ht="15" customHeight="1" x14ac:dyDescent="0.3">
      <x:c r="A50" s="664" t="s">
        <x:v>109</x:v>
      </x:c>
      <x:c r="B50" s="670" t="s">
        <x:v>110</x:v>
      </x:c>
      <x:c r="C50" s="644" t="s">
        <x:v>1669</x:v>
      </x:c>
      <x:c r="D50" s="666">
        <x:v>46129</x:v>
      </x:c>
      <x:c r="E50" s="665">
        <x:v>292.92</x:v>
      </x:c>
      <x:c r="F50" s="671">
        <x:v>43.94</x:v>
      </x:c>
      <x:c r="G50" s="665">
        <x:v>270.14</x:v>
      </x:c>
      <x:c r="H50" s="671">
        <x:v>37.35</x:v>
      </x:c>
      <x:c r="I50" s="672">
        <x:v>46168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20" ht="15" customHeight="1" x14ac:dyDescent="0.3">
      <x:c r="A51" s="664" t="s">
        <x:v>109</x:v>
      </x:c>
      <x:c r="B51" s="670" t="s">
        <x:v>110</x:v>
      </x:c>
      <x:c r="C51" s="644" t="s">
        <x:v>1670</x:v>
      </x:c>
      <x:c r="D51" s="666">
        <x:v>46139</x:v>
      </x:c>
      <x:c r="E51" s="665">
        <x:v>462</x:v>
      </x:c>
      <x:c r="F51" s="671">
        <x:v>69.3</x:v>
      </x:c>
      <x:c r="G51" s="665">
        <x:v>426.09</x:v>
      </x:c>
      <x:c r="H51" s="671">
        <x:v>58.91</x:v>
      </x:c>
      <x:c r="I51" s="672">
        <x:v>46168</x:v>
      </x:c>
      <x:c r="J51" s="433">
        <x:f>+E51-F51</x:f>
      </x:c>
      <x:c r="K51" s="468">
        <x:f>+I51-D51</x:f>
      </x:c>
      <x:c r="L51" s="503">
        <x:v>0.035</x:v>
      </x:c>
      <x:c r="M51" s="504">
        <x:f>+J51*L51</x:f>
      </x:c>
      <x:c r="O51" s="432"/>
    </x:row>
    <x:row r="52" spans="1:20" ht="15" customHeight="1" x14ac:dyDescent="0.3">
      <x:c r="A52" s="664" t="s">
        <x:v>941</x:v>
      </x:c>
      <x:c r="B52" s="552" t="s">
        <x:v>478</x:v>
      </x:c>
      <x:c r="C52" s="644" t="s">
        <x:v>1671</x:v>
      </x:c>
      <x:c r="D52" s="666">
        <x:v>46169</x:v>
      </x:c>
      <x:c r="E52" s="665">
        <x:v>349.2</x:v>
      </x:c>
      <x:c r="F52" s="671">
        <x:v>52.38</x:v>
      </x:c>
      <x:c r="G52" s="665">
        <x:v>341.34</x:v>
      </x:c>
      <x:c r="H52" s="671">
        <x:v>44.52</x:v>
      </x:c>
      <x:c r="I52" s="672">
        <x:v>46169</x:v>
      </x:c>
      <x:c r="J52" s="433">
        <x:f>+E52-F52</x:f>
      </x:c>
      <x:c r="K52" s="468">
        <x:f>+I52-D52</x:f>
      </x:c>
      <x:c r="L52" s="503">
        <x:v>0.04</x:v>
      </x:c>
      <x:c r="M52" s="504">
        <x:f>+J52*L52</x:f>
      </x:c>
      <x:c r="O52" s="432"/>
    </x:row>
    <x:row r="53" spans="1:20" ht="15" customHeight="1" x14ac:dyDescent="0.3">
      <x:c r="A53" s="664" t="s">
        <x:v>1512</x:v>
      </x:c>
      <x:c r="B53" s="670" t="s">
        <x:v>336</x:v>
      </x:c>
      <x:c r="C53" s="644" t="s">
        <x:v>1672</x:v>
      </x:c>
      <x:c r="D53" s="666">
        <x:v>46118</x:v>
      </x:c>
      <x:c r="E53" s="665">
        <x:v>225</x:v>
      </x:c>
      <x:c r="F53" s="671">
        <x:v>33.75</x:v>
      </x:c>
      <x:c r="G53" s="665">
        <x:v>219.94</x:v>
      </x:c>
      <x:c r="H53" s="671">
        <x:v>28.69</x:v>
      </x:c>
      <x:c r="I53" s="672">
        <x:v>46170</x:v>
      </x:c>
      <x:c r="J53" s="433">
        <x:f>+E53-F53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20" ht="15" customHeight="1" x14ac:dyDescent="0.3">
      <x:c r="A54" s="664" t="s">
        <x:v>1550</x:v>
      </x:c>
      <x:c r="B54" s="670" t="s">
        <x:v>26</x:v>
      </x:c>
      <x:c r="C54" s="644" t="s">
        <x:v>1673</x:v>
      </x:c>
      <x:c r="D54" s="666">
        <x:v>46170</x:v>
      </x:c>
      <x:c r="E54" s="665">
        <x:v>23.4</x:v>
      </x:c>
      <x:c r="F54" s="671">
        <x:v>0</x:v>
      </x:c>
      <x:c r="G54" s="665">
        <x:v>25.39</x:v>
      </x:c>
      <x:c r="H54" s="671">
        <x:v>3.51</x:v>
      </x:c>
      <x:c r="I54" s="672">
        <x:v>46170</x:v>
      </x:c>
      <x:c r="J54" s="433">
        <x:f>+E54-F54</x:f>
      </x:c>
      <x:c r="K54" s="468">
        <x:f>+I54-D54</x:f>
      </x:c>
      <x:c r="L54" s="503">
        <x:v>0.04</x:v>
      </x:c>
      <x:c r="M54" s="504">
        <x:f>+J54*L54</x:f>
      </x:c>
      <x:c r="O54" s="432"/>
    </x:row>
    <x:row r="55" spans="1:20" ht="15" customHeight="1" x14ac:dyDescent="0.3">
      <x:c r="A55" s="664" t="s">
        <x:v>59</x:v>
      </x:c>
      <x:c r="B55" s="670" t="s">
        <x:v>60</x:v>
      </x:c>
      <x:c r="C55" s="644" t="s">
        <x:v>1637</x:v>
      </x:c>
      <x:c r="D55" s="666">
        <x:v>46107</x:v>
      </x:c>
      <x:c r="E55" s="665">
        <x:v>2071.7</x:v>
      </x:c>
      <x:c r="F55" s="671">
        <x:v>414.34</x:v>
      </x:c>
      <x:c r="G55" s="665">
        <x:v>905.96</x:v>
      </x:c>
      <x:c r="H55" s="671">
        <x:v>248.6</x:v>
      </x:c>
      <x:c r="I55" s="672">
        <x:v>46171</x:v>
      </x:c>
      <x:c r="J55" s="433">
        <x:v>787.79</x:v>
      </x:c>
      <x:c r="K55" s="468">
        <x:f>+I55-D55</x:f>
      </x:c>
      <x:c r="L55" s="503">
        <x:v>0.03</x:v>
      </x:c>
      <x:c r="M55" s="504">
        <x:f>+J55*L55</x:f>
      </x:c>
      <x:c r="O55" s="432"/>
      <x:c r="R55" s="435"/>
    </x:row>
    <x:row r="56" spans="1:20" ht="15" customHeight="1" x14ac:dyDescent="0.3">
      <x:c r="A56" s="664" t="s">
        <x:v>462</x:v>
      </x:c>
      <x:c r="B56" s="670" t="s">
        <x:v>463</x:v>
      </x:c>
      <x:c r="C56" s="644" t="s">
        <x:v>1674</x:v>
      </x:c>
      <x:c r="D56" s="666">
        <x:v>46118</x:v>
      </x:c>
      <x:c r="E56" s="665">
        <x:v>534.48</x:v>
      </x:c>
      <x:c r="F56" s="671">
        <x:v>80.17</x:v>
      </x:c>
      <x:c r="G56" s="665">
        <x:v>522.46</x:v>
      </x:c>
      <x:c r="H56" s="671">
        <x:v>68.15</x:v>
      </x:c>
      <x:c r="I56" s="672">
        <x:v>46171</x:v>
      </x:c>
      <x:c r="J56" s="433">
        <x:f>+E56-F56</x:f>
      </x:c>
      <x:c r="K56" s="468">
        <x:f>+I56-D56</x:f>
      </x:c>
      <x:c r="L56" s="503">
        <x:v>0.03</x:v>
      </x:c>
      <x:c r="M56" s="504">
        <x:f>+J56*L56</x:f>
      </x:c>
      <x:c r="O56" s="432"/>
    </x:row>
    <x:row r="57" spans="1:20" ht="15" customHeight="1" x14ac:dyDescent="0.3">
      <x:c r="A57" s="664" t="s">
        <x:v>367</x:v>
      </x:c>
      <x:c r="B57" s="670" t="s">
        <x:v>336</x:v>
      </x:c>
      <x:c r="C57" s="644" t="s">
        <x:v>1675</x:v>
      </x:c>
      <x:c r="D57" s="666">
        <x:v>46129</x:v>
      </x:c>
      <x:c r="E57" s="665">
        <x:v>387.6</x:v>
      </x:c>
      <x:c r="F57" s="671">
        <x:v>58.14</x:v>
      </x:c>
      <x:c r="G57" s="665">
        <x:v>378.88</x:v>
      </x:c>
      <x:c r="H57" s="671">
        <x:v>49.42</x:v>
      </x:c>
      <x:c r="I57" s="672">
        <x:v>46171</x:v>
      </x:c>
      <x:c r="J57" s="433">
        <x:f>+E57-F57</x:f>
      </x:c>
      <x:c r="K57" s="468">
        <x:f>+I57-D57</x:f>
      </x:c>
      <x:c r="L57" s="503">
        <x:v>0.03</x:v>
      </x:c>
      <x:c r="M57" s="504">
        <x:f>+J57*L57</x:f>
      </x:c>
      <x:c r="O57" s="432"/>
    </x:row>
    <x:row r="58" spans="1:20" ht="15" customHeight="1" x14ac:dyDescent="0.3">
      <x:c r="A58" s="664" t="s">
        <x:v>59</x:v>
      </x:c>
      <x:c r="B58" s="670" t="s">
        <x:v>60</x:v>
      </x:c>
      <x:c r="C58" s="644" t="s">
        <x:v>1676</x:v>
      </x:c>
      <x:c r="D58" s="666">
        <x:v>46146</x:v>
      </x:c>
      <x:c r="E58" s="665">
        <x:v>52.8</x:v>
      </x:c>
      <x:c r="F58" s="671">
        <x:v>7.92</x:v>
      </x:c>
      <x:c r="G58" s="665">
        <x:v>51.61</x:v>
      </x:c>
      <x:c r="H58" s="671">
        <x:v>6.73</x:v>
      </x:c>
      <x:c r="I58" s="672">
        <x:v>46171</x:v>
      </x:c>
      <x:c r="J58" s="433">
        <x:f>+E58-F58</x:f>
      </x:c>
      <x:c r="K58" s="468">
        <x:f>+I58-D58</x:f>
      </x:c>
      <x:c r="L58" s="503">
        <x:v>0.035</x:v>
      </x:c>
      <x:c r="M58" s="504">
        <x:f>+J58*L58</x:f>
      </x:c>
      <x:c r="O58" s="432"/>
    </x:row>
    <x:row r="59" spans="1:20" ht="15" customHeight="1" x14ac:dyDescent="0.3">
      <x:c r="A59" s="664" t="s">
        <x:v>136</x:v>
      </x:c>
      <x:c r="B59" s="670" t="s">
        <x:v>26</x:v>
      </x:c>
      <x:c r="C59" s="644" t="s">
        <x:v>1677</x:v>
      </x:c>
      <x:c r="D59" s="666">
        <x:v>46156</x:v>
      </x:c>
      <x:c r="E59" s="665">
        <x:v>347.04</x:v>
      </x:c>
      <x:c r="F59" s="671">
        <x:v>86.76</x:v>
      </x:c>
      <x:c r="G59" s="665">
        <x:v>282.4</x:v>
      </x:c>
      <x:c r="H59" s="671">
        <x:v>39.04</x:v>
      </x:c>
      <x:c r="I59" s="672">
        <x:v>46171</x:v>
      </x:c>
      <x:c r="J59" s="433">
        <x:f>+E59-F59</x:f>
      </x:c>
      <x:c r="K59" s="468">
        <x:f>+I59-D59</x:f>
      </x:c>
      <x:c r="L59" s="503">
        <x:v>0.035</x:v>
      </x:c>
      <x:c r="M59" s="504">
        <x:f>+J59*L59</x:f>
      </x:c>
      <x:c r="O59" s="432"/>
    </x:row>
    <x:row r="60" spans="1:20" ht="15" customHeight="1" x14ac:dyDescent="0.3">
      <x:c r="A60" s="664" t="s">
        <x:v>167</x:v>
      </x:c>
      <x:c r="B60" s="670" t="s">
        <x:v>26</x:v>
      </x:c>
      <x:c r="C60" s="644" t="s">
        <x:v>1678</x:v>
      </x:c>
      <x:c r="D60" s="666">
        <x:v>46171</x:v>
      </x:c>
      <x:c r="E60" s="665">
        <x:v>1212.12</x:v>
      </x:c>
      <x:c r="F60" s="671">
        <x:v>303.03</x:v>
      </x:c>
      <x:c r="G60" s="665">
        <x:v>660</x:v>
      </x:c>
      <x:c r="H60" s="671">
        <x:v>136.36</x:v>
      </x:c>
      <x:c r="I60" s="672">
        <x:v>46171</x:v>
      </x:c>
      <x:c r="J60" s="433">
        <x:f>660/1.15</x:f>
      </x:c>
      <x:c r="K60" s="468">
        <x:f>+I60-D60</x:f>
      </x:c>
      <x:c r="L60" s="503">
        <x:v>0.04</x:v>
      </x:c>
      <x:c r="M60" s="504">
        <x:f>+J60*L60</x:f>
      </x:c>
      <x:c r="O60" s="432"/>
    </x:row>
    <x:row r="61" spans="1:20" ht="15" customHeight="1" x14ac:dyDescent="0.3">
      <x:c r="A61" s="664"/>
      <x:c r="B61" s="552"/>
      <x:c r="C61" s="644"/>
      <x:c r="D61" s="553"/>
      <x:c r="E61" s="662"/>
      <x:c r="F61" s="662"/>
      <x:c r="G61" s="665"/>
      <x:c r="H61" s="662"/>
      <x:c r="I61" s="666"/>
      <x:c r="J61" s="433"/>
      <x:c r="K61" s="468"/>
      <x:c r="L61" s="503"/>
      <x:c r="M61" s="504"/>
      <x:c r="O61" s="432"/>
    </x:row>
    <x:row r="62" spans="1:20" ht="15" customHeight="1" x14ac:dyDescent="0.25">
      <x:c r="A62" s="551"/>
      <x:c r="B62" s="668"/>
      <x:c r="C62" s="644"/>
      <x:c r="D62" s="553"/>
      <x:c r="E62" s="669"/>
      <x:c r="F62" s="669"/>
      <x:c r="G62" s="528"/>
      <x:c r="H62" s="669"/>
      <x:c r="I62" s="556"/>
      <x:c r="J62" s="433"/>
      <x:c r="K62" s="468"/>
      <x:c r="L62" s="503"/>
      <x:c r="M62" s="504"/>
      <x:c r="O62" s="432"/>
    </x:row>
    <x:row r="63" spans="1:20" ht="15" customHeight="1" x14ac:dyDescent="0.25">
      <x:c r="A63" s="606"/>
      <x:c r="B63" s="573"/>
      <x:c r="C63" s="606"/>
      <x:c r="D63" s="629"/>
      <x:c r="E63" s="569"/>
      <x:c r="F63" s="569"/>
      <x:c r="G63" s="466"/>
      <x:c r="H63" s="569"/>
      <x:c r="I63" s="652"/>
      <x:c r="J63" s="433"/>
      <x:c r="K63" s="468"/>
      <x:c r="L63" s="503"/>
      <x:c r="M63" s="504"/>
      <x:c r="O63" s="432"/>
    </x:row>
    <x:row r="64" spans="1:20" ht="15" customHeight="1" x14ac:dyDescent="0.3">
      <x:c r="G64" s="516">
        <x:f>SUM(G8:G63)</x:f>
      </x:c>
      <x:c r="J64" s="516">
        <x:f>SUM(J8:J63)</x:f>
      </x:c>
      <x:c r="M64" s="516">
        <x:f>SUM(M8:M63)</x:f>
      </x:c>
      <x:c r="O64" s="432"/>
    </x:row>
    <x:row r="65" spans="1:20" ht="15" customHeight="1" x14ac:dyDescent="0.25">
      <x:c r="G65" s="435"/>
      <x:c r="H65" s="435"/>
      <x:c r="O65" s="432"/>
    </x:row>
    <x:row r="66" spans="1:20" ht="15" customHeight="1" x14ac:dyDescent="0.25">
      <x:c r="A66" s="517" t="s">
        <x:v>30</x:v>
      </x:c>
      <x:c r="B66" s="518" t="s">
        <x:v>31</x:v>
      </x:c>
      <x:c r="C66" s="518" t="s">
        <x:v>32</x:v>
      </x:c>
      <x:c r="J66" s="435"/>
      <x:c r="O66" s="432"/>
    </x:row>
    <x:row r="67" spans="1:20" ht="14.4" customHeight="1" s="434" customFormat="1" x14ac:dyDescent="0.3">
      <x:c r="A67" s="664" t="s">
        <x:v>686</x:v>
      </x:c>
      <x:c r="B67" s="551" t="s">
        <x:v>1679</x:v>
      </x:c>
      <x:c r="C67" s="644" t="s">
        <x:v>1680</x:v>
      </x:c>
      <x:c r="D67" s="666">
        <x:v>46108</x:v>
      </x:c>
      <x:c r="E67" s="665">
        <x:v>244.68</x:v>
      </x:c>
      <x:c r="F67" s="665">
        <x:v>36.7</x:v>
      </x:c>
      <x:c r="G67" s="664">
        <x:v>239.18</x:v>
      </x:c>
      <x:c r="H67" s="665">
        <x:v>31.2</x:v>
      </x:c>
      <x:c r="I67" s="672">
        <x:v>46177</x:v>
      </x:c>
      <x:c r="J67" s="433">
        <x:f>+E67-F67</x:f>
      </x:c>
      <x:c r="K67" s="468">
        <x:f>+I67-D67</x:f>
      </x:c>
      <x:c r="L67" s="469">
        <x:v>0.03</x:v>
      </x:c>
      <x:c r="M67" s="433">
        <x:f>+J67*L67</x:f>
      </x:c>
      <x:c r="N67" s="470"/>
      <x:c r="O67" s="432"/>
    </x:row>
    <x:row r="68" spans="1:20" ht="14.4" customHeight="1" s="434" customFormat="1" x14ac:dyDescent="0.3">
      <x:c r="A68" s="664" t="s">
        <x:v>70</x:v>
      </x:c>
      <x:c r="B68" s="551" t="s">
        <x:v>1681</x:v>
      </x:c>
      <x:c r="C68" s="644" t="s">
        <x:v>1682</x:v>
      </x:c>
      <x:c r="D68" s="666">
        <x:v>46146</x:v>
      </x:c>
      <x:c r="E68" s="665">
        <x:v>360.24</x:v>
      </x:c>
      <x:c r="F68" s="665">
        <x:v>72.05</x:v>
      </x:c>
      <x:c r="G68" s="664">
        <x:v>325.66</x:v>
      </x:c>
      <x:c r="H68" s="665">
        <x:v>43.23</x:v>
      </x:c>
      <x:c r="I68" s="672">
        <x:v>46177</x:v>
      </x:c>
      <x:c r="J68" s="433">
        <x:f>+E68-F68</x:f>
      </x:c>
      <x:c r="K68" s="468">
        <x:f>+I68-D68</x:f>
      </x:c>
      <x:c r="L68" s="469">
        <x:v>0.03</x:v>
      </x:c>
      <x:c r="M68" s="433">
        <x:f>+J68*L68</x:f>
      </x:c>
      <x:c r="N68" s="470"/>
      <x:c r="O68" s="432"/>
    </x:row>
    <x:row r="69" spans="1:20" ht="14.4" customHeight="1" s="434" customFormat="1" x14ac:dyDescent="0.3">
      <x:c r="A69" s="664" t="s">
        <x:v>101</x:v>
      </x:c>
      <x:c r="B69" s="551" t="s">
        <x:v>1683</x:v>
      </x:c>
      <x:c r="C69" s="644" t="s">
        <x:v>1684</x:v>
      </x:c>
      <x:c r="D69" s="666">
        <x:v>46098</x:v>
      </x:c>
      <x:c r="E69" s="665">
        <x:v>61.2</x:v>
      </x:c>
      <x:c r="F69" s="665">
        <x:v>9.18</x:v>
      </x:c>
      <x:c r="G69" s="664">
        <x:v>56.44</x:v>
      </x:c>
      <x:c r="H69" s="665">
        <x:v>7.8</x:v>
      </x:c>
      <x:c r="I69" s="672">
        <x:v>46189</x:v>
      </x:c>
      <x:c r="J69" s="433">
        <x:f>+E69-F69</x:f>
      </x:c>
      <x:c r="K69" s="468">
        <x:f>+I69-D69</x:f>
      </x:c>
      <x:c r="L69" s="469">
        <x:v>0.03</x:v>
      </x:c>
      <x:c r="M69" s="433">
        <x:f>+J69*L69</x:f>
      </x:c>
      <x:c r="N69" s="470"/>
      <x:c r="O69" s="432"/>
    </x:row>
    <x:row r="70" spans="1:20" ht="14.4" customHeight="1" s="434" customFormat="1" x14ac:dyDescent="0.3">
      <x:c r="A70" s="664" t="s">
        <x:v>101</x:v>
      </x:c>
      <x:c r="B70" s="551" t="s">
        <x:v>1683</x:v>
      </x:c>
      <x:c r="C70" s="644" t="s">
        <x:v>1685</x:v>
      </x:c>
      <x:c r="D70" s="666">
        <x:v>46106</x:v>
      </x:c>
      <x:c r="E70" s="665">
        <x:v>151.2</x:v>
      </x:c>
      <x:c r="F70" s="665">
        <x:v>22.68</x:v>
      </x:c>
      <x:c r="G70" s="664">
        <x:v>139.45</x:v>
      </x:c>
      <x:c r="H70" s="665">
        <x:v>19.28</x:v>
      </x:c>
      <x:c r="I70" s="672">
        <x:v>46189</x:v>
      </x:c>
      <x:c r="J70" s="433">
        <x:f>+E70-F70</x:f>
      </x:c>
      <x:c r="K70" s="468">
        <x:f>+I70-D70</x:f>
      </x:c>
      <x:c r="L70" s="469">
        <x:v>0.03</x:v>
      </x:c>
      <x:c r="M70" s="433">
        <x:f>+J70*L70</x:f>
      </x:c>
      <x:c r="N70" s="470"/>
      <x:c r="O70" s="432"/>
    </x:row>
    <x:row r="71" spans="1:20" ht="14.4" customHeight="1" s="434" customFormat="1" x14ac:dyDescent="0.3">
      <x:c r="A71" s="664" t="s">
        <x:v>422</x:v>
      </x:c>
      <x:c r="B71" s="551" t="s">
        <x:v>1686</x:v>
      </x:c>
      <x:c r="C71" s="644" t="s">
        <x:v>1687</x:v>
      </x:c>
      <x:c r="D71" s="682">
        <x:v>46118</x:v>
      </x:c>
      <x:c r="E71" s="665">
        <x:v>485.4</x:v>
      </x:c>
      <x:c r="F71" s="671">
        <x:v>72.81</x:v>
      </x:c>
      <x:c r="G71" s="665">
        <x:v>158.16</x:v>
      </x:c>
      <x:c r="H71" s="671">
        <x:v>61.89</x:v>
      </x:c>
      <x:c r="I71" s="683">
        <x:v>46188</x:v>
      </x:c>
      <x:c r="J71" s="433">
        <x:v>137.53</x:v>
      </x:c>
      <x:c r="K71" s="468">
        <x:f>+I71-D71</x:f>
      </x:c>
      <x:c r="L71" s="469">
        <x:v>0.03</x:v>
      </x:c>
      <x:c r="M71" s="433">
        <x:f>+J71*L71</x:f>
      </x:c>
      <x:c r="N71" s="470"/>
      <x:c r="O71" s="432"/>
    </x:row>
    <x:row r="72" spans="1:20" ht="14.4" customHeight="1" s="434" customFormat="1" x14ac:dyDescent="0.3">
      <x:c r="A72" s="664" t="s">
        <x:v>422</x:v>
      </x:c>
      <x:c r="B72" s="551" t="s">
        <x:v>1686</x:v>
      </x:c>
      <x:c r="C72" s="644" t="s">
        <x:v>1687</x:v>
      </x:c>
      <x:c r="D72" s="682">
        <x:v>46118</x:v>
      </x:c>
      <x:c r="E72" s="665">
        <x:v>485.4</x:v>
      </x:c>
      <x:c r="F72" s="671">
        <x:v>72.81</x:v>
      </x:c>
      <x:c r="G72" s="665">
        <x:v>158.16</x:v>
      </x:c>
      <x:c r="H72" s="671">
        <x:v>61.89</x:v>
      </x:c>
      <x:c r="I72" s="683">
        <x:v>46192</x:v>
      </x:c>
      <x:c r="J72" s="433">
        <x:v>137.53</x:v>
      </x:c>
      <x:c r="K72" s="468">
        <x:f>+I72-D72</x:f>
      </x:c>
      <x:c r="L72" s="469">
        <x:v>0.03</x:v>
      </x:c>
      <x:c r="M72" s="433">
        <x:f>+J72*L72</x:f>
      </x:c>
      <x:c r="N72" s="470"/>
      <x:c r="O72" s="432"/>
    </x:row>
    <x:row r="73" spans="1:20" ht="14.4" customHeight="1" s="434" customFormat="1" x14ac:dyDescent="0.3">
      <x:c r="A73" s="664" t="s">
        <x:v>70</x:v>
      </x:c>
      <x:c r="B73" s="551" t="s">
        <x:v>1688</x:v>
      </x:c>
      <x:c r="C73" s="644" t="s">
        <x:v>1689</x:v>
      </x:c>
      <x:c r="D73" s="682">
        <x:v>46161</x:v>
      </x:c>
      <x:c r="E73" s="665">
        <x:v>125.4</x:v>
      </x:c>
      <x:c r="F73" s="671">
        <x:v>25.08</x:v>
      </x:c>
      <x:c r="G73" s="665">
        <x:v>113.37</x:v>
      </x:c>
      <x:c r="H73" s="671">
        <x:v>15.05</x:v>
      </x:c>
      <x:c r="I73" s="672">
        <x:v>46192</x:v>
      </x:c>
      <x:c r="J73" s="433">
        <x:f>+E73-F73</x:f>
      </x:c>
      <x:c r="K73" s="468">
        <x:f>+I73-D73</x:f>
      </x:c>
      <x:c r="L73" s="469">
        <x:v>0.03</x:v>
      </x:c>
      <x:c r="M73" s="433">
        <x:f>+J73*L73</x:f>
      </x:c>
      <x:c r="N73" s="470"/>
      <x:c r="O73" s="432"/>
    </x:row>
    <x:row r="74" spans="1:20" ht="14.4" customHeight="1" s="434" customFormat="1" x14ac:dyDescent="0.3">
      <x:c r="A74" s="664" t="s">
        <x:v>101</x:v>
      </x:c>
      <x:c r="B74" s="551" t="s">
        <x:v>1690</x:v>
      </x:c>
      <x:c r="C74" s="644" t="s">
        <x:v>1691</x:v>
      </x:c>
      <x:c r="D74" s="666">
        <x:v>46120</x:v>
      </x:c>
      <x:c r="E74" s="665">
        <x:v>110.88</x:v>
      </x:c>
      <x:c r="F74" s="671">
        <x:v>16.63</x:v>
      </x:c>
      <x:c r="G74" s="665">
        <x:v>102.26</x:v>
      </x:c>
      <x:c r="H74" s="671">
        <x:v>14.14</x:v>
      </x:c>
      <x:c r="I74" s="672">
        <x:v>46194</x:v>
      </x:c>
      <x:c r="J74" s="433">
        <x:f>+E74-F74</x:f>
      </x:c>
      <x:c r="K74" s="468">
        <x:f>+I74-D74</x:f>
      </x:c>
      <x:c r="L74" s="469">
        <x:v>0.03</x:v>
      </x:c>
      <x:c r="M74" s="433">
        <x:f>+J74*L74</x:f>
      </x:c>
      <x:c r="N74" s="470"/>
      <x:c r="O74" s="432"/>
    </x:row>
    <x:row r="75" spans="1:20" ht="14.4" customHeight="1" s="434" customFormat="1" x14ac:dyDescent="0.3">
      <x:c r="A75" s="664" t="s">
        <x:v>101</x:v>
      </x:c>
      <x:c r="B75" s="551" t="s">
        <x:v>1690</x:v>
      </x:c>
      <x:c r="C75" s="644" t="s">
        <x:v>1692</x:v>
      </x:c>
      <x:c r="D75" s="666">
        <x:v>46122</x:v>
      </x:c>
      <x:c r="E75" s="665">
        <x:v>60.72</x:v>
      </x:c>
      <x:c r="F75" s="671">
        <x:v>9.11</x:v>
      </x:c>
      <x:c r="G75" s="665">
        <x:v>56</x:v>
      </x:c>
      <x:c r="H75" s="671">
        <x:v>7.74</x:v>
      </x:c>
      <x:c r="I75" s="672">
        <x:v>46194</x:v>
      </x:c>
      <x:c r="J75" s="433">
        <x:f>+E75-F75</x:f>
      </x:c>
      <x:c r="K75" s="468">
        <x:f>+I75-D75</x:f>
      </x:c>
      <x:c r="L75" s="469">
        <x:v>0.03</x:v>
      </x:c>
      <x:c r="M75" s="433">
        <x:f>+J75*L75</x:f>
      </x:c>
      <x:c r="N75" s="470"/>
      <x:c r="O75" s="432"/>
    </x:row>
    <x:row r="76" spans="1:20" ht="14.4" customHeight="1" s="434" customFormat="1" x14ac:dyDescent="0.3">
      <x:c r="A76" s="664" t="s">
        <x:v>101</x:v>
      </x:c>
      <x:c r="B76" s="551" t="s">
        <x:v>1690</x:v>
      </x:c>
      <x:c r="C76" s="644" t="s">
        <x:v>1693</x:v>
      </x:c>
      <x:c r="D76" s="666">
        <x:v>46125</x:v>
      </x:c>
      <x:c r="E76" s="665">
        <x:v>121.44</x:v>
      </x:c>
      <x:c r="F76" s="671">
        <x:v>18.22</x:v>
      </x:c>
      <x:c r="G76" s="665">
        <x:v>112</x:v>
      </x:c>
      <x:c r="H76" s="671">
        <x:v>15.48</x:v>
      </x:c>
      <x:c r="I76" s="672">
        <x:v>46194</x:v>
      </x:c>
      <x:c r="J76" s="433">
        <x:f>+E76-F76</x:f>
      </x:c>
      <x:c r="K76" s="468">
        <x:f>+I76-D76</x:f>
      </x:c>
      <x:c r="L76" s="469">
        <x:v>0.03</x:v>
      </x:c>
      <x:c r="M76" s="433">
        <x:f>+J76*L76</x:f>
      </x:c>
      <x:c r="N76" s="470"/>
      <x:c r="O76" s="432"/>
    </x:row>
    <x:row r="77" spans="1:20" ht="14.4" customHeight="1" s="434" customFormat="1" x14ac:dyDescent="0.3">
      <x:c r="A77" s="664" t="s">
        <x:v>422</x:v>
      </x:c>
      <x:c r="B77" s="551" t="s">
        <x:v>1694</x:v>
      </x:c>
      <x:c r="C77" s="644" t="s">
        <x:v>1687</x:v>
      </x:c>
      <x:c r="D77" s="682">
        <x:v>46118</x:v>
      </x:c>
      <x:c r="E77" s="665">
        <x:v>485.4</x:v>
      </x:c>
      <x:c r="F77" s="671">
        <x:v>72.81</x:v>
      </x:c>
      <x:c r="G77" s="665">
        <x:v>158.16</x:v>
      </x:c>
      <x:c r="H77" s="671">
        <x:v>61.89</x:v>
      </x:c>
      <x:c r="I77" s="683">
        <x:v>46199</x:v>
      </x:c>
      <x:c r="J77" s="433">
        <x:v>137.53</x:v>
      </x:c>
      <x:c r="K77" s="468">
        <x:f>+I77-D77</x:f>
      </x:c>
      <x:c r="L77" s="469">
        <x:v>0.03</x:v>
      </x:c>
      <x:c r="M77" s="433">
        <x:f>+J77*L77</x:f>
      </x:c>
      <x:c r="N77" s="470"/>
      <x:c r="O77" s="432"/>
    </x:row>
    <x:row r="78" spans="1:20" ht="14.4" customHeight="1" s="434" customFormat="1" x14ac:dyDescent="0.3">
      <x:c r="A78" s="664" t="s">
        <x:v>1037</x:v>
      </x:c>
      <x:c r="B78" s="551" t="s">
        <x:v>1695</x:v>
      </x:c>
      <x:c r="C78" s="644" t="s">
        <x:v>1696</x:v>
      </x:c>
      <x:c r="D78" s="666">
        <x:v>46062</x:v>
      </x:c>
      <x:c r="E78" s="665">
        <x:v>3660.56</x:v>
      </x:c>
      <x:c r="F78" s="671">
        <x:v>549.08</x:v>
      </x:c>
      <x:c r="G78" s="665">
        <x:v>1500</x:v>
      </x:c>
      <x:c r="H78" s="671">
        <x:v>466.72</x:v>
      </x:c>
      <x:c r="I78" s="672">
        <x:v>46200</x:v>
      </x:c>
      <x:c r="J78" s="433">
        <x:f>1500/1.15</x:f>
      </x:c>
      <x:c r="K78" s="468">
        <x:f>+I78-D78</x:f>
      </x:c>
      <x:c r="L78" s="469">
        <x:v>0.03</x:v>
      </x:c>
      <x:c r="M78" s="433">
        <x:f>+J78*L78</x:f>
      </x:c>
      <x:c r="N78" s="470"/>
      <x:c r="O78" s="432"/>
    </x:row>
    <x:row r="79" spans="1:20" ht="14.4" customHeight="1" s="434" customFormat="1" x14ac:dyDescent="0.3">
      <x:c r="A79" s="664" t="s">
        <x:v>101</x:v>
      </x:c>
      <x:c r="B79" s="551" t="s">
        <x:v>1697</x:v>
      </x:c>
      <x:c r="C79" s="644" t="s">
        <x:v>1698</x:v>
      </x:c>
      <x:c r="D79" s="666">
        <x:v>46147</x:v>
      </x:c>
      <x:c r="E79" s="665">
        <x:v>121.44</x:v>
      </x:c>
      <x:c r="F79" s="671">
        <x:v>18.22</x:v>
      </x:c>
      <x:c r="G79" s="665">
        <x:v>112</x:v>
      </x:c>
      <x:c r="H79" s="671">
        <x:v>15.48</x:v>
      </x:c>
      <x:c r="I79" s="672">
        <x:v>46200</x:v>
      </x:c>
      <x:c r="J79" s="433">
        <x:f>+E79-F79</x:f>
      </x:c>
      <x:c r="K79" s="468">
        <x:f>+I79-D79</x:f>
      </x:c>
      <x:c r="L79" s="469">
        <x:v>0.03</x:v>
      </x:c>
      <x:c r="M79" s="433">
        <x:f>+J79*L79</x:f>
      </x:c>
      <x:c r="N79" s="470"/>
      <x:c r="O79" s="432"/>
    </x:row>
    <x:row r="80" spans="1:20" ht="14.4" customHeight="1" s="434" customFormat="1" x14ac:dyDescent="0.3">
      <x:c r="A80" s="664" t="s">
        <x:v>101</x:v>
      </x:c>
      <x:c r="B80" s="551" t="s">
        <x:v>1697</x:v>
      </x:c>
      <x:c r="C80" s="644" t="s">
        <x:v>1699</x:v>
      </x:c>
      <x:c r="D80" s="666">
        <x:v>46148</x:v>
      </x:c>
      <x:c r="E80" s="665">
        <x:v>81.6</x:v>
      </x:c>
      <x:c r="F80" s="671">
        <x:v>12.24</x:v>
      </x:c>
      <x:c r="G80" s="665">
        <x:v>75.25</x:v>
      </x:c>
      <x:c r="H80" s="671">
        <x:v>10.4</x:v>
      </x:c>
      <x:c r="I80" s="672">
        <x:v>46200</x:v>
      </x:c>
      <x:c r="J80" s="433">
        <x:f>+E80-F80</x:f>
      </x:c>
      <x:c r="K80" s="468">
        <x:f>+I80-D80</x:f>
      </x:c>
      <x:c r="L80" s="469">
        <x:v>0.03</x:v>
      </x:c>
      <x:c r="M80" s="433">
        <x:f>+J80*L80</x:f>
      </x:c>
      <x:c r="N80" s="470"/>
      <x:c r="O80" s="432"/>
    </x:row>
    <x:row r="81" spans="1:20" ht="14.4" customHeight="1" s="434" customFormat="1" x14ac:dyDescent="0.3">
      <x:c r="A81" s="664" t="s">
        <x:v>36</x:v>
      </x:c>
      <x:c r="B81" s="551" t="s">
        <x:v>1700</x:v>
      </x:c>
      <x:c r="C81" s="644" t="s">
        <x:v>1701</x:v>
      </x:c>
      <x:c r="D81" s="666">
        <x:v>46127</x:v>
      </x:c>
      <x:c r="E81" s="665">
        <x:v>255</x:v>
      </x:c>
      <x:c r="F81" s="671">
        <x:v>63.75</x:v>
      </x:c>
      <x:c r="G81" s="665">
        <x:v>207.5</x:v>
      </x:c>
      <x:c r="H81" s="671">
        <x:v>28.69</x:v>
      </x:c>
      <x:c r="I81" s="672">
        <x:v>46203</x:v>
      </x:c>
      <x:c r="J81" s="433">
        <x:f>+E81-F81</x:f>
      </x:c>
      <x:c r="K81" s="468">
        <x:f>+I81-D81</x:f>
      </x:c>
      <x:c r="L81" s="469">
        <x:v>0.03</x:v>
      </x:c>
      <x:c r="M81" s="433">
        <x:f>+J81*L81</x:f>
      </x:c>
      <x:c r="N81" s="470"/>
      <x:c r="O81" s="432"/>
    </x:row>
    <x:row r="82" spans="1:20" ht="14.4" customHeight="1" s="434" customFormat="1" x14ac:dyDescent="0.3">
      <x:c r="A82" s="664" t="s">
        <x:v>36</x:v>
      </x:c>
      <x:c r="B82" s="551" t="s">
        <x:v>1700</x:v>
      </x:c>
      <x:c r="C82" s="644" t="s">
        <x:v>1702</x:v>
      </x:c>
      <x:c r="D82" s="666">
        <x:v>46133</x:v>
      </x:c>
      <x:c r="E82" s="665">
        <x:v>306</x:v>
      </x:c>
      <x:c r="F82" s="671">
        <x:v>76.5</x:v>
      </x:c>
      <x:c r="G82" s="665">
        <x:v>249.01</x:v>
      </x:c>
      <x:c r="H82" s="671">
        <x:v>34.43</x:v>
      </x:c>
      <x:c r="I82" s="672">
        <x:v>46203</x:v>
      </x:c>
      <x:c r="J82" s="433">
        <x:f>+E82-F82</x:f>
      </x:c>
      <x:c r="K82" s="468">
        <x:f>+I82-D82</x:f>
      </x:c>
      <x:c r="L82" s="469">
        <x:v>0.03</x:v>
      </x:c>
      <x:c r="M82" s="433">
        <x:f>+J82*L82</x:f>
      </x:c>
      <x:c r="N82" s="470"/>
      <x:c r="O82" s="432"/>
    </x:row>
    <x:row r="83" spans="1:20" ht="14.4" customHeight="1" s="434" customFormat="1" x14ac:dyDescent="0.3">
      <x:c r="A83" s="664" t="s">
        <x:v>36</x:v>
      </x:c>
      <x:c r="B83" s="551" t="s">
        <x:v>1700</x:v>
      </x:c>
      <x:c r="C83" s="644" t="s">
        <x:v>1703</x:v>
      </x:c>
      <x:c r="D83" s="666">
        <x:v>46134</x:v>
      </x:c>
      <x:c r="E83" s="665">
        <x:v>426</x:v>
      </x:c>
      <x:c r="F83" s="671">
        <x:v>106.5</x:v>
      </x:c>
      <x:c r="G83" s="665">
        <x:v>346.66</x:v>
      </x:c>
      <x:c r="H83" s="671">
        <x:v>47.93</x:v>
      </x:c>
      <x:c r="I83" s="672">
        <x:v>46203</x:v>
      </x:c>
      <x:c r="J83" s="433">
        <x:f>+E83-F83</x:f>
      </x:c>
      <x:c r="K83" s="468">
        <x:f>+I83-D83</x:f>
      </x:c>
      <x:c r="L83" s="469">
        <x:v>0.03</x:v>
      </x:c>
      <x:c r="M83" s="433">
        <x:f>+J83*L83</x:f>
      </x:c>
      <x:c r="N83" s="470"/>
      <x:c r="O83" s="432"/>
    </x:row>
    <x:row r="84" spans="1:20" ht="14.4" customHeight="1" s="434" customFormat="1" x14ac:dyDescent="0.3">
      <x:c r="A84" s="664" t="s">
        <x:v>36</x:v>
      </x:c>
      <x:c r="B84" s="551" t="s">
        <x:v>1704</x:v>
      </x:c>
      <x:c r="C84" s="644" t="s">
        <x:v>1705</x:v>
      </x:c>
      <x:c r="D84" s="666">
        <x:v>46141</x:v>
      </x:c>
      <x:c r="E84" s="665">
        <x:v>408</x:v>
      </x:c>
      <x:c r="F84" s="671">
        <x:v>102</x:v>
      </x:c>
      <x:c r="G84" s="665">
        <x:v>332.01</x:v>
      </x:c>
      <x:c r="H84" s="671">
        <x:v>45.9</x:v>
      </x:c>
      <x:c r="I84" s="672">
        <x:v>46207</x:v>
      </x:c>
      <x:c r="J84" s="433">
        <x:f>+E84-F84</x:f>
      </x:c>
      <x:c r="K84" s="468">
        <x:f>+I84-D84</x:f>
      </x:c>
      <x:c r="L84" s="469">
        <x:v>0.03</x:v>
      </x:c>
      <x:c r="M84" s="433">
        <x:f>+J84*L84</x:f>
      </x:c>
      <x:c r="N84" s="470"/>
      <x:c r="O84" s="432"/>
    </x:row>
    <x:row r="85" spans="1:20" ht="14.4" customHeight="1" s="434" customFormat="1" x14ac:dyDescent="0.3">
      <x:c r="A85" s="664" t="s">
        <x:v>101</x:v>
      </x:c>
      <x:c r="B85" s="551" t="s">
        <x:v>1688</x:v>
      </x:c>
      <x:c r="C85" s="644" t="s">
        <x:v>1706</x:v>
      </x:c>
      <x:c r="D85" s="682">
        <x:v>46170</x:v>
      </x:c>
      <x:c r="E85" s="665">
        <x:v>463.68</x:v>
      </x:c>
      <x:c r="F85" s="671">
        <x:v>69.55</x:v>
      </x:c>
      <x:c r="G85" s="665">
        <x:v>427.63</x:v>
      </x:c>
      <x:c r="H85" s="671">
        <x:v>59.12</x:v>
      </x:c>
      <x:c r="I85" s="683">
        <x:v>46220</x:v>
      </x:c>
      <x:c r="J85" s="433">
        <x:f>+E85-F85</x:f>
      </x:c>
      <x:c r="K85" s="468">
        <x:f>+I85-D85</x:f>
      </x:c>
      <x:c r="L85" s="469">
        <x:v>0.03</x:v>
      </x:c>
      <x:c r="M85" s="433">
        <x:f>+J85*L85</x:f>
      </x:c>
      <x:c r="N85" s="470"/>
      <x:c r="O85" s="432"/>
    </x:row>
    <x:row r="86" spans="1:20" ht="14.4" customHeight="1" s="434" customFormat="1" x14ac:dyDescent="0.3">
      <x:c r="A86" s="664" t="s">
        <x:v>1037</x:v>
      </x:c>
      <x:c r="B86" s="551" t="s">
        <x:v>1707</x:v>
      </x:c>
      <x:c r="C86" s="644" t="s">
        <x:v>1708</x:v>
      </x:c>
      <x:c r="D86" s="666">
        <x:v>46090</x:v>
      </x:c>
      <x:c r="E86" s="665">
        <x:v>1170</x:v>
      </x:c>
      <x:c r="F86" s="671">
        <x:v>175.5</x:v>
      </x:c>
      <x:c r="G86" s="665">
        <x:v>1079.04</x:v>
      </x:c>
      <x:c r="H86" s="671">
        <x:v>149.18</x:v>
      </x:c>
      <x:c r="I86" s="683">
        <x:v>46221</x:v>
      </x:c>
      <x:c r="J86" s="433">
        <x:f>+E86-F86</x:f>
      </x:c>
      <x:c r="K86" s="468">
        <x:f>+I86-D86</x:f>
      </x:c>
      <x:c r="L86" s="469">
        <x:v>0.03</x:v>
      </x:c>
      <x:c r="M86" s="433">
        <x:f>+J86*L86</x:f>
      </x:c>
      <x:c r="N86" s="470"/>
      <x:c r="O86" s="432"/>
    </x:row>
    <x:row r="87" spans="1:20" ht="14.4" customHeight="1" s="434" customFormat="1" x14ac:dyDescent="0.3">
      <x:c r="A87" s="664" t="s">
        <x:v>1037</x:v>
      </x:c>
      <x:c r="B87" s="551" t="s">
        <x:v>1707</x:v>
      </x:c>
      <x:c r="C87" s="644" t="s">
        <x:v>1709</x:v>
      </x:c>
      <x:c r="D87" s="682">
        <x:v>46112</x:v>
      </x:c>
      <x:c r="E87" s="665">
        <x:v>2340</x:v>
      </x:c>
      <x:c r="F87" s="671">
        <x:v>397.8</x:v>
      </x:c>
      <x:c r="G87" s="665">
        <x:f>607.87-0.58</x:f>
      </x:c>
      <x:c r="H87" s="671">
        <x:v>291.33</x:v>
      </x:c>
      <x:c r="I87" s="683">
        <x:v>46221</x:v>
      </x:c>
      <x:c r="J87" s="433">
        <x:v>559.71</x:v>
      </x:c>
      <x:c r="K87" s="468">
        <x:f>+I87-D87</x:f>
      </x:c>
      <x:c r="L87" s="469">
        <x:v>0.03</x:v>
      </x:c>
      <x:c r="M87" s="433">
        <x:f>+J87*L87</x:f>
      </x:c>
      <x:c r="N87" s="470"/>
      <x:c r="O87" s="432"/>
      <x:c r="R87" s="684"/>
    </x:row>
    <x:row r="88" spans="1:20" ht="14.4" customHeight="1" s="434" customFormat="1" x14ac:dyDescent="0.3">
      <x:c r="A88" s="664" t="s">
        <x:v>1037</x:v>
      </x:c>
      <x:c r="B88" s="551" t="s">
        <x:v>1710</x:v>
      </x:c>
      <x:c r="C88" s="644" t="s">
        <x:v>1709</x:v>
      </x:c>
      <x:c r="D88" s="682">
        <x:v>46112</x:v>
      </x:c>
      <x:c r="E88" s="665">
        <x:v>2340</x:v>
      </x:c>
      <x:c r="F88" s="671">
        <x:v>397.8</x:v>
      </x:c>
      <x:c r="G88" s="665">
        <x:v>1500</x:v>
      </x:c>
      <x:c r="H88" s="671">
        <x:v>291.33</x:v>
      </x:c>
      <x:c r="I88" s="683">
        <x:v>46229</x:v>
      </x:c>
      <x:c r="J88" s="433">
        <x:v>1382.49</x:v>
      </x:c>
      <x:c r="K88" s="468">
        <x:f>+I88-D88</x:f>
      </x:c>
      <x:c r="L88" s="469">
        <x:v>0.03</x:v>
      </x:c>
      <x:c r="M88" s="433">
        <x:f>+J88*L88</x:f>
      </x:c>
      <x:c r="N88" s="470"/>
      <x:c r="O88" s="432"/>
      <x:c r="R88" s="684"/>
    </x:row>
    <x:row r="89" spans="1:20" ht="14.4" customHeight="1" s="434" customFormat="1" x14ac:dyDescent="0.3">
      <x:c r="A89" s="664" t="s">
        <x:v>1037</x:v>
      </x:c>
      <x:c r="B89" s="551" t="s">
        <x:v>1711</x:v>
      </x:c>
      <x:c r="C89" s="644" t="s">
        <x:v>1712</x:v>
      </x:c>
      <x:c r="D89" s="666">
        <x:v>46062</x:v>
      </x:c>
      <x:c r="E89" s="665">
        <x:v>685.08</x:v>
      </x:c>
      <x:c r="F89" s="671">
        <x:v>102.76</x:v>
      </x:c>
      <x:c r="G89" s="665">
        <x:v>633.28</x:v>
      </x:c>
      <x:c r="H89" s="671">
        <x:v>87.35</x:v>
      </x:c>
      <x:c r="I89" s="672">
        <x:v>46233</x:v>
      </x:c>
      <x:c r="J89" s="433">
        <x:f>+E89-F89</x:f>
      </x:c>
      <x:c r="K89" s="468">
        <x:f>+I89-D89</x:f>
      </x:c>
      <x:c r="L89" s="469">
        <x:v>0.03</x:v>
      </x:c>
      <x:c r="M89" s="433">
        <x:f>+J89*L89</x:f>
      </x:c>
      <x:c r="N89" s="470"/>
      <x:c r="O89" s="432"/>
    </x:row>
    <x:row r="90" spans="1:20" ht="14.4" customHeight="1" s="434" customFormat="1" x14ac:dyDescent="0.3">
      <x:c r="A90" s="664" t="s">
        <x:v>1037</x:v>
      </x:c>
      <x:c r="B90" s="551" t="s">
        <x:v>1711</x:v>
      </x:c>
      <x:c r="C90" s="644" t="s">
        <x:v>1713</x:v>
      </x:c>
      <x:c r="D90" s="666">
        <x:v>46062</x:v>
      </x:c>
      <x:c r="E90" s="665">
        <x:v>999.72</x:v>
      </x:c>
      <x:c r="F90" s="671">
        <x:v>149.96</x:v>
      </x:c>
      <x:c r="G90" s="665">
        <x:v>866.72</x:v>
      </x:c>
      <x:c r="H90" s="671">
        <x:v>127.46</x:v>
      </x:c>
      <x:c r="I90" s="672">
        <x:v>46233</x:v>
      </x:c>
      <x:c r="J90" s="433">
        <x:f>+E90-F90</x:f>
      </x:c>
      <x:c r="K90" s="468">
        <x:f>+I90-D90</x:f>
      </x:c>
      <x:c r="L90" s="469">
        <x:v>0.03</x:v>
      </x:c>
      <x:c r="M90" s="433">
        <x:f>+J90*L90</x:f>
      </x:c>
      <x:c r="N90" s="470"/>
      <x:c r="O90" s="432"/>
    </x:row>
    <x:row r="91" spans="1:20" s="434" customFormat="1" x14ac:dyDescent="0.25">
      <x:c r="A91" s="551"/>
      <x:c r="B91" s="551"/>
      <x:c r="C91" s="644"/>
      <x:c r="D91" s="553"/>
      <x:c r="E91" s="662"/>
      <x:c r="F91" s="662"/>
      <x:c r="G91" s="504"/>
      <x:c r="H91" s="662"/>
      <x:c r="I91" s="553"/>
      <x:c r="J91" s="433"/>
      <x:c r="K91" s="468"/>
      <x:c r="L91" s="469"/>
      <x:c r="M91" s="433"/>
      <x:c r="N91" s="633"/>
      <x:c r="O91" s="432"/>
    </x:row>
    <x:row r="92" spans="1:20" ht="15.6" customHeight="1" s="434" customFormat="1" x14ac:dyDescent="0.3">
      <x:c r="A92" s="487"/>
      <x:c r="B92" s="462"/>
      <x:c r="C92" s="487"/>
      <x:c r="D92" s="492"/>
      <x:c r="E92" s="490"/>
      <x:c r="F92" s="490"/>
      <x:c r="G92" s="491"/>
      <x:c r="H92" s="490"/>
      <x:c r="I92" s="653"/>
      <x:c r="J92" s="433"/>
      <x:c r="K92" s="468"/>
      <x:c r="L92" s="469"/>
      <x:c r="M92" s="433"/>
      <x:c r="N92" s="470"/>
      <x:c r="O92" s="432"/>
    </x:row>
    <x:row r="93" spans="1:20" ht="15" customHeight="1" x14ac:dyDescent="0.35">
      <x:c r="A93" s="493" t="s">
        <x:v>43</x:v>
      </x:c>
      <x:c r="B93" s="493"/>
      <x:c r="C93" s="493"/>
      <x:c r="D93" s="493"/>
      <x:c r="E93" s="493"/>
      <x:c r="F93" s="493"/>
      <x:c r="G93" s="516">
        <x:f>SUM(G64:G92)</x:f>
      </x:c>
      <x:c r="J93" s="516">
        <x:f>SUM(J64:J92)</x:f>
      </x:c>
      <x:c r="L93" s="495"/>
      <x:c r="M93" s="564">
        <x:f>SUM(M64:M92)</x:f>
      </x:c>
    </x:row>
    <x:row r="94" spans="1:20" ht="15" customHeight="1" x14ac:dyDescent="0.3">
      <x:c r="A94" s="520"/>
      <x:c r="G94" s="435"/>
    </x:row>
    <x:row r="95" spans="1:20" ht="15" customHeight="1" x14ac:dyDescent="0.3">
      <x:c r="A95" s="499"/>
      <x:c r="G95" s="435"/>
      <x:c r="J95" s="435"/>
    </x:row>
    <x:row r="96" spans="1:20" ht="15" customHeight="1" x14ac:dyDescent="0.3">
      <x:c r="A96" s="499"/>
      <x:c r="G96" s="435"/>
      <x:c r="J96" s="435"/>
    </x:row>
    <x:row r="97" spans="1:20" ht="15" customHeight="1" x14ac:dyDescent="0.3">
      <x:c r="A97" s="499"/>
      <x:c r="G97" s="435"/>
      <x:c r="J97" s="435"/>
    </x:row>
    <x:row r="98" spans="1:20" ht="15" customHeight="1" x14ac:dyDescent="0.3">
      <x:c r="A98" s="499"/>
      <x:c r="G98" s="435"/>
      <x:c r="J98" s="435"/>
      <x:c r="M98" s="435"/>
    </x:row>
    <x:row r="99" spans="1:20" ht="15" customHeight="1" x14ac:dyDescent="0.3">
      <x:c r="A99" s="499"/>
      <x:c r="G99" s="435"/>
      <x:c r="J99" s="435"/>
      <x:c r="M99" s="435"/>
    </x:row>
    <x:row r="100" spans="1:20" ht="15" customHeight="1" x14ac:dyDescent="0.25">
      <x:c r="A100" s="436" t="s">
        <x:v>0</x:v>
      </x:c>
      <x:c r="B100" s="436"/>
      <x:c r="C100" s="436"/>
      <x:c r="D100" s="436"/>
      <x:c r="E100" s="436"/>
      <x:c r="F100" s="436"/>
      <x:c r="G100" s="437"/>
      <x:c r="H100" s="438"/>
      <x:c r="I100" s="654"/>
      <x:c r="J100" s="440"/>
      <x:c r="K100" s="441"/>
      <x:c r="L100" s="442"/>
      <x:c r="M100" s="443"/>
    </x:row>
    <x:row r="101" spans="1:20" ht="15" customHeight="1" x14ac:dyDescent="0.25">
      <x:c r="A101" s="436" t="s">
        <x:v>1</x:v>
      </x:c>
      <x:c r="B101" s="436"/>
      <x:c r="C101" s="436"/>
      <x:c r="D101" s="436"/>
      <x:c r="E101" s="436"/>
      <x:c r="F101" s="436"/>
      <x:c r="G101" s="437"/>
      <x:c r="H101" s="438"/>
      <x:c r="I101" s="654"/>
      <x:c r="J101" s="441"/>
      <x:c r="K101" s="441"/>
      <x:c r="L101" s="442"/>
      <x:c r="M101" s="443"/>
    </x:row>
    <x:row r="102" spans="1:20" ht="15" customHeight="1" x14ac:dyDescent="0.25">
      <x:c r="A102" s="436"/>
      <x:c r="B102" s="436" t="s">
        <x:v>1629</x:v>
      </x:c>
      <x:c r="C102" s="436"/>
      <x:c r="D102" s="445"/>
      <x:c r="E102" s="436"/>
      <x:c r="F102" s="436"/>
      <x:c r="G102" s="437"/>
      <x:c r="H102" s="438"/>
      <x:c r="I102" s="654"/>
      <x:c r="J102" s="441"/>
      <x:c r="K102" s="441"/>
      <x:c r="L102" s="442"/>
      <x:c r="M102" s="443"/>
    </x:row>
    <x:row r="103" spans="1:20" ht="15" customHeight="1" x14ac:dyDescent="0.3">
      <x:c r="A103" s="436"/>
      <x:c r="B103" s="436" t="s">
        <x:v>1181</x:v>
      </x:c>
      <x:c r="C103" s="436"/>
      <x:c r="D103" s="445"/>
      <x:c r="E103" s="436"/>
      <x:c r="F103" s="436"/>
      <x:c r="G103" s="443"/>
      <x:c r="H103" s="437"/>
      <x:c r="I103" s="655"/>
      <x:c r="J103" s="441"/>
      <x:c r="K103" s="441"/>
      <x:c r="L103" s="442"/>
      <x:c r="M103" s="443"/>
    </x:row>
    <x:row r="104" spans="1:20" ht="15" customHeight="1" x14ac:dyDescent="0.25">
      <x:c r="A104" s="447" t="s">
        <x:v>4</x:v>
      </x:c>
      <x:c r="B104" s="609"/>
      <x:c r="C104" s="441"/>
      <x:c r="D104" s="439"/>
      <x:c r="E104" s="441"/>
      <x:c r="F104" s="441"/>
      <x:c r="G104" s="448" t="s">
        <x:v>5</x:v>
      </x:c>
      <x:c r="H104" s="441"/>
      <x:c r="I104" s="654"/>
      <x:c r="J104" s="449" t="s">
        <x:v>6</x:v>
      </x:c>
      <x:c r="K104" s="450" t="s">
        <x:v>7</x:v>
      </x:c>
      <x:c r="L104" s="451" t="s">
        <x:v>8</x:v>
      </x:c>
      <x:c r="M104" s="449" t="s">
        <x:v>9</x:v>
      </x:c>
      <x:c r="O104" s="435"/>
    </x:row>
    <x:row r="105" spans="1:20" ht="15" customHeight="1" x14ac:dyDescent="0.3">
      <x:c r="A105" s="452" t="s">
        <x:v>10</x:v>
      </x:c>
      <x:c r="B105" s="452" t="s">
        <x:v>11</x:v>
      </x:c>
      <x:c r="C105" s="452" t="s">
        <x:v>12</x:v>
      </x:c>
      <x:c r="D105" s="453" t="s">
        <x:v>13</x:v>
      </x:c>
      <x:c r="E105" s="452" t="s">
        <x:v>14</x:v>
      </x:c>
      <x:c r="F105" s="454" t="s">
        <x:v>15</x:v>
      </x:c>
      <x:c r="G105" s="455" t="s">
        <x:v>16</x:v>
      </x:c>
      <x:c r="H105" s="456" t="s">
        <x:v>17</x:v>
      </x:c>
      <x:c r="I105" s="656" t="s">
        <x:v>18</x:v>
      </x:c>
      <x:c r="J105" s="458" t="s">
        <x:v>19</x:v>
      </x:c>
      <x:c r="K105" s="459"/>
      <x:c r="L105" s="460" t="s">
        <x:v>20</x:v>
      </x:c>
      <x:c r="M105" s="458" t="s">
        <x:v>21</x:v>
      </x:c>
      <x:c r="O105" s="435"/>
    </x:row>
    <x:row r="106" spans="1:20" ht="15" customHeight="1" x14ac:dyDescent="0.3">
      <x:c r="A106" s="664" t="s">
        <x:v>1500</x:v>
      </x:c>
      <x:c r="B106" s="670" t="s">
        <x:v>806</x:v>
      </x:c>
      <x:c r="C106" s="644" t="s">
        <x:v>1714</x:v>
      </x:c>
      <x:c r="D106" s="666">
        <x:v>46146</x:v>
      </x:c>
      <x:c r="E106" s="665">
        <x:v>163.2</x:v>
      </x:c>
      <x:c r="F106" s="671">
        <x:v>0</x:v>
      </x:c>
      <x:c r="G106" s="665">
        <x:v>187.68</x:v>
      </x:c>
      <x:c r="H106" s="671">
        <x:v>24.48</x:v>
      </x:c>
      <x:c r="I106" s="672">
        <x:v>46146</x:v>
      </x:c>
      <x:c r="J106" s="433">
        <x:f>E106-F106</x:f>
      </x:c>
      <x:c r="K106" s="468">
        <x:f>+I106-D106</x:f>
      </x:c>
      <x:c r="L106" s="469">
        <x:v>0.04</x:v>
      </x:c>
      <x:c r="M106" s="433">
        <x:f>+J106*L106</x:f>
      </x:c>
      <x:c r="O106" s="432"/>
    </x:row>
    <x:row r="107" spans="1:20" ht="15" customHeight="1" x14ac:dyDescent="0.3">
      <x:c r="A107" s="664" t="s">
        <x:v>1318</x:v>
      </x:c>
      <x:c r="B107" s="670" t="s">
        <x:v>288</x:v>
      </x:c>
      <x:c r="C107" s="644" t="s">
        <x:v>1715</x:v>
      </x:c>
      <x:c r="D107" s="666">
        <x:v>46146</x:v>
      </x:c>
      <x:c r="E107" s="665">
        <x:v>192.72</x:v>
      </x:c>
      <x:c r="F107" s="671">
        <x:v>25.05</x:v>
      </x:c>
      <x:c r="G107" s="665">
        <x:v>50</x:v>
      </x:c>
      <x:c r="H107" s="671">
        <x:v>25.15</x:v>
      </x:c>
      <x:c r="I107" s="672">
        <x:v>46168</x:v>
      </x:c>
      <x:c r="J107" s="433">
        <x:f>50/1.15</x:f>
      </x:c>
      <x:c r="K107" s="468">
        <x:f>+I107-D107</x:f>
      </x:c>
      <x:c r="L107" s="469">
        <x:v>0.035</x:v>
      </x:c>
      <x:c r="M107" s="433">
        <x:f>+J107*L107</x:f>
      </x:c>
      <x:c r="O107" s="432"/>
    </x:row>
    <x:row r="108" spans="1:20" ht="15" customHeight="1" x14ac:dyDescent="0.3">
      <x:c r="A108" s="664" t="s">
        <x:v>1318</x:v>
      </x:c>
      <x:c r="B108" s="670" t="s">
        <x:v>288</x:v>
      </x:c>
      <x:c r="C108" s="644" t="s">
        <x:v>1715</x:v>
      </x:c>
      <x:c r="D108" s="666">
        <x:v>46146</x:v>
      </x:c>
      <x:c r="E108" s="665">
        <x:v>192.72</x:v>
      </x:c>
      <x:c r="F108" s="671">
        <x:v>25.05</x:v>
      </x:c>
      <x:c r="G108" s="665">
        <x:v>50</x:v>
      </x:c>
      <x:c r="H108" s="671">
        <x:v>25.15</x:v>
      </x:c>
      <x:c r="I108" s="672">
        <x:v>46162</x:v>
      </x:c>
      <x:c r="J108" s="433">
        <x:f>50/1.15</x:f>
      </x:c>
      <x:c r="K108" s="468">
        <x:f>+I108-D108</x:f>
      </x:c>
      <x:c r="L108" s="469">
        <x:v>0.035</x:v>
      </x:c>
      <x:c r="M108" s="433">
        <x:f>+J108*L108</x:f>
      </x:c>
      <x:c r="O108" s="432"/>
    </x:row>
    <x:row r="109" spans="1:20" ht="15" customHeight="1" x14ac:dyDescent="0.3">
      <x:c r="A109" s="664" t="s">
        <x:v>1253</x:v>
      </x:c>
      <x:c r="B109" s="670" t="s">
        <x:v>1254</x:v>
      </x:c>
      <x:c r="C109" s="644" t="s">
        <x:v>1716</x:v>
      </x:c>
      <x:c r="D109" s="666">
        <x:v>46154</x:v>
      </x:c>
      <x:c r="E109" s="665">
        <x:v>538.2</x:v>
      </x:c>
      <x:c r="F109" s="671">
        <x:v>107.64</x:v>
      </x:c>
      <x:c r="G109" s="665">
        <x:v>495.14</x:v>
      </x:c>
      <x:c r="H109" s="671">
        <x:v>64.58</x:v>
      </x:c>
      <x:c r="I109" s="672">
        <x:v>46155</x:v>
      </x:c>
      <x:c r="J109" s="433">
        <x:f>E109-F109</x:f>
      </x:c>
      <x:c r="K109" s="468">
        <x:f>+I109-D109</x:f>
      </x:c>
      <x:c r="L109" s="469">
        <x:v>0.04</x:v>
      </x:c>
      <x:c r="M109" s="433">
        <x:f>+J109*L109</x:f>
      </x:c>
      <x:c r="O109" s="432"/>
    </x:row>
    <x:row r="110" spans="1:20" ht="15" customHeight="1" x14ac:dyDescent="0.3">
      <x:c r="A110" s="664" t="s">
        <x:v>1717</x:v>
      </x:c>
      <x:c r="B110" s="670" t="s">
        <x:v>26</x:v>
      </x:c>
      <x:c r="C110" s="644" t="s">
        <x:v>1718</x:v>
      </x:c>
      <x:c r="D110" s="666">
        <x:v>46157</x:v>
      </x:c>
      <x:c r="E110" s="665">
        <x:v>254.16</x:v>
      </x:c>
      <x:c r="F110" s="671">
        <x:v>38.12</x:v>
      </x:c>
      <x:c r="G110" s="665">
        <x:v>248.45</x:v>
      </x:c>
      <x:c r="H110" s="671">
        <x:v>32.41</x:v>
      </x:c>
      <x:c r="I110" s="672">
        <x:v>46160</x:v>
      </x:c>
      <x:c r="J110" s="433">
        <x:f>E110-F110</x:f>
      </x:c>
      <x:c r="K110" s="468">
        <x:f>+I110-D110</x:f>
      </x:c>
      <x:c r="L110" s="469">
        <x:v>0.035</x:v>
      </x:c>
      <x:c r="M110" s="433">
        <x:f>+J110*L110</x:f>
      </x:c>
      <x:c r="O110" s="432"/>
    </x:row>
    <x:row r="111" spans="1:20" ht="15" customHeight="1" x14ac:dyDescent="0.25">
      <x:c r="A111" s="606"/>
      <x:c r="B111" s="573"/>
      <x:c r="C111" s="606"/>
      <x:c r="D111" s="607"/>
      <x:c r="E111" s="569"/>
      <x:c r="F111" s="569"/>
      <x:c r="G111" s="466"/>
      <x:c r="H111" s="569"/>
      <x:c r="I111" s="652"/>
      <x:c r="J111" s="433"/>
      <x:c r="K111" s="468"/>
      <x:c r="L111" s="469"/>
      <x:c r="M111" s="433"/>
    </x:row>
    <x:row r="112" spans="1:20" ht="15" customHeight="1" x14ac:dyDescent="0.3">
      <x:c r="A112" s="471"/>
      <x:c r="B112" s="472"/>
      <x:c r="C112" s="472"/>
      <x:c r="D112" s="473"/>
      <x:c r="E112" s="474"/>
      <x:c r="F112" s="474"/>
      <x:c r="G112" s="475"/>
      <x:c r="H112" s="476"/>
      <x:c r="I112" s="657"/>
      <x:c r="J112" s="433"/>
      <x:c r="K112" s="468"/>
      <x:c r="L112" s="469"/>
      <x:c r="M112" s="433"/>
    </x:row>
    <x:row r="113" spans="1:20" ht="15" customHeight="1" x14ac:dyDescent="0.25">
      <x:c r="A113" s="478"/>
      <x:c r="B113" s="478"/>
      <x:c r="C113" s="478"/>
      <x:c r="D113" s="478"/>
      <x:c r="E113" s="478"/>
      <x:c r="F113" s="478"/>
      <x:c r="G113" s="479">
        <x:f>SUM(G106:G112)</x:f>
      </x:c>
      <x:c r="H113" s="480"/>
      <x:c r="I113" s="658"/>
      <x:c r="J113" s="479">
        <x:f>SUM(J106:J112)</x:f>
      </x:c>
      <x:c r="K113" s="482"/>
      <x:c r="L113" s="482"/>
      <x:c r="M113" s="479">
        <x:f>SUM(M106:M112)</x:f>
      </x:c>
    </x:row>
    <x:row r="114" spans="1:20" ht="15" customHeight="1" x14ac:dyDescent="0.25">
      <x:c r="A114" s="483"/>
      <x:c r="B114" s="483"/>
      <x:c r="C114" s="483"/>
      <x:c r="D114" s="484"/>
      <x:c r="E114" s="483"/>
      <x:c r="F114" s="483"/>
      <x:c r="G114" s="432"/>
      <x:c r="H114" s="434"/>
      <x:c r="I114" s="659"/>
      <x:c r="J114" s="434"/>
      <x:c r="K114" s="434"/>
      <x:c r="L114" s="434"/>
      <x:c r="M114" s="434"/>
    </x:row>
    <x:row r="115" spans="1:20" x14ac:dyDescent="0.25">
      <x:c r="A115" s="483"/>
      <x:c r="B115" s="483"/>
      <x:c r="C115" s="483"/>
      <x:c r="D115" s="484"/>
      <x:c r="E115" s="483"/>
      <x:c r="F115" s="483"/>
      <x:c r="G115" s="432"/>
      <x:c r="H115" s="434"/>
      <x:c r="I115" s="659"/>
      <x:c r="J115" s="432"/>
      <x:c r="K115" s="434"/>
      <x:c r="L115" s="434"/>
      <x:c r="M115" s="432"/>
    </x:row>
    <x:row r="116" spans="1:20" x14ac:dyDescent="0.25">
      <x:c r="A116" s="434" t="s">
        <x:v>30</x:v>
      </x:c>
      <x:c r="B116" s="483" t="s">
        <x:v>31</x:v>
      </x:c>
      <x:c r="C116" s="483" t="s">
        <x:v>32</x:v>
      </x:c>
      <x:c r="D116" s="485"/>
      <x:c r="E116" s="434"/>
      <x:c r="F116" s="434"/>
      <x:c r="G116" s="432"/>
      <x:c r="H116" s="434"/>
      <x:c r="I116" s="659"/>
      <x:c r="J116" s="434"/>
      <x:c r="K116" s="434"/>
      <x:c r="L116" s="434"/>
      <x:c r="M116" s="434"/>
    </x:row>
    <x:row r="117" spans="1:20" ht="14.4" customHeight="1" s="434" customFormat="1" x14ac:dyDescent="0.3">
      <x:c r="A117" s="664" t="s">
        <x:v>1719</x:v>
      </x:c>
      <x:c r="B117" s="551" t="s">
        <x:v>1720</x:v>
      </x:c>
      <x:c r="C117" s="644" t="s">
        <x:v>1721</x:v>
      </x:c>
      <x:c r="D117" s="666">
        <x:v>46128</x:v>
      </x:c>
      <x:c r="E117" s="665">
        <x:v>855.36</x:v>
      </x:c>
      <x:c r="F117" s="671">
        <x:v>171.07</x:v>
      </x:c>
      <x:c r="G117" s="665">
        <x:v>393.47</x:v>
      </x:c>
      <x:c r="H117" s="671">
        <x:v>102.64</x:v>
      </x:c>
      <x:c r="I117" s="672">
        <x:v>46211</x:v>
      </x:c>
      <x:c r="J117" s="433">
        <x:f>393.47/1.15</x:f>
      </x:c>
      <x:c r="K117" s="468">
        <x:f>+I117-D117</x:f>
      </x:c>
      <x:c r="L117" s="469">
        <x:v>0.03</x:v>
      </x:c>
      <x:c r="M117" s="433">
        <x:f>+J117*L117</x:f>
      </x:c>
      <x:c r="N117" s="470"/>
      <x:c r="O117" s="432"/>
    </x:row>
    <x:row r="118" spans="1:20" ht="15.6" customHeight="1" x14ac:dyDescent="0.3">
      <x:c r="A118" s="486"/>
      <x:c r="B118" s="462"/>
      <x:c r="C118" s="488"/>
      <x:c r="D118" s="489"/>
      <x:c r="E118" s="490"/>
      <x:c r="F118" s="490"/>
      <x:c r="G118" s="491"/>
      <x:c r="H118" s="490"/>
      <x:c r="I118" s="653"/>
      <x:c r="J118" s="433"/>
      <x:c r="K118" s="468"/>
      <x:c r="L118" s="469"/>
      <x:c r="M118" s="433"/>
    </x:row>
    <x:row r="119" spans="1:20" ht="16.2" customHeight="1" x14ac:dyDescent="0.35">
      <x:c r="A119" s="493" t="s">
        <x:v>43</x:v>
      </x:c>
      <x:c r="B119" s="493"/>
      <x:c r="C119" s="493"/>
      <x:c r="D119" s="493"/>
      <x:c r="E119" s="493"/>
      <x:c r="F119" s="493"/>
      <x:c r="G119" s="494">
        <x:f>SUM(G113:G118)</x:f>
      </x:c>
      <x:c r="I119" s="660"/>
      <x:c r="J119" s="494">
        <x:f>SUM(J113:J118)</x:f>
      </x:c>
      <x:c r="L119" s="495"/>
      <x:c r="M119" s="496">
        <x:f>SUM(M113:M118)</x:f>
      </x:c>
    </x:row>
    <x:row r="120" spans="1:20" x14ac:dyDescent="0.25">
      <x:c r="A120" s="497"/>
      <x:c r="E120" s="497"/>
      <x:c r="F120" s="497"/>
      <x:c r="G120" s="435"/>
      <x:c r="I120" s="660"/>
    </x:row>
    <x:row r="121" spans="1:20">
      <x:c r="B121" s="497"/>
      <x:c r="C121" s="497"/>
      <x:c r="D121" s="498"/>
      <x:c r="I121" s="640"/>
      <x:c r="N121" s="431"/>
    </x:row>
    <x:row r="122" spans="1:20" x14ac:dyDescent="0.25">
      <x:c r="J122" s="435"/>
    </x:row>
    <x:row r="123" spans="1:20" x14ac:dyDescent="0.25">
      <x:c r="J123" s="435"/>
    </x:row>
    <x:row r="124" spans="1:20" x14ac:dyDescent="0.25">
      <x:c r="J124" s="435">
        <x:f>(J93+J119)*2%</x:f>
      </x:c>
      <x:c r="M124" s="435">
        <x:f>M119/12</x:f>
      </x:c>
      <x:c r="N124" s="431" t="s">
        <x:v>1199</x:v>
      </x:c>
    </x:row>
    <x:row r="125" spans="1:20" x14ac:dyDescent="0.25">
      <x:c r="J125" s="435">
        <x:f>J124/12</x:f>
      </x:c>
      <x:c r="K125" s="429" t="s">
        <x:v>655</x:v>
      </x:c>
      <x:c r="M125" s="435">
        <x:f>M119/24</x:f>
      </x:c>
      <x:c r="N125" s="431" t="s">
        <x:v>1199</x:v>
      </x:c>
    </x:row>
    <x:row r="126" spans="1:20" x14ac:dyDescent="0.25">
      <x:c r="J126" s="435">
        <x:f>J124/24</x:f>
      </x:c>
      <x:c r="K126" s="429" t="s">
        <x:v>655</x:v>
      </x:c>
    </x:row>
  </x:sheetData>
  <x:sortState xmlns:xlrd2="http://schemas.microsoft.com/office/spreadsheetml/2017/richdata2" ref="A67:T90">
    <x:sortCondition ref="I67:I90"/>
  </x:sortState>
  <x:mergeCells count="2">
    <x:mergeCell ref="A3:F3"/>
    <x:mergeCell ref="A93:F9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22F3198-53C6-4AB3-BAB5-93FFBCFFF717}" mc:Ignorable="x14ac xr xr2 xr3">
  <x:sheetPr>
    <x:outlinePr summaryBelow="1" summaryRight="1"/>
  </x:sheetPr>
  <x:dimension ref="A1:T94"/>
  <x:sheetViews>
    <x:sheetView topLeftCell="A33" workbookViewId="0">
      <x:selection activeCell="F27" sqref="F27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332031" style="498" customWidth="1"/>
    <x:col min="5" max="5" width="11.664062" style="429" customWidth="1"/>
    <x:col min="6" max="6" width="9.886719" style="429" customWidth="1"/>
    <x:col min="7" max="7" width="11.886719" style="429" customWidth="1"/>
    <x:col min="8" max="8" width="9.886719" style="429" customWidth="1"/>
    <x:col min="9" max="9" width="10.664062" style="498" customWidth="1"/>
    <x:col min="10" max="10" width="13.554688" style="429" customWidth="1"/>
    <x:col min="11" max="11" width="7.332031" style="429" customWidth="1"/>
    <x:col min="12" max="12" width="6.441406" style="429" customWidth="1"/>
    <x:col min="13" max="13" width="10.109375" style="429" customWidth="1"/>
    <x:col min="14" max="14" width="9.664062" style="431" customWidth="1"/>
    <x:col min="15" max="15" width="12.441406" style="429" customWidth="1"/>
    <x:col min="16" max="16" width="8" style="429" customWidth="1"/>
    <x:col min="17" max="16384" width="11.441406" style="429" customWidth="1"/>
  </x:cols>
  <x:sheetData>
    <x:row r="1" spans="1:20" ht="15" customHeight="1" x14ac:dyDescent="0.25">
      <x:c r="B1" s="608"/>
      <x:c r="C1" s="608"/>
      <x:c r="G1" s="435"/>
    </x:row>
    <x:row r="2" spans="1:20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2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20" ht="15" customHeight="1" x14ac:dyDescent="0.25">
      <x:c r="A4" s="436"/>
      <x:c r="B4" s="436" t="s">
        <x:v>1722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20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20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20" ht="15" customHeight="1" x14ac:dyDescent="0.25">
      <x:c r="A7" s="452" t="s">
        <x:v>10</x:v>
      </x:c>
      <x:c r="B7" s="452" t="s">
        <x:v>11</x:v>
      </x:c>
      <x:c r="C7" s="452" t="s">
        <x:v>12</x:v>
      </x:c>
      <x:c r="D7" s="453" t="s">
        <x:v>13</x:v>
      </x:c>
      <x:c r="E7" s="452" t="s">
        <x:v>14</x:v>
      </x:c>
      <x:c r="F7" s="454" t="s">
        <x:v>15</x:v>
      </x:c>
      <x:c r="G7" s="501" t="s">
        <x:v>16</x:v>
      </x:c>
      <x:c r="H7" s="456" t="s">
        <x:v>17</x:v>
      </x:c>
      <x:c r="I7" s="625" t="s">
        <x:v>18</x:v>
      </x:c>
      <x:c r="J7" s="458" t="s">
        <x:v>19</x:v>
      </x:c>
      <x:c r="K7" s="459"/>
      <x:c r="L7" s="460" t="s">
        <x:v>20</x:v>
      </x:c>
      <x:c r="M7" s="458" t="s">
        <x:v>21</x:v>
      </x:c>
    </x:row>
    <x:row r="8" spans="1:20" ht="15" customHeight="1" x14ac:dyDescent="0.3">
      <x:c r="A8" s="664" t="s">
        <x:v>167</x:v>
      </x:c>
      <x:c r="B8" s="670" t="s">
        <x:v>26</x:v>
      </x:c>
      <x:c r="C8" s="644" t="s">
        <x:v>1678</x:v>
      </x:c>
      <x:c r="D8" s="685">
        <x:v>46171</x:v>
      </x:c>
      <x:c r="E8" s="671">
        <x:v>1212.12</x:v>
      </x:c>
      <x:c r="F8" s="671">
        <x:v>303.03</x:v>
      </x:c>
      <x:c r="G8" s="665">
        <x:v>300</x:v>
      </x:c>
      <x:c r="H8" s="671">
        <x:v>136.36</x:v>
      </x:c>
      <x:c r="I8" s="666">
        <x:v>46174</x:v>
      </x:c>
      <x:c r="J8" s="433">
        <x:f>300/1.15</x:f>
      </x:c>
      <x:c r="K8" s="468">
        <x:f>+I8-D8</x:f>
      </x:c>
      <x:c r="L8" s="503">
        <x:v>0.035</x:v>
      </x:c>
      <x:c r="M8" s="504">
        <x:f>+J8*L8</x:f>
      </x:c>
      <x:c r="O8" s="432"/>
    </x:row>
    <x:row r="9" spans="1:20" ht="15" customHeight="1" x14ac:dyDescent="0.3">
      <x:c r="A9" s="664" t="s">
        <x:v>1037</x:v>
      </x:c>
      <x:c r="B9" s="552" t="s">
        <x:v>320</x:v>
      </x:c>
      <x:c r="C9" s="644" t="s">
        <x:v>1696</x:v>
      </x:c>
      <x:c r="D9" s="685">
        <x:v>46062</x:v>
      </x:c>
      <x:c r="E9" s="671">
        <x:v>3660.56</x:v>
      </x:c>
      <x:c r="F9" s="671">
        <x:v>549.08</x:v>
      </x:c>
      <x:c r="G9" s="665">
        <x:v>1415.19</x:v>
      </x:c>
      <x:c r="H9" s="671">
        <x:v>466.72</x:v>
      </x:c>
      <x:c r="I9" s="666">
        <x:v>46174</x:v>
      </x:c>
      <x:c r="J9" s="433">
        <x:f>1415.19/1.15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20" ht="15" customHeight="1" x14ac:dyDescent="0.3">
      <x:c r="A10" s="664" t="s">
        <x:v>335</x:v>
      </x:c>
      <x:c r="B10" s="552" t="s">
        <x:v>336</x:v>
      </x:c>
      <x:c r="C10" s="644" t="s">
        <x:v>1723</x:v>
      </x:c>
      <x:c r="D10" s="685">
        <x:v>46175</x:v>
      </x:c>
      <x:c r="E10" s="671">
        <x:v>-63</x:v>
      </x:c>
      <x:c r="F10" s="671">
        <x:v>-10.71</x:v>
      </x:c>
      <x:c r="G10" s="665">
        <x:v>60.13</x:v>
      </x:c>
      <x:c r="H10" s="671">
        <x:v>-7.84</x:v>
      </x:c>
      <x:c r="I10" s="666">
        <x:v>46175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20" ht="15" customHeight="1" x14ac:dyDescent="0.3">
      <x:c r="A11" s="664" t="s">
        <x:v>1466</x:v>
      </x:c>
      <x:c r="B11" s="670" t="s">
        <x:v>110</x:v>
      </x:c>
      <x:c r="C11" s="644" t="s">
        <x:v>1724</x:v>
      </x:c>
      <x:c r="D11" s="685">
        <x:v>46136</x:v>
      </x:c>
      <x:c r="E11" s="671">
        <x:v>515.88</x:v>
      </x:c>
      <x:c r="F11" s="671">
        <x:v>77.38</x:v>
      </x:c>
      <x:c r="G11" s="665">
        <x:v>504.27</x:v>
      </x:c>
      <x:c r="H11" s="671">
        <x:v>65.77</x:v>
      </x:c>
      <x:c r="I11" s="666">
        <x:v>46175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20" ht="15" customHeight="1" x14ac:dyDescent="0.3">
      <x:c r="A12" s="664" t="s">
        <x:v>118</x:v>
      </x:c>
      <x:c r="B12" s="670" t="s">
        <x:v>26</x:v>
      </x:c>
      <x:c r="C12" s="644" t="s">
        <x:v>1725</x:v>
      </x:c>
      <x:c r="D12" s="685">
        <x:v>46135</x:v>
      </x:c>
      <x:c r="E12" s="671">
        <x:v>1884.96</x:v>
      </x:c>
      <x:c r="F12" s="671">
        <x:v>471.24</x:v>
      </x:c>
      <x:c r="G12" s="665">
        <x:v>1536.75</x:v>
      </x:c>
      <x:c r="H12" s="671">
        <x:v>212.06</x:v>
      </x:c>
      <x:c r="I12" s="666">
        <x:v>46176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20" ht="15" customHeight="1" x14ac:dyDescent="0.3">
      <x:c r="A13" s="664" t="s">
        <x:v>267</x:v>
      </x:c>
      <x:c r="B13" s="670" t="s">
        <x:v>26</x:v>
      </x:c>
      <x:c r="C13" s="644" t="s">
        <x:v>1726</x:v>
      </x:c>
      <x:c r="D13" s="685">
        <x:v>46176</x:v>
      </x:c>
      <x:c r="E13" s="671">
        <x:v>61.2</x:v>
      </x:c>
      <x:c r="F13" s="671">
        <x:v>9.18</x:v>
      </x:c>
      <x:c r="G13" s="665">
        <x:v>55.94</x:v>
      </x:c>
      <x:c r="H13" s="671">
        <x:v>7.8</x:v>
      </x:c>
      <x:c r="I13" s="666">
        <x:v>46177</x:v>
      </x:c>
      <x:c r="J13" s="433">
        <x:f>+E13-F13</x:f>
      </x:c>
      <x:c r="K13" s="468">
        <x:f>+I13-D13</x:f>
      </x:c>
      <x:c r="L13" s="503">
        <x:v>0.035</x:v>
      </x:c>
      <x:c r="M13" s="504">
        <x:f>+J13*L13</x:f>
      </x:c>
      <x:c r="O13" s="432"/>
      <x:c r="S13" s="515"/>
      <x:c r="T13" s="435"/>
    </x:row>
    <x:row r="14" spans="1:20" ht="15" customHeight="1" x14ac:dyDescent="0.3">
      <x:c r="A14" s="664" t="s">
        <x:v>101</x:v>
      </x:c>
      <x:c r="B14" s="552" t="s">
        <x:v>26</x:v>
      </x:c>
      <x:c r="C14" s="644" t="s">
        <x:v>1727</x:v>
      </x:c>
      <x:c r="D14" s="685">
        <x:v>46175</x:v>
      </x:c>
      <x:c r="E14" s="671">
        <x:v>17.4</x:v>
      </x:c>
      <x:c r="F14" s="671">
        <x:v>2.61</x:v>
      </x:c>
      <x:c r="G14" s="665">
        <x:v>16.04</x:v>
      </x:c>
      <x:c r="H14" s="671">
        <x:v>2.22</x:v>
      </x:c>
      <x:c r="I14" s="666">
        <x:v>46177</x:v>
      </x:c>
      <x:c r="J14" s="433">
        <x:f>+E14-F14</x:f>
      </x:c>
      <x:c r="K14" s="468">
        <x:f>+I14-D14</x:f>
      </x:c>
      <x:c r="L14" s="503">
        <x:v>0.035</x:v>
      </x:c>
      <x:c r="M14" s="504">
        <x:f>+J14*L14</x:f>
      </x:c>
      <x:c r="O14" s="432"/>
      <x:c r="S14" s="515"/>
    </x:row>
    <x:row r="15" spans="1:20" ht="15" customHeight="1" x14ac:dyDescent="0.3">
      <x:c r="A15" s="664" t="s">
        <x:v>167</x:v>
      </x:c>
      <x:c r="B15" s="670" t="s">
        <x:v>26</x:v>
      </x:c>
      <x:c r="C15" s="644" t="s">
        <x:v>1678</x:v>
      </x:c>
      <x:c r="D15" s="685">
        <x:v>46171</x:v>
      </x:c>
      <x:c r="E15" s="671">
        <x:v>1212.12</x:v>
      </x:c>
      <x:c r="F15" s="671">
        <x:v>303.03</x:v>
      </x:c>
      <x:c r="G15" s="665">
        <x:v>80</x:v>
      </x:c>
      <x:c r="H15" s="671">
        <x:v>136.36</x:v>
      </x:c>
      <x:c r="I15" s="666">
        <x:v>46177</x:v>
      </x:c>
      <x:c r="J15" s="433">
        <x:f>80/1.15</x:f>
      </x:c>
      <x:c r="K15" s="468">
        <x:f>+I15-D15</x:f>
      </x:c>
      <x:c r="L15" s="503">
        <x:v>0.035</x:v>
      </x:c>
      <x:c r="M15" s="504">
        <x:f>+J15*L15</x:f>
      </x:c>
      <x:c r="O15" s="432"/>
    </x:row>
    <x:row r="16" spans="1:20" ht="15" customHeight="1" x14ac:dyDescent="0.3">
      <x:c r="A16" s="664" t="s">
        <x:v>154</x:v>
      </x:c>
      <x:c r="B16" s="670" t="s">
        <x:v>155</x:v>
      </x:c>
      <x:c r="C16" s="644" t="s">
        <x:v>1728</x:v>
      </x:c>
      <x:c r="D16" s="685">
        <x:v>46169</x:v>
      </x:c>
      <x:c r="E16" s="671">
        <x:v>142.08</x:v>
      </x:c>
      <x:c r="F16" s="671">
        <x:v>21.31</x:v>
      </x:c>
      <x:c r="G16" s="665">
        <x:v>138.89</x:v>
      </x:c>
      <x:c r="H16" s="671">
        <x:v>18.12</x:v>
      </x:c>
      <x:c r="I16" s="666">
        <x:v>46177</x:v>
      </x:c>
      <x:c r="J16" s="433">
        <x:f>+E16-F16</x:f>
      </x:c>
      <x:c r="K16" s="468">
        <x:f>+I16-D16</x:f>
      </x:c>
      <x:c r="L16" s="503">
        <x:v>0.035</x:v>
      </x:c>
      <x:c r="M16" s="504">
        <x:f>+J16*L16</x:f>
      </x:c>
      <x:c r="O16" s="432"/>
    </x:row>
    <x:row r="17" spans="1:20" ht="15" customHeight="1" x14ac:dyDescent="0.3">
      <x:c r="A17" s="664" t="s">
        <x:v>335</x:v>
      </x:c>
      <x:c r="B17" s="552" t="s">
        <x:v>336</x:v>
      </x:c>
      <x:c r="C17" s="644" t="s">
        <x:v>1723</x:v>
      </x:c>
      <x:c r="D17" s="685">
        <x:v>46140</x:v>
      </x:c>
      <x:c r="E17" s="671">
        <x:v>1127.64</x:v>
      </x:c>
      <x:c r="F17" s="671">
        <x:v>191.7</x:v>
      </x:c>
      <x:c r="G17" s="665">
        <x:v>955.36</x:v>
      </x:c>
      <x:c r="H17" s="671">
        <x:v>140.39</x:v>
      </x:c>
      <x:c r="I17" s="666">
        <x:v>46178</x:v>
      </x:c>
      <x:c r="J17" s="433">
        <x:f>+E17-F17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20" ht="15" customHeight="1" x14ac:dyDescent="0.3">
      <x:c r="A18" s="664" t="s">
        <x:v>67</x:v>
      </x:c>
      <x:c r="B18" s="670" t="s">
        <x:v>26</x:v>
      </x:c>
      <x:c r="C18" s="644" t="s">
        <x:v>1729</x:v>
      </x:c>
      <x:c r="D18" s="685">
        <x:v>46129</x:v>
      </x:c>
      <x:c r="E18" s="671">
        <x:v>295.8</x:v>
      </x:c>
      <x:c r="F18" s="671">
        <x:v>59.16</x:v>
      </x:c>
      <x:c r="G18" s="665">
        <x:v>272.14</x:v>
      </x:c>
      <x:c r="H18" s="671">
        <x:v>35.5</x:v>
      </x:c>
      <x:c r="I18" s="666">
        <x:v>46178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20" ht="15" customHeight="1" x14ac:dyDescent="0.3">
      <x:c r="A19" s="664" t="s">
        <x:v>114</x:v>
      </x:c>
      <x:c r="B19" s="681" t="s">
        <x:v>26</x:v>
      </x:c>
      <x:c r="C19" s="644" t="s">
        <x:v>1730</x:v>
      </x:c>
      <x:c r="D19" s="685">
        <x:v>46127</x:v>
      </x:c>
      <x:c r="E19" s="671">
        <x:v>357.48</x:v>
      </x:c>
      <x:c r="F19" s="671">
        <x:v>71.5</x:v>
      </x:c>
      <x:c r="G19" s="665">
        <x:v>310.29</x:v>
      </x:c>
      <x:c r="H19" s="671">
        <x:v>42.9</x:v>
      </x:c>
      <x:c r="I19" s="666">
        <x:v>46178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20" ht="15" customHeight="1" x14ac:dyDescent="0.3">
      <x:c r="A20" s="664" t="s">
        <x:v>1104</x:v>
      </x:c>
      <x:c r="B20" s="670" t="s">
        <x:v>333</x:v>
      </x:c>
      <x:c r="C20" s="644" t="s">
        <x:v>1731</x:v>
      </x:c>
      <x:c r="D20" s="685">
        <x:v>46160</x:v>
      </x:c>
      <x:c r="E20" s="671">
        <x:v>242.64</x:v>
      </x:c>
      <x:c r="F20" s="671">
        <x:v>36.4</x:v>
      </x:c>
      <x:c r="G20" s="665">
        <x:v>237.18</x:v>
      </x:c>
      <x:c r="H20" s="671">
        <x:v>30.94</x:v>
      </x:c>
      <x:c r="I20" s="666">
        <x:v>46181</x:v>
      </x:c>
      <x:c r="J20" s="433">
        <x:f>+E20-F20</x:f>
      </x:c>
      <x:c r="K20" s="468">
        <x:f>+I20-D20</x:f>
      </x:c>
      <x:c r="L20" s="503">
        <x:v>0.035</x:v>
      </x:c>
      <x:c r="M20" s="504">
        <x:f>+J20*L20</x:f>
      </x:c>
      <x:c r="O20" s="432"/>
    </x:row>
    <x:row r="21" spans="1:20" ht="15" customHeight="1" x14ac:dyDescent="0.3">
      <x:c r="A21" s="664" t="s">
        <x:v>25</x:v>
      </x:c>
      <x:c r="B21" s="670" t="s">
        <x:v>26</x:v>
      </x:c>
      <x:c r="C21" s="644" t="s">
        <x:v>1732</x:v>
      </x:c>
      <x:c r="D21" s="685">
        <x:v>46148</x:v>
      </x:c>
      <x:c r="E21" s="671">
        <x:v>816</x:v>
      </x:c>
      <x:c r="F21" s="671">
        <x:v>163.2</x:v>
      </x:c>
      <x:c r="G21" s="665">
        <x:v>708.28</x:v>
      </x:c>
      <x:c r="H21" s="671">
        <x:v>97.92</x:v>
      </x:c>
      <x:c r="I21" s="666">
        <x:v>46182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20" ht="15" customHeight="1" x14ac:dyDescent="0.3">
      <x:c r="A22" s="664" t="s">
        <x:v>25</x:v>
      </x:c>
      <x:c r="B22" s="681" t="s">
        <x:v>26</x:v>
      </x:c>
      <x:c r="C22" s="644" t="s">
        <x:v>1733</x:v>
      </x:c>
      <x:c r="D22" s="685">
        <x:v>46140</x:v>
      </x:c>
      <x:c r="E22" s="671">
        <x:v>102</x:v>
      </x:c>
      <x:c r="F22" s="671">
        <x:v>20.4</x:v>
      </x:c>
      <x:c r="G22" s="665">
        <x:v>88.54</x:v>
      </x:c>
      <x:c r="H22" s="671">
        <x:v>12.24</x:v>
      </x:c>
      <x:c r="I22" s="666">
        <x:v>46182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20" ht="15" customHeight="1" x14ac:dyDescent="0.3">
      <x:c r="A23" s="664" t="s">
        <x:v>25</x:v>
      </x:c>
      <x:c r="B23" s="670" t="s">
        <x:v>26</x:v>
      </x:c>
      <x:c r="C23" s="644" t="s">
        <x:v>1734</x:v>
      </x:c>
      <x:c r="D23" s="685">
        <x:v>46139</x:v>
      </x:c>
      <x:c r="E23" s="671">
        <x:v>510</x:v>
      </x:c>
      <x:c r="F23" s="671">
        <x:v>102</x:v>
      </x:c>
      <x:c r="G23" s="665">
        <x:v>442.68</x:v>
      </x:c>
      <x:c r="H23" s="671">
        <x:v>61.2</x:v>
      </x:c>
      <x:c r="I23" s="666">
        <x:v>46182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20" ht="15" customHeight="1" x14ac:dyDescent="0.3">
      <x:c r="A24" s="664" t="s">
        <x:v>711</x:v>
      </x:c>
      <x:c r="B24" s="670" t="s">
        <x:v>26</x:v>
      </x:c>
      <x:c r="C24" s="644" t="s">
        <x:v>1735</x:v>
      </x:c>
      <x:c r="D24" s="685">
        <x:v>46122</x:v>
      </x:c>
      <x:c r="E24" s="671">
        <x:v>157.92</x:v>
      </x:c>
      <x:c r="F24" s="671">
        <x:v>23.69</x:v>
      </x:c>
      <x:c r="G24" s="665">
        <x:v>154.36</x:v>
      </x:c>
      <x:c r="H24" s="671">
        <x:v>20.13</x:v>
      </x:c>
      <x:c r="I24" s="666">
        <x:v>46182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20" ht="15" customHeight="1" x14ac:dyDescent="0.3">
      <x:c r="A25" s="664" t="s">
        <x:v>1736</x:v>
      </x:c>
      <x:c r="B25" s="670" t="s">
        <x:v>401</x:v>
      </x:c>
      <x:c r="C25" s="644" t="s">
        <x:v>1737</x:v>
      </x:c>
      <x:c r="D25" s="685">
        <x:v>46183</x:v>
      </x:c>
      <x:c r="E25" s="671">
        <x:v>326.04</x:v>
      </x:c>
      <x:c r="F25" s="671">
        <x:v>48.91</x:v>
      </x:c>
      <x:c r="G25" s="665">
        <x:v>318.7</x:v>
      </x:c>
      <x:c r="H25" s="671">
        <x:v>41.57</x:v>
      </x:c>
      <x:c r="I25" s="666">
        <x:v>46183</x:v>
      </x:c>
      <x:c r="J25" s="433">
        <x:f>+E25-F25</x:f>
      </x:c>
      <x:c r="K25" s="468">
        <x:f>+I25-D25</x:f>
      </x:c>
      <x:c r="L25" s="503">
        <x:v>0.04</x:v>
      </x:c>
      <x:c r="M25" s="504">
        <x:f>+J25*L25</x:f>
      </x:c>
      <x:c r="O25" s="432"/>
    </x:row>
    <x:row r="26" spans="1:20" ht="15" customHeight="1" x14ac:dyDescent="0.3">
      <x:c r="A26" s="664" t="s">
        <x:v>1550</x:v>
      </x:c>
      <x:c r="B26" s="670" t="s">
        <x:v>26</x:v>
      </x:c>
      <x:c r="C26" s="644" t="s">
        <x:v>1738</x:v>
      </x:c>
      <x:c r="D26" s="685">
        <x:v>46183</x:v>
      </x:c>
      <x:c r="E26" s="671">
        <x:v>91.8</x:v>
      </x:c>
      <x:c r="F26" s="671">
        <x:v>13.77</x:v>
      </x:c>
      <x:c r="G26" s="665">
        <x:v>84.66</x:v>
      </x:c>
      <x:c r="H26" s="671">
        <x:v>11.7</x:v>
      </x:c>
      <x:c r="I26" s="666">
        <x:v>46183</x:v>
      </x:c>
      <x:c r="J26" s="433">
        <x:f>+E26-F26</x:f>
      </x:c>
      <x:c r="K26" s="468">
        <x:f>+I26-D26</x:f>
      </x:c>
      <x:c r="L26" s="503">
        <x:v>0.04</x:v>
      </x:c>
      <x:c r="M26" s="504">
        <x:f>+J26*L26</x:f>
      </x:c>
      <x:c r="O26" s="432"/>
    </x:row>
    <x:row r="27" spans="1:20" ht="15" customHeight="1" x14ac:dyDescent="0.3">
      <x:c r="A27" s="664" t="s">
        <x:v>343</x:v>
      </x:c>
      <x:c r="B27" s="670" t="s">
        <x:v>344</x:v>
      </x:c>
      <x:c r="C27" s="644" t="s">
        <x:v>1739</x:v>
      </x:c>
      <x:c r="D27" s="685">
        <x:v>46175</x:v>
      </x:c>
      <x:c r="E27" s="671">
        <x:v>73.92</x:v>
      </x:c>
      <x:c r="F27" s="671">
        <x:v>11.09</x:v>
      </x:c>
      <x:c r="G27" s="665">
        <x:v>72.25</x:v>
      </x:c>
      <x:c r="H27" s="671">
        <x:v>9.42</x:v>
      </x:c>
      <x:c r="I27" s="666">
        <x:v>46183</x:v>
      </x:c>
      <x:c r="J27" s="433">
        <x:f>+E27-F27</x:f>
      </x:c>
      <x:c r="K27" s="468">
        <x:f>+I27-D27</x:f>
      </x:c>
      <x:c r="L27" s="503">
        <x:v>0.035</x:v>
      </x:c>
      <x:c r="M27" s="504">
        <x:f>+J27*L27</x:f>
      </x:c>
      <x:c r="O27" s="432"/>
    </x:row>
    <x:row r="28" spans="1:20" ht="15" customHeight="1" x14ac:dyDescent="0.3">
      <x:c r="A28" s="664" t="s">
        <x:v>164</x:v>
      </x:c>
      <x:c r="B28" s="670" t="s">
        <x:v>26</x:v>
      </x:c>
      <x:c r="C28" s="644" t="s">
        <x:v>1740</x:v>
      </x:c>
      <x:c r="D28" s="685">
        <x:v>46150</x:v>
      </x:c>
      <x:c r="E28" s="671">
        <x:v>118.8</x:v>
      </x:c>
      <x:c r="F28" s="671">
        <x:v>17.82</x:v>
      </x:c>
      <x:c r="G28" s="665">
        <x:v>116.13</x:v>
      </x:c>
      <x:c r="H28" s="671">
        <x:v>15.15</x:v>
      </x:c>
      <x:c r="I28" s="666">
        <x:v>46183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20" ht="15" customHeight="1" x14ac:dyDescent="0.3">
      <x:c r="A29" s="664" t="s">
        <x:v>491</x:v>
      </x:c>
      <x:c r="B29" s="552" t="s">
        <x:v>1508</x:v>
      </x:c>
      <x:c r="C29" s="644" t="s">
        <x:v>1741</x:v>
      </x:c>
      <x:c r="D29" s="685">
        <x:v>46108</x:v>
      </x:c>
      <x:c r="E29" s="671">
        <x:v>655.8</x:v>
      </x:c>
      <x:c r="F29" s="671">
        <x:v>131.16</x:v>
      </x:c>
      <x:c r="G29" s="665">
        <x:v>200.24</x:v>
      </x:c>
      <x:c r="H29" s="671">
        <x:v>78.7</x:v>
      </x:c>
      <x:c r="I29" s="666">
        <x:v>46183</x:v>
      </x:c>
      <x:c r="J29" s="433">
        <x:f>200.24/1.15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20" ht="15" customHeight="1" x14ac:dyDescent="0.3">
      <x:c r="A30" s="664" t="s">
        <x:v>170</x:v>
      </x:c>
      <x:c r="B30" s="497" t="s">
        <x:v>105</x:v>
      </x:c>
      <x:c r="C30" s="644" t="s">
        <x:v>1742</x:v>
      </x:c>
      <x:c r="D30" s="685">
        <x:v>46169</x:v>
      </x:c>
      <x:c r="E30" s="671">
        <x:v>137.88</x:v>
      </x:c>
      <x:c r="F30" s="671">
        <x:v>27.58</x:v>
      </x:c>
      <x:c r="G30" s="665">
        <x:v>126.85</x:v>
      </x:c>
      <x:c r="H30" s="671">
        <x:v>16.55</x:v>
      </x:c>
      <x:c r="I30" s="666">
        <x:v>46184</x:v>
      </x:c>
      <x:c r="J30" s="433">
        <x:f>+E30-F30</x:f>
      </x:c>
      <x:c r="K30" s="468">
        <x:f>+I30-D30</x:f>
      </x:c>
      <x:c r="L30" s="503">
        <x:v>0.035</x:v>
      </x:c>
      <x:c r="M30" s="504">
        <x:f>+J30*L30</x:f>
      </x:c>
      <x:c r="O30" s="432"/>
      <x:c r="R30" s="435"/>
    </x:row>
    <x:row r="31" spans="1:20" ht="15" customHeight="1" x14ac:dyDescent="0.3">
      <x:c r="A31" s="664" t="s">
        <x:v>343</x:v>
      </x:c>
      <x:c r="B31" s="670" t="s">
        <x:v>344</x:v>
      </x:c>
      <x:c r="C31" s="644" t="s">
        <x:v>1743</x:v>
      </x:c>
      <x:c r="D31" s="685">
        <x:v>46183</x:v>
      </x:c>
      <x:c r="E31" s="671">
        <x:v>114.24</x:v>
      </x:c>
      <x:c r="F31" s="671">
        <x:v>17.14</x:v>
      </x:c>
      <x:c r="G31" s="665">
        <x:v>111.67</x:v>
      </x:c>
      <x:c r="H31" s="671">
        <x:v>14.57</x:v>
      </x:c>
      <x:c r="I31" s="666">
        <x:v>46185</x:v>
      </x:c>
      <x:c r="J31" s="433">
        <x:f>+E31-F31</x:f>
      </x:c>
      <x:c r="K31" s="468">
        <x:f>+I31-D31</x:f>
      </x:c>
      <x:c r="L31" s="503">
        <x:v>0.035</x:v>
      </x:c>
      <x:c r="M31" s="504">
        <x:f>+J31*L31</x:f>
      </x:c>
      <x:c r="O31" s="432"/>
    </x:row>
    <x:row r="32" spans="1:20" ht="15" customHeight="1" x14ac:dyDescent="0.3">
      <x:c r="A32" s="664" t="s">
        <x:v>1744</x:v>
      </x:c>
      <x:c r="B32" s="670" t="s">
        <x:v>26</x:v>
      </x:c>
      <x:c r="C32" s="644" t="s">
        <x:v>1745</x:v>
      </x:c>
      <x:c r="D32" s="685">
        <x:v>46188</x:v>
      </x:c>
      <x:c r="E32" s="671">
        <x:v>81.6</x:v>
      </x:c>
      <x:c r="F32" s="671">
        <x:v>8.16</x:v>
      </x:c>
      <x:c r="G32" s="665">
        <x:v>84.46</x:v>
      </x:c>
      <x:c r="H32" s="671">
        <x:v>11.02</x:v>
      </x:c>
      <x:c r="I32" s="666">
        <x:v>46188</x:v>
      </x:c>
      <x:c r="J32" s="433">
        <x:f>+E32-F32</x:f>
      </x:c>
      <x:c r="K32" s="468">
        <x:f>+I32-D32</x:f>
      </x:c>
      <x:c r="L32" s="503">
        <x:v>0.04</x:v>
      </x:c>
      <x:c r="M32" s="504">
        <x:f>+J32*L32</x:f>
      </x:c>
      <x:c r="O32" s="432"/>
    </x:row>
    <x:row r="33" spans="1:20" ht="15" customHeight="1" x14ac:dyDescent="0.3">
      <x:c r="A33" s="664" t="s">
        <x:v>25</x:v>
      </x:c>
      <x:c r="B33" s="681" t="s">
        <x:v>26</x:v>
      </x:c>
      <x:c r="C33" s="644" t="s">
        <x:v>1746</x:v>
      </x:c>
      <x:c r="D33" s="685">
        <x:v>46154</x:v>
      </x:c>
      <x:c r="E33" s="671">
        <x:v>612</x:v>
      </x:c>
      <x:c r="F33" s="671">
        <x:v>122.4</x:v>
      </x:c>
      <x:c r="G33" s="665">
        <x:v>531.22</x:v>
      </x:c>
      <x:c r="H33" s="671">
        <x:v>73.44</x:v>
      </x:c>
      <x:c r="I33" s="666">
        <x:v>46188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20" ht="15" customHeight="1" x14ac:dyDescent="0.3">
      <x:c r="A34" s="664" t="s">
        <x:v>422</x:v>
      </x:c>
      <x:c r="B34" s="497" t="s">
        <x:v>463</x:v>
      </x:c>
      <x:c r="C34" s="644" t="s">
        <x:v>1687</x:v>
      </x:c>
      <x:c r="D34" s="685">
        <x:v>46118</x:v>
      </x:c>
      <x:c r="E34" s="671">
        <x:v>485.4</x:v>
      </x:c>
      <x:c r="F34" s="671">
        <x:v>72.81</x:v>
      </x:c>
      <x:c r="G34" s="665">
        <x:v>158.16</x:v>
      </x:c>
      <x:c r="H34" s="671">
        <x:v>61.89</x:v>
      </x:c>
      <x:c r="I34" s="666">
        <x:v>46188</x:v>
      </x:c>
      <x:c r="J34" s="433">
        <x:f>158.16/1.15</x:f>
      </x:c>
      <x:c r="K34" s="468">
        <x:f>+I34-D34</x:f>
      </x:c>
      <x:c r="L34" s="503">
        <x:v>0.03</x:v>
      </x:c>
      <x:c r="M34" s="504">
        <x:f>+J34*L34</x:f>
      </x:c>
      <x:c r="O34" s="432"/>
    </x:row>
    <x:row r="35" spans="1:20" ht="15" customHeight="1" x14ac:dyDescent="0.3">
      <x:c r="A35" s="664" t="s">
        <x:v>1484</x:v>
      </x:c>
      <x:c r="B35" s="681" t="s">
        <x:v>401</x:v>
      </x:c>
      <x:c r="C35" s="644" t="s">
        <x:v>1747</x:v>
      </x:c>
      <x:c r="D35" s="685">
        <x:v>46170</x:v>
      </x:c>
      <x:c r="E35" s="671">
        <x:v>11.88</x:v>
      </x:c>
      <x:c r="F35" s="671">
        <x:v>1.78</x:v>
      </x:c>
      <x:c r="G35" s="665">
        <x:v>11.61</x:v>
      </x:c>
      <x:c r="H35" s="671">
        <x:v>1.51</x:v>
      </x:c>
      <x:c r="I35" s="666">
        <x:v>46191</x:v>
      </x:c>
      <x:c r="J35" s="433">
        <x:f>+E35-F35</x:f>
      </x:c>
      <x:c r="K35" s="468">
        <x:f>+I35-D35</x:f>
      </x:c>
      <x:c r="L35" s="503">
        <x:v>0.035</x:v>
      </x:c>
      <x:c r="M35" s="504">
        <x:f>+J35*L35</x:f>
      </x:c>
      <x:c r="O35" s="432"/>
    </x:row>
    <x:row r="36" spans="1:20" ht="15" customHeight="1" x14ac:dyDescent="0.3">
      <x:c r="A36" s="664" t="s">
        <x:v>1484</x:v>
      </x:c>
      <x:c r="B36" s="670" t="s">
        <x:v>401</x:v>
      </x:c>
      <x:c r="C36" s="644" t="s">
        <x:v>1748</x:v>
      </x:c>
      <x:c r="D36" s="685">
        <x:v>46169</x:v>
      </x:c>
      <x:c r="E36" s="671">
        <x:v>164.04</x:v>
      </x:c>
      <x:c r="F36" s="671">
        <x:v>24.61</x:v>
      </x:c>
      <x:c r="G36" s="665">
        <x:v>160.35</x:v>
      </x:c>
      <x:c r="H36" s="671">
        <x:v>20.92</x:v>
      </x:c>
      <x:c r="I36" s="666">
        <x:v>46191</x:v>
      </x:c>
      <x:c r="J36" s="433">
        <x:f>+E36-F36</x:f>
      </x:c>
      <x:c r="K36" s="468">
        <x:f>+I36-D36</x:f>
      </x:c>
      <x:c r="L36" s="503">
        <x:v>0.035</x:v>
      </x:c>
      <x:c r="M36" s="504">
        <x:f>+J36*L36</x:f>
      </x:c>
      <x:c r="O36" s="432"/>
    </x:row>
    <x:row r="37" spans="1:20" ht="15" customHeight="1" x14ac:dyDescent="0.3">
      <x:c r="A37" s="664" t="s">
        <x:v>790</x:v>
      </x:c>
      <x:c r="B37" s="686" t="s">
        <x:v>463</x:v>
      </x:c>
      <x:c r="C37" s="644" t="s">
        <x:v>1749</x:v>
      </x:c>
      <x:c r="D37" s="685">
        <x:v>46169</x:v>
      </x:c>
      <x:c r="E37" s="671">
        <x:v>322.2</x:v>
      </x:c>
      <x:c r="F37" s="671">
        <x:v>48.33</x:v>
      </x:c>
      <x:c r="G37" s="665">
        <x:v>297.15</x:v>
      </x:c>
      <x:c r="H37" s="671">
        <x:v>41.08</x:v>
      </x:c>
      <x:c r="I37" s="666">
        <x:v>46192</x:v>
      </x:c>
      <x:c r="J37" s="433">
        <x:f>+E37-F37</x:f>
      </x:c>
      <x:c r="K37" s="468">
        <x:f>+I37-D37</x:f>
      </x:c>
      <x:c r="L37" s="503">
        <x:v>0.035</x:v>
      </x:c>
      <x:c r="M37" s="504">
        <x:f>+J37*L37</x:f>
      </x:c>
      <x:c r="O37" s="432"/>
    </x:row>
    <x:row r="38" spans="1:20" ht="15" customHeight="1" x14ac:dyDescent="0.3">
      <x:c r="A38" s="664" t="s">
        <x:v>422</x:v>
      </x:c>
      <x:c r="B38" s="552" t="s">
        <x:v>463</x:v>
      </x:c>
      <x:c r="C38" s="644" t="s">
        <x:v>1687</x:v>
      </x:c>
      <x:c r="D38" s="685">
        <x:v>46118</x:v>
      </x:c>
      <x:c r="E38" s="671">
        <x:v>485.4</x:v>
      </x:c>
      <x:c r="F38" s="671">
        <x:v>72.81</x:v>
      </x:c>
      <x:c r="G38" s="665">
        <x:v>158.16</x:v>
      </x:c>
      <x:c r="H38" s="671">
        <x:v>61.89</x:v>
      </x:c>
      <x:c r="I38" s="666">
        <x:v>46192</x:v>
      </x:c>
      <x:c r="J38" s="433">
        <x:f>158.16/1.15</x:f>
      </x:c>
      <x:c r="K38" s="468">
        <x:f>+I38-D38</x:f>
      </x:c>
      <x:c r="L38" s="503">
        <x:v>0.03</x:v>
      </x:c>
      <x:c r="M38" s="504">
        <x:f>+J38*L38</x:f>
      </x:c>
      <x:c r="O38" s="432"/>
    </x:row>
    <x:row r="39" spans="1:20" ht="15" customHeight="1" x14ac:dyDescent="0.3">
      <x:c r="A39" s="664" t="s">
        <x:v>790</x:v>
      </x:c>
      <x:c r="B39" s="552" t="s">
        <x:v>463</x:v>
      </x:c>
      <x:c r="C39" s="644" t="s">
        <x:v>1750</x:v>
      </x:c>
      <x:c r="D39" s="685">
        <x:v>46118</x:v>
      </x:c>
      <x:c r="E39" s="671">
        <x:v>891.24</x:v>
      </x:c>
      <x:c r="F39" s="671">
        <x:v>133.69</x:v>
      </x:c>
      <x:c r="G39" s="665">
        <x:v>821.94</x:v>
      </x:c>
      <x:c r="H39" s="671">
        <x:v>113.63</x:v>
      </x:c>
      <x:c r="I39" s="666">
        <x:v>46192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20" ht="15" customHeight="1" x14ac:dyDescent="0.3">
      <x:c r="A40" s="664" t="s">
        <x:v>485</x:v>
      </x:c>
      <x:c r="B40" s="552" t="s">
        <x:v>105</x:v>
      </x:c>
      <x:c r="C40" s="644" t="s">
        <x:v>1751</x:v>
      </x:c>
      <x:c r="D40" s="685">
        <x:v>46108</x:v>
      </x:c>
      <x:c r="E40" s="671">
        <x:v>162.12</x:v>
      </x:c>
      <x:c r="F40" s="671">
        <x:v>24.32</x:v>
      </x:c>
      <x:c r="G40" s="665">
        <x:v>158.47</x:v>
      </x:c>
      <x:c r="H40" s="671">
        <x:v>20.67</x:v>
      </x:c>
      <x:c r="I40" s="666">
        <x:v>46195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20" ht="15" customHeight="1" x14ac:dyDescent="0.3">
      <x:c r="A41" s="664" t="s">
        <x:v>167</x:v>
      </x:c>
      <x:c r="B41" s="687" t="s">
        <x:v>26</x:v>
      </x:c>
      <x:c r="C41" s="644" t="s">
        <x:v>1678</x:v>
      </x:c>
      <x:c r="D41" s="685">
        <x:v>46171</x:v>
      </x:c>
      <x:c r="E41" s="671">
        <x:v>1212.12</x:v>
      </x:c>
      <x:c r="F41" s="671">
        <x:v>303.03</x:v>
      </x:c>
      <x:c r="G41" s="665">
        <x:v>5.45</x:v>
      </x:c>
      <x:c r="H41" s="671">
        <x:v>136.36</x:v>
      </x:c>
      <x:c r="I41" s="666">
        <x:v>46198</x:v>
      </x:c>
      <x:c r="J41" s="433">
        <x:f>5.45/1.15</x:f>
      </x:c>
      <x:c r="K41" s="468">
        <x:f>+I41-D41</x:f>
      </x:c>
      <x:c r="L41" s="503">
        <x:v>0.035</x:v>
      </x:c>
      <x:c r="M41" s="504">
        <x:f>+J41*L41</x:f>
      </x:c>
      <x:c r="O41" s="432"/>
    </x:row>
    <x:row r="42" spans="1:20" ht="15" customHeight="1" x14ac:dyDescent="0.3">
      <x:c r="A42" s="664" t="s">
        <x:v>491</x:v>
      </x:c>
      <x:c r="B42" s="552" t="s">
        <x:v>1508</x:v>
      </x:c>
      <x:c r="C42" s="644" t="s">
        <x:v>1741</x:v>
      </x:c>
      <x:c r="D42" s="685">
        <x:v>46108</x:v>
      </x:c>
      <x:c r="E42" s="671">
        <x:v>655.8</x:v>
      </x:c>
      <x:c r="F42" s="671">
        <x:v>131.16</x:v>
      </x:c>
      <x:c r="G42" s="665">
        <x:v>200.24</x:v>
      </x:c>
      <x:c r="H42" s="671">
        <x:v>78.7</x:v>
      </x:c>
      <x:c r="I42" s="666">
        <x:v>46199</x:v>
      </x:c>
      <x:c r="J42" s="433">
        <x:f>200.24/1.15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20" ht="15" customHeight="1" x14ac:dyDescent="0.3">
      <x:c r="A43" s="664" t="s">
        <x:v>422</x:v>
      </x:c>
      <x:c r="B43" s="552" t="s">
        <x:v>463</x:v>
      </x:c>
      <x:c r="C43" s="644" t="s">
        <x:v>1687</x:v>
      </x:c>
      <x:c r="D43" s="685">
        <x:v>46118</x:v>
      </x:c>
      <x:c r="E43" s="671">
        <x:v>485.4</x:v>
      </x:c>
      <x:c r="F43" s="671">
        <x:v>72.81</x:v>
      </x:c>
      <x:c r="G43" s="665">
        <x:v>158.16</x:v>
      </x:c>
      <x:c r="H43" s="671">
        <x:v>61.89</x:v>
      </x:c>
      <x:c r="I43" s="666">
        <x:v>46202</x:v>
      </x:c>
      <x:c r="J43" s="433">
        <x:f>158.16/1.15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20" ht="15" customHeight="1" x14ac:dyDescent="0.3">
      <x:c r="A44" s="664" t="s">
        <x:v>64</x:v>
      </x:c>
      <x:c r="B44" s="552" t="s">
        <x:v>26</x:v>
      </x:c>
      <x:c r="C44" s="644" t="s">
        <x:v>1752</x:v>
      </x:c>
      <x:c r="D44" s="685">
        <x:v>46111</x:v>
      </x:c>
      <x:c r="E44" s="671">
        <x:v>40.8</x:v>
      </x:c>
      <x:c r="F44" s="671">
        <x:v>6.12</x:v>
      </x:c>
      <x:c r="G44" s="665">
        <x:v>39.88</x:v>
      </x:c>
      <x:c r="H44" s="671">
        <x:v>5.2</x:v>
      </x:c>
      <x:c r="I44" s="666">
        <x:v>46202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20" ht="15" customHeight="1" x14ac:dyDescent="0.3">
      <x:c r="A45" s="664" t="s">
        <x:v>64</x:v>
      </x:c>
      <x:c r="B45" s="552" t="s">
        <x:v>26</x:v>
      </x:c>
      <x:c r="C45" s="644" t="s">
        <x:v>1753</x:v>
      </x:c>
      <x:c r="D45" s="685">
        <x:v>46108</x:v>
      </x:c>
      <x:c r="E45" s="671">
        <x:v>177</x:v>
      </x:c>
      <x:c r="F45" s="671">
        <x:v>26.55</x:v>
      </x:c>
      <x:c r="G45" s="665">
        <x:v>173.02</x:v>
      </x:c>
      <x:c r="H45" s="671">
        <x:v>22.57</x:v>
      </x:c>
      <x:c r="I45" s="666">
        <x:v>46202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20" ht="15" customHeight="1" x14ac:dyDescent="0.3">
      <x:c r="A46" s="664" t="s">
        <x:v>104</x:v>
      </x:c>
      <x:c r="B46" s="552" t="s">
        <x:v>105</x:v>
      </x:c>
      <x:c r="C46" s="644" t="s">
        <x:v>1754</x:v>
      </x:c>
      <x:c r="D46" s="685">
        <x:v>46108</x:v>
      </x:c>
      <x:c r="E46" s="671">
        <x:v>629.69</x:v>
      </x:c>
      <x:c r="F46" s="671">
        <x:v>94.45</x:v>
      </x:c>
      <x:c r="G46" s="665">
        <x:v>580.75</x:v>
      </x:c>
      <x:c r="H46" s="671">
        <x:v>80.29</x:v>
      </x:c>
      <x:c r="I46" s="666">
        <x:v>46202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20" ht="15" customHeight="1" x14ac:dyDescent="0.3">
      <x:c r="A47" s="664" t="s">
        <x:v>57</x:v>
      </x:c>
      <x:c r="B47" s="552" t="s">
        <x:v>26</x:v>
      </x:c>
      <x:c r="C47" s="644" t="s">
        <x:v>1755</x:v>
      </x:c>
      <x:c r="D47" s="685">
        <x:v>46108</x:v>
      </x:c>
      <x:c r="E47" s="671">
        <x:v>2724.84</x:v>
      </x:c>
      <x:c r="F47" s="671">
        <x:v>544.97</x:v>
      </x:c>
      <x:c r="G47" s="665">
        <x:v>1815.16</x:v>
      </x:c>
      <x:c r="H47" s="671">
        <x:v>326.98</x:v>
      </x:c>
      <x:c r="I47" s="666">
        <x:v>46203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20" ht="15" customHeight="1" x14ac:dyDescent="0.25">
      <x:c r="A48" s="606"/>
      <x:c r="B48" s="573"/>
      <x:c r="C48" s="606"/>
      <x:c r="D48" s="629"/>
      <x:c r="E48" s="569"/>
      <x:c r="F48" s="569"/>
      <x:c r="G48" s="466"/>
      <x:c r="H48" s="569"/>
      <x:c r="I48" s="467"/>
      <x:c r="J48" s="433"/>
      <x:c r="K48" s="468"/>
      <x:c r="L48" s="503"/>
      <x:c r="M48" s="504"/>
      <x:c r="O48" s="432"/>
    </x:row>
    <x:row r="49" spans="1:20" ht="15" customHeight="1" x14ac:dyDescent="0.3">
      <x:c r="G49" s="516">
        <x:f>SUM(G8:G48)</x:f>
      </x:c>
      <x:c r="J49" s="516">
        <x:f>SUM(J8:J48)</x:f>
      </x:c>
      <x:c r="M49" s="516">
        <x:f>SUM(M8:M48)</x:f>
      </x:c>
      <x:c r="O49" s="432"/>
    </x:row>
    <x:row r="50" spans="1:20" ht="15" customHeight="1" x14ac:dyDescent="0.25">
      <x:c r="G50" s="435"/>
      <x:c r="H50" s="435"/>
      <x:c r="O50" s="432"/>
    </x:row>
    <x:row r="51" spans="1:20" ht="15" customHeight="1" x14ac:dyDescent="0.25">
      <x:c r="A51" s="517" t="s">
        <x:v>30</x:v>
      </x:c>
      <x:c r="B51" s="518" t="s">
        <x:v>31</x:v>
      </x:c>
      <x:c r="C51" s="518" t="s">
        <x:v>32</x:v>
      </x:c>
      <x:c r="J51" s="435"/>
      <x:c r="O51" s="432"/>
    </x:row>
    <x:row r="52" spans="1:20" ht="14.4" customHeight="1" s="434" customFormat="1" x14ac:dyDescent="0.3">
      <x:c r="A52" s="664" t="s">
        <x:v>136</x:v>
      </x:c>
      <x:c r="B52" s="552" t="s">
        <x:v>1756</x:v>
      </x:c>
      <x:c r="C52" s="644" t="s">
        <x:v>1757</x:v>
      </x:c>
      <x:c r="D52" s="666">
        <x:v>46177</x:v>
      </x:c>
      <x:c r="E52" s="671">
        <x:v>1177.2</x:v>
      </x:c>
      <x:c r="F52" s="671">
        <x:v>294.3</x:v>
      </x:c>
      <x:c r="G52" s="665">
        <x:v>957.95</x:v>
      </x:c>
      <x:c r="H52" s="671">
        <x:v>132.44</x:v>
      </x:c>
      <x:c r="I52" s="666">
        <x:v>46209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470"/>
      <x:c r="O52" s="432"/>
    </x:row>
    <x:row r="53" spans="1:20" ht="14.4" customHeight="1" s="434" customFormat="1" x14ac:dyDescent="0.3">
      <x:c r="A53" s="664" t="s">
        <x:v>1023</x:v>
      </x:c>
      <x:c r="B53" s="552" t="s">
        <x:v>1758</x:v>
      </x:c>
      <x:c r="C53" s="644" t="s">
        <x:v>1759</x:v>
      </x:c>
      <x:c r="D53" s="666">
        <x:v>46190</x:v>
      </x:c>
      <x:c r="E53" s="671">
        <x:v>105.6</x:v>
      </x:c>
      <x:c r="F53" s="671">
        <x:v>15.84</x:v>
      </x:c>
      <x:c r="G53" s="665">
        <x:v>103.22</x:v>
      </x:c>
      <x:c r="H53" s="671">
        <x:v>13.46</x:v>
      </x:c>
      <x:c r="I53" s="666">
        <x:v>46205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20" ht="14.4" customHeight="1" s="434" customFormat="1" x14ac:dyDescent="0.3">
      <x:c r="A54" s="664" t="s">
        <x:v>75</x:v>
      </x:c>
      <x:c r="B54" s="552" t="s">
        <x:v>1760</x:v>
      </x:c>
      <x:c r="C54" s="644" t="s">
        <x:v>1761</x:v>
      </x:c>
      <x:c r="D54" s="666">
        <x:v>46177</x:v>
      </x:c>
      <x:c r="E54" s="671">
        <x:v>174</x:v>
      </x:c>
      <x:c r="F54" s="671">
        <x:v>26.1</x:v>
      </x:c>
      <x:c r="G54" s="665">
        <x:v>170.09</x:v>
      </x:c>
      <x:c r="H54" s="671">
        <x:v>22.19</x:v>
      </x:c>
      <x:c r="I54" s="666">
        <x:v>46226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20" s="434" customFormat="1" x14ac:dyDescent="0.25">
      <x:c r="A55" s="551"/>
      <x:c r="B55" s="552"/>
      <x:c r="C55" s="644"/>
      <x:c r="D55" s="553"/>
      <x:c r="E55" s="662"/>
      <x:c r="F55" s="662"/>
      <x:c r="G55" s="504"/>
      <x:c r="H55" s="662"/>
      <x:c r="I55" s="553"/>
      <x:c r="J55" s="433"/>
      <x:c r="K55" s="468"/>
      <x:c r="L55" s="469"/>
      <x:c r="M55" s="433"/>
      <x:c r="N55" s="633"/>
      <x:c r="O55" s="432"/>
    </x:row>
    <x:row r="56" spans="1:20" ht="15.6" customHeight="1" s="434" customFormat="1" x14ac:dyDescent="0.3">
      <x:c r="A56" s="487"/>
      <x:c r="B56" s="462"/>
      <x:c r="C56" s="487"/>
      <x:c r="D56" s="492"/>
      <x:c r="E56" s="490"/>
      <x:c r="F56" s="490"/>
      <x:c r="G56" s="491"/>
      <x:c r="H56" s="490"/>
      <x:c r="I56" s="492"/>
      <x:c r="J56" s="433"/>
      <x:c r="K56" s="468"/>
      <x:c r="L56" s="469"/>
      <x:c r="M56" s="433"/>
      <x:c r="N56" s="470"/>
      <x:c r="O56" s="432"/>
    </x:row>
    <x:row r="57" spans="1:20" ht="15" customHeight="1" x14ac:dyDescent="0.35">
      <x:c r="A57" s="493" t="s">
        <x:v>43</x:v>
      </x:c>
      <x:c r="B57" s="493"/>
      <x:c r="C57" s="493"/>
      <x:c r="D57" s="493"/>
      <x:c r="E57" s="493"/>
      <x:c r="F57" s="493"/>
      <x:c r="G57" s="516">
        <x:f>SUM(G49:G56)</x:f>
      </x:c>
      <x:c r="J57" s="516">
        <x:f>SUM(J49:J56)</x:f>
      </x:c>
      <x:c r="L57" s="495"/>
      <x:c r="M57" s="564">
        <x:f>SUM(M49:M56)</x:f>
      </x:c>
    </x:row>
    <x:row r="58" spans="1:20" ht="15" customHeight="1" x14ac:dyDescent="0.3">
      <x:c r="A58" s="520"/>
      <x:c r="G58" s="435"/>
    </x:row>
    <x:row r="59" spans="1:20" ht="15" customHeight="1" x14ac:dyDescent="0.3">
      <x:c r="A59" s="499"/>
      <x:c r="G59" s="435"/>
      <x:c r="J59" s="435"/>
    </x:row>
    <x:row r="60" spans="1:20" ht="15" customHeight="1" x14ac:dyDescent="0.3">
      <x:c r="A60" s="499"/>
      <x:c r="G60" s="435"/>
      <x:c r="J60" s="435"/>
    </x:row>
    <x:row r="61" spans="1:20" ht="15" customHeight="1" x14ac:dyDescent="0.3">
      <x:c r="A61" s="499"/>
      <x:c r="G61" s="435"/>
      <x:c r="J61" s="435"/>
    </x:row>
    <x:row r="62" spans="1:20" ht="15" customHeight="1" x14ac:dyDescent="0.3">
      <x:c r="A62" s="499"/>
      <x:c r="G62" s="435"/>
      <x:c r="J62" s="435"/>
      <x:c r="M62" s="435"/>
    </x:row>
    <x:row r="63" spans="1:20" ht="15" customHeight="1" x14ac:dyDescent="0.3">
      <x:c r="A63" s="499"/>
      <x:c r="G63" s="435"/>
      <x:c r="J63" s="435"/>
      <x:c r="M63" s="435"/>
    </x:row>
    <x:row r="64" spans="1:20" ht="15" customHeight="1" x14ac:dyDescent="0.25">
      <x:c r="A64" s="436" t="s">
        <x:v>0</x:v>
      </x:c>
      <x:c r="B64" s="436"/>
      <x:c r="C64" s="436"/>
      <x:c r="D64" s="436"/>
      <x:c r="E64" s="436"/>
      <x:c r="F64" s="436"/>
      <x:c r="G64" s="437"/>
      <x:c r="H64" s="438"/>
      <x:c r="I64" s="439"/>
      <x:c r="J64" s="440"/>
      <x:c r="K64" s="441"/>
      <x:c r="L64" s="442"/>
      <x:c r="M64" s="443"/>
    </x:row>
    <x:row r="65" spans="1:20" ht="15" customHeight="1" x14ac:dyDescent="0.25">
      <x:c r="A65" s="436" t="s">
        <x:v>1</x:v>
      </x:c>
      <x:c r="B65" s="436"/>
      <x:c r="C65" s="436"/>
      <x:c r="D65" s="436"/>
      <x:c r="E65" s="436"/>
      <x:c r="F65" s="436"/>
      <x:c r="G65" s="437"/>
      <x:c r="H65" s="438"/>
      <x:c r="I65" s="439"/>
      <x:c r="J65" s="441"/>
      <x:c r="K65" s="441"/>
      <x:c r="L65" s="442"/>
      <x:c r="M65" s="443"/>
    </x:row>
    <x:row r="66" spans="1:20" ht="15" customHeight="1" x14ac:dyDescent="0.25">
      <x:c r="A66" s="436"/>
      <x:c r="B66" s="436" t="s">
        <x:v>1722</x:v>
      </x:c>
      <x:c r="C66" s="436"/>
      <x:c r="D66" s="445"/>
      <x:c r="E66" s="436"/>
      <x:c r="F66" s="436"/>
      <x:c r="G66" s="437"/>
      <x:c r="H66" s="438"/>
      <x:c r="I66" s="439"/>
      <x:c r="J66" s="441"/>
      <x:c r="K66" s="441"/>
      <x:c r="L66" s="442"/>
      <x:c r="M66" s="443"/>
    </x:row>
    <x:row r="67" spans="1:20" ht="15" customHeight="1" x14ac:dyDescent="0.3">
      <x:c r="A67" s="436"/>
      <x:c r="B67" s="436" t="s">
        <x:v>1181</x:v>
      </x:c>
      <x:c r="C67" s="436"/>
      <x:c r="D67" s="445"/>
      <x:c r="E67" s="436"/>
      <x:c r="F67" s="436"/>
      <x:c r="G67" s="443"/>
      <x:c r="H67" s="437"/>
      <x:c r="I67" s="446"/>
      <x:c r="J67" s="441"/>
      <x:c r="K67" s="441"/>
      <x:c r="L67" s="442"/>
      <x:c r="M67" s="443"/>
    </x:row>
    <x:row r="68" spans="1:20" ht="15" customHeight="1" x14ac:dyDescent="0.25">
      <x:c r="A68" s="447" t="s">
        <x:v>4</x:v>
      </x:c>
      <x:c r="B68" s="609"/>
      <x:c r="C68" s="441"/>
      <x:c r="D68" s="439"/>
      <x:c r="E68" s="441"/>
      <x:c r="F68" s="441"/>
      <x:c r="G68" s="448" t="s">
        <x:v>5</x:v>
      </x:c>
      <x:c r="H68" s="441"/>
      <x:c r="I68" s="439"/>
      <x:c r="J68" s="449" t="s">
        <x:v>6</x:v>
      </x:c>
      <x:c r="K68" s="450" t="s">
        <x:v>7</x:v>
      </x:c>
      <x:c r="L68" s="451" t="s">
        <x:v>8</x:v>
      </x:c>
      <x:c r="M68" s="449" t="s">
        <x:v>9</x:v>
      </x:c>
      <x:c r="O68" s="435"/>
    </x:row>
    <x:row r="69" spans="1:20" ht="15" customHeight="1" x14ac:dyDescent="0.3">
      <x:c r="A69" s="452" t="s">
        <x:v>10</x:v>
      </x:c>
      <x:c r="B69" s="452" t="s">
        <x:v>11</x:v>
      </x:c>
      <x:c r="C69" s="452" t="s">
        <x:v>12</x:v>
      </x:c>
      <x:c r="D69" s="453" t="s">
        <x:v>13</x:v>
      </x:c>
      <x:c r="E69" s="452" t="s">
        <x:v>14</x:v>
      </x:c>
      <x:c r="F69" s="454" t="s">
        <x:v>15</x:v>
      </x:c>
      <x:c r="G69" s="455" t="s">
        <x:v>16</x:v>
      </x:c>
      <x:c r="H69" s="456" t="s">
        <x:v>17</x:v>
      </x:c>
      <x:c r="I69" s="457" t="s">
        <x:v>18</x:v>
      </x:c>
      <x:c r="J69" s="458" t="s">
        <x:v>19</x:v>
      </x:c>
      <x:c r="K69" s="459"/>
      <x:c r="L69" s="460" t="s">
        <x:v>20</x:v>
      </x:c>
      <x:c r="M69" s="458" t="s">
        <x:v>21</x:v>
      </x:c>
      <x:c r="O69" s="435"/>
    </x:row>
    <x:row r="70" spans="1:20" ht="15" customHeight="1" x14ac:dyDescent="0.3">
      <x:c r="A70" s="664" t="s">
        <x:v>1318</x:v>
      </x:c>
      <x:c r="B70" s="670" t="s">
        <x:v>288</x:v>
      </x:c>
      <x:c r="C70" s="644" t="s">
        <x:v>1715</x:v>
      </x:c>
      <x:c r="D70" s="685">
        <x:v>46146</x:v>
      </x:c>
      <x:c r="E70" s="671">
        <x:v>192.72</x:v>
      </x:c>
      <x:c r="F70" s="671">
        <x:v>25.05</x:v>
      </x:c>
      <x:c r="G70" s="665">
        <x:v>42.82</x:v>
      </x:c>
      <x:c r="H70" s="671">
        <x:v>25.15</x:v>
      </x:c>
      <x:c r="I70" s="666">
        <x:v>46174</x:v>
      </x:c>
      <x:c r="J70" s="433">
        <x:f>42.82/1.15</x:f>
      </x:c>
      <x:c r="K70" s="468">
        <x:f>+I70-D70</x:f>
      </x:c>
      <x:c r="L70" s="469">
        <x:v>0.035</x:v>
      </x:c>
      <x:c r="M70" s="433">
        <x:f>+J70*L70</x:f>
      </x:c>
      <x:c r="O70" s="432"/>
    </x:row>
    <x:row r="71" spans="1:20" ht="15" customHeight="1" x14ac:dyDescent="0.3">
      <x:c r="A71" s="664" t="s">
        <x:v>1318</x:v>
      </x:c>
      <x:c r="B71" s="670" t="s">
        <x:v>288</x:v>
      </x:c>
      <x:c r="C71" s="644" t="s">
        <x:v>1715</x:v>
      </x:c>
      <x:c r="D71" s="685">
        <x:v>46146</x:v>
      </x:c>
      <x:c r="E71" s="671">
        <x:v>192.72</x:v>
      </x:c>
      <x:c r="F71" s="671">
        <x:v>25.05</x:v>
      </x:c>
      <x:c r="G71" s="665">
        <x:v>50</x:v>
      </x:c>
      <x:c r="H71" s="671">
        <x:v>25.15</x:v>
      </x:c>
      <x:c r="I71" s="666">
        <x:v>46174</x:v>
      </x:c>
      <x:c r="J71" s="433">
        <x:f>50/1.15</x:f>
      </x:c>
      <x:c r="K71" s="468">
        <x:f>+I71-D71</x:f>
      </x:c>
      <x:c r="L71" s="469">
        <x:v>0.035</x:v>
      </x:c>
      <x:c r="M71" s="433">
        <x:f>+J71*L71</x:f>
      </x:c>
      <x:c r="O71" s="432"/>
    </x:row>
    <x:row r="72" spans="1:20" ht="15" customHeight="1" x14ac:dyDescent="0.3">
      <x:c r="A72" s="664" t="s">
        <x:v>1253</x:v>
      </x:c>
      <x:c r="B72" s="670" t="s">
        <x:v>1254</x:v>
      </x:c>
      <x:c r="C72" s="644" t="s">
        <x:v>1762</x:v>
      </x:c>
      <x:c r="D72" s="685">
        <x:v>46176</x:v>
      </x:c>
      <x:c r="E72" s="671">
        <x:v>351</x:v>
      </x:c>
      <x:c r="F72" s="671">
        <x:v>70.2</x:v>
      </x:c>
      <x:c r="G72" s="665">
        <x:v>322.92</x:v>
      </x:c>
      <x:c r="H72" s="671">
        <x:v>42.12</x:v>
      </x:c>
      <x:c r="I72" s="666">
        <x:v>46176</x:v>
      </x:c>
      <x:c r="J72" s="433">
        <x:f>E72-F72</x:f>
      </x:c>
      <x:c r="K72" s="468">
        <x:f>+I72-D72</x:f>
      </x:c>
      <x:c r="L72" s="469">
        <x:v>0.04</x:v>
      </x:c>
      <x:c r="M72" s="433">
        <x:f>+J72*L72</x:f>
      </x:c>
      <x:c r="O72" s="432"/>
    </x:row>
    <x:row r="73" spans="1:20" ht="15" customHeight="1" x14ac:dyDescent="0.3">
      <x:c r="A73" s="664" t="s">
        <x:v>1763</x:v>
      </x:c>
      <x:c r="B73" s="670" t="s">
        <x:v>288</x:v>
      </x:c>
      <x:c r="C73" s="644" t="s">
        <x:v>1764</x:v>
      </x:c>
      <x:c r="D73" s="685">
        <x:v>46146</x:v>
      </x:c>
      <x:c r="E73" s="671">
        <x:v>154.44</x:v>
      </x:c>
      <x:c r="F73" s="671">
        <x:v>20.08</x:v>
      </x:c>
      <x:c r="G73" s="665">
        <x:v>154.51</x:v>
      </x:c>
      <x:c r="H73" s="671">
        <x:v>20.15</x:v>
      </x:c>
      <x:c r="I73" s="666">
        <x:v>46185</x:v>
      </x:c>
      <x:c r="J73" s="433">
        <x:f>E73-F73</x:f>
      </x:c>
      <x:c r="K73" s="468">
        <x:f>+I73-D73</x:f>
      </x:c>
      <x:c r="L73" s="469">
        <x:v>0.03</x:v>
      </x:c>
      <x:c r="M73" s="433">
        <x:f>+J73*L73</x:f>
      </x:c>
      <x:c r="O73" s="432"/>
    </x:row>
    <x:row r="74" spans="1:20" ht="15" customHeight="1" x14ac:dyDescent="0.3">
      <x:c r="A74" s="664" t="s">
        <x:v>1765</x:v>
      </x:c>
      <x:c r="B74" s="670" t="s">
        <x:v>1185</x:v>
      </x:c>
      <x:c r="C74" s="644" t="s">
        <x:v>1766</x:v>
      </x:c>
      <x:c r="D74" s="685">
        <x:v>46169</x:v>
      </x:c>
      <x:c r="E74" s="671">
        <x:v>188.16</x:v>
      </x:c>
      <x:c r="F74" s="671">
        <x:v>28.22</x:v>
      </x:c>
      <x:c r="G74" s="665">
        <x:v>183.93</x:v>
      </x:c>
      <x:c r="H74" s="671">
        <x:v>23.99</x:v>
      </x:c>
      <x:c r="I74" s="666">
        <x:v>46185</x:v>
      </x:c>
      <x:c r="J74" s="433">
        <x:f>E74-F74</x:f>
      </x:c>
      <x:c r="K74" s="468">
        <x:f>+I74-D74</x:f>
      </x:c>
      <x:c r="L74" s="469">
        <x:v>0.035</x:v>
      </x:c>
      <x:c r="M74" s="433">
        <x:f>+J74*L74</x:f>
      </x:c>
      <x:c r="O74" s="432"/>
    </x:row>
    <x:row r="75" spans="1:20" ht="15" customHeight="1" x14ac:dyDescent="0.3">
      <x:c r="A75" s="664" t="s">
        <x:v>1719</x:v>
      </x:c>
      <x:c r="B75" s="670" t="s">
        <x:v>1767</x:v>
      </x:c>
      <x:c r="C75" s="644" t="s">
        <x:v>1721</x:v>
      </x:c>
      <x:c r="D75" s="685">
        <x:v>46128</x:v>
      </x:c>
      <x:c r="E75" s="671">
        <x:v>855.36</x:v>
      </x:c>
      <x:c r="F75" s="671">
        <x:v>171.07</x:v>
      </x:c>
      <x:c r="G75" s="665">
        <x:v>393.47</x:v>
      </x:c>
      <x:c r="H75" s="671">
        <x:v>102.64</x:v>
      </x:c>
      <x:c r="I75" s="666">
        <x:v>46188</x:v>
      </x:c>
      <x:c r="J75" s="433">
        <x:f>393.47/1.15</x:f>
      </x:c>
      <x:c r="K75" s="468">
        <x:f>+I75-D75</x:f>
      </x:c>
      <x:c r="L75" s="469">
        <x:v>0.03</x:v>
      </x:c>
      <x:c r="M75" s="433">
        <x:f>+J75*L75</x:f>
      </x:c>
      <x:c r="O75" s="432"/>
    </x:row>
    <x:row r="76" spans="1:20" ht="15" customHeight="1" x14ac:dyDescent="0.3">
      <x:c r="A76" s="664" t="s">
        <x:v>1768</x:v>
      </x:c>
      <x:c r="B76" s="670" t="s">
        <x:v>1767</x:v>
      </x:c>
      <x:c r="C76" s="644" t="s">
        <x:v>1769</x:v>
      </x:c>
      <x:c r="D76" s="685">
        <x:v>46185</x:v>
      </x:c>
      <x:c r="E76" s="671">
        <x:v>164.16</x:v>
      </x:c>
      <x:c r="F76" s="671">
        <x:v>21.34</x:v>
      </x:c>
      <x:c r="G76" s="665">
        <x:v>164.24</x:v>
      </x:c>
      <x:c r="H76" s="671">
        <x:v>21.42</x:v>
      </x:c>
      <x:c r="I76" s="666">
        <x:v>46188</x:v>
      </x:c>
      <x:c r="J76" s="433">
        <x:f>E76-F76</x:f>
      </x:c>
      <x:c r="K76" s="468">
        <x:f>+I76-D76</x:f>
      </x:c>
      <x:c r="L76" s="469">
        <x:v>0.04</x:v>
      </x:c>
      <x:c r="M76" s="433">
        <x:f>+J76*L76</x:f>
      </x:c>
      <x:c r="O76" s="432"/>
    </x:row>
    <x:row r="77" spans="1:20" ht="15" customHeight="1" x14ac:dyDescent="0.3">
      <x:c r="A77" s="664" t="s">
        <x:v>1250</x:v>
      </x:c>
      <x:c r="B77" s="552" t="s">
        <x:v>1251</x:v>
      </x:c>
      <x:c r="C77" s="644" t="s">
        <x:v>1770</x:v>
      </x:c>
      <x:c r="D77" s="685">
        <x:v>46140</x:v>
      </x:c>
      <x:c r="E77" s="671">
        <x:v>476.4</x:v>
      </x:c>
      <x:c r="F77" s="671">
        <x:v>95.28</x:v>
      </x:c>
      <x:c r="G77" s="665">
        <x:v>413.52</x:v>
      </x:c>
      <x:c r="H77" s="671">
        <x:v>57.17</x:v>
      </x:c>
      <x:c r="I77" s="666">
        <x:v>46191</x:v>
      </x:c>
      <x:c r="J77" s="433">
        <x:f>E77-F77</x:f>
      </x:c>
      <x:c r="K77" s="468">
        <x:f>+I77-D77</x:f>
      </x:c>
      <x:c r="L77" s="469">
        <x:v>0.03</x:v>
      </x:c>
      <x:c r="M77" s="433">
        <x:f>+J77*L77</x:f>
      </x:c>
      <x:c r="O77" s="432"/>
    </x:row>
    <x:row r="78" spans="1:20" ht="15" customHeight="1" x14ac:dyDescent="0.3">
      <x:c r="A78" s="664"/>
      <x:c r="B78" s="688"/>
      <x:c r="C78" s="644"/>
      <x:c r="D78" s="666"/>
      <x:c r="E78" s="689"/>
      <x:c r="F78" s="690"/>
      <x:c r="G78" s="689"/>
      <x:c r="H78" s="690"/>
      <x:c r="I78" s="691"/>
      <x:c r="J78" s="433"/>
      <x:c r="K78" s="468"/>
      <x:c r="L78" s="469"/>
      <x:c r="M78" s="433"/>
      <x:c r="O78" s="432"/>
    </x:row>
    <x:row r="79" spans="1:20" ht="15" customHeight="1" x14ac:dyDescent="0.25">
      <x:c r="A79" s="606"/>
      <x:c r="B79" s="573"/>
      <x:c r="C79" s="606"/>
      <x:c r="D79" s="607"/>
      <x:c r="E79" s="569"/>
      <x:c r="F79" s="569"/>
      <x:c r="G79" s="466"/>
      <x:c r="H79" s="569"/>
      <x:c r="I79" s="467"/>
      <x:c r="J79" s="433"/>
      <x:c r="K79" s="468"/>
      <x:c r="L79" s="469"/>
      <x:c r="M79" s="433"/>
    </x:row>
    <x:row r="80" spans="1:20" ht="15" customHeight="1" x14ac:dyDescent="0.3">
      <x:c r="A80" s="471"/>
      <x:c r="B80" s="472"/>
      <x:c r="C80" s="472"/>
      <x:c r="D80" s="473"/>
      <x:c r="E80" s="474"/>
      <x:c r="F80" s="474"/>
      <x:c r="G80" s="475"/>
      <x:c r="H80" s="476"/>
      <x:c r="I80" s="477"/>
      <x:c r="J80" s="433"/>
      <x:c r="K80" s="468"/>
      <x:c r="L80" s="469"/>
      <x:c r="M80" s="433"/>
    </x:row>
    <x:row r="81" spans="1:20" ht="15" customHeight="1" x14ac:dyDescent="0.25">
      <x:c r="A81" s="478"/>
      <x:c r="B81" s="478"/>
      <x:c r="C81" s="478"/>
      <x:c r="D81" s="478"/>
      <x:c r="E81" s="478"/>
      <x:c r="F81" s="478"/>
      <x:c r="G81" s="479">
        <x:f>SUM(G70:G80)</x:f>
      </x:c>
      <x:c r="H81" s="480"/>
      <x:c r="I81" s="481"/>
      <x:c r="J81" s="479">
        <x:f>SUM(J70:J80)</x:f>
      </x:c>
      <x:c r="K81" s="482"/>
      <x:c r="L81" s="482"/>
      <x:c r="M81" s="479">
        <x:f>SUM(M70:M80)</x:f>
      </x:c>
      <x:c r="O81" s="429">
        <x:v>70.27</x:v>
      </x:c>
    </x:row>
    <x:row r="82" spans="1:20" ht="15" customHeight="1" x14ac:dyDescent="0.25">
      <x:c r="A82" s="483"/>
      <x:c r="B82" s="483"/>
      <x:c r="C82" s="483"/>
      <x:c r="D82" s="484"/>
      <x:c r="E82" s="483"/>
      <x:c r="F82" s="483"/>
      <x:c r="G82" s="432"/>
      <x:c r="H82" s="434"/>
      <x:c r="I82" s="485"/>
      <x:c r="J82" s="434"/>
      <x:c r="K82" s="434"/>
      <x:c r="L82" s="434"/>
      <x:c r="M82" s="434"/>
      <x:c r="O82" s="565">
        <x:f>O81-M81</x:f>
      </x:c>
      <x:c r="P82" s="429" t="s">
        <x:v>1771</x:v>
      </x:c>
    </x:row>
    <x:row r="83" spans="1:20" x14ac:dyDescent="0.25">
      <x:c r="A83" s="483"/>
      <x:c r="B83" s="483"/>
      <x:c r="C83" s="483"/>
      <x:c r="D83" s="484"/>
      <x:c r="E83" s="483"/>
      <x:c r="F83" s="483"/>
      <x:c r="G83" s="432"/>
      <x:c r="H83" s="434"/>
      <x:c r="I83" s="485"/>
      <x:c r="J83" s="432"/>
      <x:c r="K83" s="434"/>
      <x:c r="L83" s="434"/>
      <x:c r="M83" s="432"/>
    </x:row>
    <x:row r="84" spans="1:20" x14ac:dyDescent="0.25">
      <x:c r="A84" s="434" t="s">
        <x:v>30</x:v>
      </x:c>
      <x:c r="B84" s="483" t="s">
        <x:v>31</x:v>
      </x:c>
      <x:c r="C84" s="483" t="s">
        <x:v>32</x:v>
      </x:c>
      <x:c r="D84" s="485"/>
      <x:c r="E84" s="434"/>
      <x:c r="F84" s="434"/>
      <x:c r="G84" s="432"/>
      <x:c r="H84" s="434"/>
      <x:c r="I84" s="485"/>
      <x:c r="J84" s="434"/>
      <x:c r="K84" s="434"/>
      <x:c r="L84" s="434"/>
      <x:c r="M84" s="434"/>
    </x:row>
    <x:row r="85" spans="1:20" ht="14.4" customHeight="1" s="434" customFormat="1" x14ac:dyDescent="0.3">
      <x:c r="A85" s="664"/>
      <x:c r="B85" s="552"/>
      <x:c r="C85" s="644"/>
      <x:c r="D85" s="666"/>
      <x:c r="E85" s="665"/>
      <x:c r="F85" s="671"/>
      <x:c r="G85" s="665"/>
      <x:c r="H85" s="671"/>
      <x:c r="I85" s="666"/>
      <x:c r="J85" s="433"/>
      <x:c r="K85" s="468"/>
      <x:c r="L85" s="469"/>
      <x:c r="M85" s="433"/>
      <x:c r="N85" s="470"/>
    </x:row>
    <x:row r="86" spans="1:20" ht="15.6" customHeight="1" x14ac:dyDescent="0.3">
      <x:c r="A86" s="486"/>
      <x:c r="B86" s="462"/>
      <x:c r="C86" s="488"/>
      <x:c r="D86" s="489"/>
      <x:c r="E86" s="490"/>
      <x:c r="F86" s="490"/>
      <x:c r="G86" s="491"/>
      <x:c r="H86" s="490"/>
      <x:c r="I86" s="492"/>
      <x:c r="J86" s="433"/>
      <x:c r="K86" s="468"/>
      <x:c r="L86" s="469"/>
      <x:c r="M86" s="433"/>
    </x:row>
    <x:row r="87" spans="1:20" ht="16.2" customHeight="1" x14ac:dyDescent="0.35">
      <x:c r="A87" s="493" t="s">
        <x:v>43</x:v>
      </x:c>
      <x:c r="B87" s="493"/>
      <x:c r="C87" s="493"/>
      <x:c r="D87" s="493"/>
      <x:c r="E87" s="493"/>
      <x:c r="F87" s="493"/>
      <x:c r="G87" s="494">
        <x:f>SUM(G81:G86)</x:f>
      </x:c>
      <x:c r="I87" s="430"/>
      <x:c r="J87" s="494">
        <x:f>SUM(J81:J86)</x:f>
      </x:c>
      <x:c r="L87" s="495"/>
      <x:c r="M87" s="496">
        <x:f>SUM(M81:M86)</x:f>
      </x:c>
    </x:row>
    <x:row r="88" spans="1:20" x14ac:dyDescent="0.25">
      <x:c r="A88" s="497"/>
      <x:c r="E88" s="497"/>
      <x:c r="F88" s="497"/>
      <x:c r="G88" s="435"/>
      <x:c r="I88" s="430"/>
    </x:row>
    <x:row r="89" spans="1:20">
      <x:c r="B89" s="497"/>
      <x:c r="C89" s="497"/>
      <x:c r="D89" s="498"/>
      <x:c r="I89" s="498"/>
      <x:c r="N89" s="431"/>
    </x:row>
    <x:row r="90" spans="1:20" x14ac:dyDescent="0.25">
      <x:c r="J90" s="435"/>
    </x:row>
    <x:row r="91" spans="1:20" x14ac:dyDescent="0.25">
      <x:c r="J91" s="435"/>
    </x:row>
    <x:row r="92" spans="1:20" x14ac:dyDescent="0.25">
      <x:c r="J92" s="435">
        <x:f>(J57+J87)*2%</x:f>
      </x:c>
      <x:c r="M92" s="435">
        <x:f>M87/12</x:f>
      </x:c>
      <x:c r="N92" s="431" t="s">
        <x:v>1199</x:v>
      </x:c>
    </x:row>
    <x:row r="93" spans="1:20" x14ac:dyDescent="0.25">
      <x:c r="J93" s="435">
        <x:f>J92/12</x:f>
      </x:c>
      <x:c r="K93" s="429" t="s">
        <x:v>655</x:v>
      </x:c>
      <x:c r="M93" s="435">
        <x:f>M87/24</x:f>
      </x:c>
      <x:c r="N93" s="431" t="s">
        <x:v>1199</x:v>
      </x:c>
    </x:row>
    <x:row r="94" spans="1:20" x14ac:dyDescent="0.25">
      <x:c r="J94" s="435">
        <x:f>J92/24</x:f>
      </x:c>
      <x:c r="K94" s="429" t="s">
        <x:v>655</x:v>
      </x:c>
    </x:row>
  </x:sheetData>
  <x:sortState xmlns:xlrd2="http://schemas.microsoft.com/office/spreadsheetml/2017/richdata2" ref="A8:T47">
    <x:sortCondition ref="I8:I47"/>
  </x:sortState>
  <x:mergeCells count="2">
    <x:mergeCell ref="A3:F3"/>
    <x:mergeCell ref="A57:F57"/>
  </x:mergeCells>
  <x:printOptions horizontalCentered="0" verticalCentered="0" headings="0" gridLines="0"/>
  <x:pageMargins left="0.3937007874015748" right="0" top="0.3937007874015748" bottom="0" header="0" footer="0"/>
  <x:pageSetup paperSize="9" scale="80" pageOrder="downThenOver" orientation="landscape" blackAndWhite="0" draft="0" cellComments="none" errors="displayed" r:id="rId1"/>
  <x:headerFooter/>
  <x:tableParts count="0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9642CF-4125-414B-B854-419763D7EBE6}" mc:Ignorable="x14ac xr xr2 xr3">
  <x:sheetPr>
    <x:outlinePr summaryBelow="1" summaryRight="1"/>
  </x:sheetPr>
  <x:dimension ref="A1:T92"/>
  <x:sheetViews>
    <x:sheetView topLeftCell="A4" workbookViewId="0">
      <x:selection activeCell="D52" sqref="D52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886719" style="498" customWidth="1"/>
    <x:col min="5" max="5" width="11.664062" style="429" customWidth="1"/>
    <x:col min="6" max="6" width="9" style="429" customWidth="1"/>
    <x:col min="7" max="7" width="11.441406" style="429" customWidth="1"/>
    <x:col min="8" max="8" width="9.886719" style="429" customWidth="1"/>
    <x:col min="9" max="9" width="13" style="498" customWidth="1"/>
    <x:col min="10" max="10" width="11.554688" style="429" customWidth="1"/>
    <x:col min="11" max="11" width="7.332031" style="429" customWidth="1"/>
    <x:col min="12" max="12" width="6.441406" style="429" customWidth="1"/>
    <x:col min="13" max="13" width="8.886719" style="429" customWidth="1"/>
    <x:col min="14" max="14" width="9.664062" style="431" customWidth="1"/>
    <x:col min="15" max="15" width="12.441406" style="435" customWidth="1"/>
    <x:col min="16" max="16" width="8" style="429" customWidth="1"/>
    <x:col min="17" max="16384" width="11.441406" style="429" customWidth="1"/>
  </x:cols>
  <x:sheetData>
    <x:row r="1" spans="1:20" ht="15" customHeight="1" x14ac:dyDescent="0.25">
      <x:c r="B1" s="608"/>
      <x:c r="C1" s="608"/>
      <x:c r="G1" s="435"/>
    </x:row>
    <x:row r="2" spans="1:20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2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20" ht="15" customHeight="1" x14ac:dyDescent="0.25">
      <x:c r="A4" s="436"/>
      <x:c r="B4" s="436" t="s">
        <x:v>1772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20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20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20" ht="15" customHeight="1" s="692" customFormat="1" x14ac:dyDescent="0.25">
      <x:c r="A7" s="693" t="s">
        <x:v>10</x:v>
      </x:c>
      <x:c r="B7" s="693" t="s">
        <x:v>11</x:v>
      </x:c>
      <x:c r="C7" s="693" t="s">
        <x:v>12</x:v>
      </x:c>
      <x:c r="D7" s="625" t="s">
        <x:v>13</x:v>
      </x:c>
      <x:c r="E7" s="693" t="s">
        <x:v>14</x:v>
      </x:c>
      <x:c r="F7" s="694" t="s">
        <x:v>15</x:v>
      </x:c>
      <x:c r="G7" s="695" t="s">
        <x:v>16</x:v>
      </x:c>
      <x:c r="H7" s="696" t="s">
        <x:v>17</x:v>
      </x:c>
      <x:c r="I7" s="625" t="s">
        <x:v>18</x:v>
      </x:c>
      <x:c r="J7" s="697" t="s">
        <x:v>19</x:v>
      </x:c>
      <x:c r="K7" s="698"/>
      <x:c r="L7" s="699" t="s">
        <x:v>20</x:v>
      </x:c>
      <x:c r="M7" s="697" t="s">
        <x:v>21</x:v>
      </x:c>
      <x:c r="N7" s="700"/>
      <x:c r="O7" s="701"/>
    </x:row>
    <x:row r="8" spans="1:20" ht="15" customHeight="1" x14ac:dyDescent="0.3">
      <x:c r="A8" s="664" t="s">
        <x:v>494</x:v>
      </x:c>
      <x:c r="B8" s="670" t="s">
        <x:v>110</x:v>
      </x:c>
      <x:c r="C8" s="644" t="s">
        <x:v>1773</x:v>
      </x:c>
      <x:c r="D8" s="666">
        <x:v>46030</x:v>
      </x:c>
      <x:c r="E8" s="665">
        <x:v>926.64</x:v>
      </x:c>
      <x:c r="F8" s="665">
        <x:v>139</x:v>
      </x:c>
      <x:c r="G8" s="665">
        <x:v>892.01</x:v>
      </x:c>
      <x:c r="H8" s="665">
        <x:v>118.15</x:v>
      </x:c>
      <x:c r="I8" s="666">
        <x:v>46213</x:v>
      </x:c>
      <x:c r="J8" s="433">
        <x:f>+E8-F8</x:f>
      </x:c>
      <x:c r="K8" s="468">
        <x:f>+I8-D8</x:f>
      </x:c>
      <x:c r="L8" s="503">
        <x:v>0.03</x:v>
      </x:c>
      <x:c r="M8" s="504">
        <x:f>+J8*L8</x:f>
      </x:c>
      <x:c r="O8" s="432"/>
    </x:row>
    <x:row r="9" spans="1:20" ht="15" customHeight="1" x14ac:dyDescent="0.3">
      <x:c r="A9" s="664" t="s">
        <x:v>1044</x:v>
      </x:c>
      <x:c r="B9" s="670" t="s">
        <x:v>26</x:v>
      </x:c>
      <x:c r="C9" s="644" t="s">
        <x:v>1774</x:v>
      </x:c>
      <x:c r="D9" s="666">
        <x:v>46106</x:v>
      </x:c>
      <x:c r="E9" s="665">
        <x:v>5768.76</x:v>
      </x:c>
      <x:c r="F9" s="665">
        <x:v>1153.75</x:v>
      </x:c>
      <x:c r="G9" s="665">
        <x:v>5007.28</x:v>
      </x:c>
      <x:c r="H9" s="665">
        <x:v>692.25</x:v>
      </x:c>
      <x:c r="I9" s="666">
        <x:v>46216</x:v>
      </x:c>
      <x:c r="J9" s="433">
        <x:f>+E9-F9</x:f>
      </x:c>
      <x:c r="K9" s="468">
        <x:f>+I9-D9</x:f>
      </x:c>
      <x:c r="L9" s="503">
        <x:v>0.03</x:v>
      </x:c>
      <x:c r="M9" s="504">
        <x:f>+J9*L9</x:f>
      </x:c>
      <x:c r="O9" s="432"/>
    </x:row>
    <x:row r="10" spans="1:20" ht="15" customHeight="1" x14ac:dyDescent="0.3">
      <x:c r="A10" s="664" t="s">
        <x:v>1044</x:v>
      </x:c>
      <x:c r="B10" s="670" t="s">
        <x:v>26</x:v>
      </x:c>
      <x:c r="C10" s="644" t="s">
        <x:v>1775</x:v>
      </x:c>
      <x:c r="D10" s="666">
        <x:v>46106</x:v>
      </x:c>
      <x:c r="E10" s="665">
        <x:v>4121.4</x:v>
      </x:c>
      <x:c r="F10" s="665">
        <x:v>824.28</x:v>
      </x:c>
      <x:c r="G10" s="665">
        <x:v>3577.38</x:v>
      </x:c>
      <x:c r="H10" s="665">
        <x:v>494.57</x:v>
      </x:c>
      <x:c r="I10" s="666">
        <x:v>46216</x:v>
      </x:c>
      <x:c r="J10" s="433">
        <x:f>+E10-F10</x:f>
      </x:c>
      <x:c r="K10" s="468">
        <x:f>+I10-D10</x:f>
      </x:c>
      <x:c r="L10" s="503">
        <x:v>0.03</x:v>
      </x:c>
      <x:c r="M10" s="504">
        <x:f>+J10*L10</x:f>
      </x:c>
      <x:c r="O10" s="432"/>
    </x:row>
    <x:row r="11" spans="1:20" ht="15" customHeight="1" x14ac:dyDescent="0.3">
      <x:c r="A11" s="664" t="s">
        <x:v>1044</x:v>
      </x:c>
      <x:c r="B11" s="670" t="s">
        <x:v>26</x:v>
      </x:c>
      <x:c r="C11" s="644" t="s">
        <x:v>1776</x:v>
      </x:c>
      <x:c r="D11" s="666">
        <x:v>46106</x:v>
      </x:c>
      <x:c r="E11" s="665">
        <x:v>1422</x:v>
      </x:c>
      <x:c r="F11" s="665">
        <x:v>355.5</x:v>
      </x:c>
      <x:c r="G11" s="665">
        <x:v>1157.16</x:v>
      </x:c>
      <x:c r="H11" s="665">
        <x:v>159.98</x:v>
      </x:c>
      <x:c r="I11" s="666">
        <x:v>46216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</x:row>
    <x:row r="12" spans="1:20" ht="15" customHeight="1" x14ac:dyDescent="0.3">
      <x:c r="A12" s="664" t="s">
        <x:v>491</x:v>
      </x:c>
      <x:c r="B12" s="552" t="s">
        <x:v>1508</x:v>
      </x:c>
      <x:c r="C12" s="644" t="s">
        <x:v>1741</x:v>
      </x:c>
      <x:c r="D12" s="666">
        <x:v>46108</x:v>
      </x:c>
      <x:c r="E12" s="665">
        <x:v>655.8</x:v>
      </x:c>
      <x:c r="F12" s="665">
        <x:v>131.16</x:v>
      </x:c>
      <x:c r="G12" s="665">
        <x:v>168.76</x:v>
      </x:c>
      <x:c r="H12" s="665">
        <x:v>78.7</x:v>
      </x:c>
      <x:c r="I12" s="666">
        <x:v>46220</x:v>
      </x:c>
      <x:c r="J12" s="433">
        <x:f>168.76/1.15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20" ht="15" customHeight="1" x14ac:dyDescent="0.3">
      <x:c r="A13" s="664" t="s">
        <x:v>1153</x:v>
      </x:c>
      <x:c r="B13" s="552" t="s">
        <x:v>1526</x:v>
      </x:c>
      <x:c r="C13" s="644" t="s">
        <x:v>1777</x:v>
      </x:c>
      <x:c r="D13" s="666">
        <x:v>46112</x:v>
      </x:c>
      <x:c r="E13" s="665">
        <x:v>270.24</x:v>
      </x:c>
      <x:c r="F13" s="665">
        <x:v>40.54</x:v>
      </x:c>
      <x:c r="G13" s="665">
        <x:v>264.16</x:v>
      </x:c>
      <x:c r="H13" s="665">
        <x:v>34.46</x:v>
      </x:c>
      <x:c r="I13" s="666">
        <x:v>46232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20" ht="15" customHeight="1" x14ac:dyDescent="0.3">
      <x:c r="A14" s="664" t="s">
        <x:v>1153</x:v>
      </x:c>
      <x:c r="B14" s="552" t="s">
        <x:v>1526</x:v>
      </x:c>
      <x:c r="C14" s="644" t="s">
        <x:v>1778</x:v>
      </x:c>
      <x:c r="D14" s="666">
        <x:v>46112</x:v>
      </x:c>
      <x:c r="E14" s="665">
        <x:v>219.24</x:v>
      </x:c>
      <x:c r="F14" s="665">
        <x:v>32.89</x:v>
      </x:c>
      <x:c r="G14" s="665">
        <x:v>214.3</x:v>
      </x:c>
      <x:c r="H14" s="665">
        <x:v>27.95</x:v>
      </x:c>
      <x:c r="I14" s="666">
        <x:v>46232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  <x:c r="S14" s="515"/>
      <x:c r="T14" s="435"/>
    </x:row>
    <x:row r="15" spans="1:20" ht="15" customHeight="1" x14ac:dyDescent="0.3">
      <x:c r="A15" s="664" t="s">
        <x:v>1158</x:v>
      </x:c>
      <x:c r="B15" s="670" t="s">
        <x:v>1526</x:v>
      </x:c>
      <x:c r="C15" s="644" t="s">
        <x:v>1779</x:v>
      </x:c>
      <x:c r="D15" s="666">
        <x:v>46118</x:v>
      </x:c>
      <x:c r="E15" s="665">
        <x:v>244.68</x:v>
      </x:c>
      <x:c r="F15" s="665">
        <x:v>36.7</x:v>
      </x:c>
      <x:c r="G15" s="665">
        <x:v>225.66</x:v>
      </x:c>
      <x:c r="H15" s="665">
        <x:v>31.2</x:v>
      </x:c>
      <x:c r="I15" s="666">
        <x:v>46232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  <x:c r="S15" s="515"/>
    </x:row>
    <x:row r="16" spans="1:20" ht="15" customHeight="1" x14ac:dyDescent="0.3">
      <x:c r="A16" s="664" t="s">
        <x:v>88</x:v>
      </x:c>
      <x:c r="B16" s="670" t="s">
        <x:v>26</x:v>
      </x:c>
      <x:c r="C16" s="644" t="s">
        <x:v>1780</x:v>
      </x:c>
      <x:c r="D16" s="666">
        <x:v>46134</x:v>
      </x:c>
      <x:c r="E16" s="665">
        <x:v>305.28</x:v>
      </x:c>
      <x:c r="F16" s="665">
        <x:v>45.79</x:v>
      </x:c>
      <x:c r="G16" s="665">
        <x:v>281.54</x:v>
      </x:c>
      <x:c r="H16" s="665">
        <x:v>38.92</x:v>
      </x:c>
      <x:c r="I16" s="666">
        <x:v>46213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  <x:c r="R16" s="435"/>
    </x:row>
    <x:row r="17" spans="1:20" ht="15" customHeight="1" x14ac:dyDescent="0.3">
      <x:c r="A17" s="664" t="s">
        <x:v>324</x:v>
      </x:c>
      <x:c r="B17" s="670" t="s">
        <x:v>325</x:v>
      </x:c>
      <x:c r="C17" s="644" t="s">
        <x:v>1781</x:v>
      </x:c>
      <x:c r="D17" s="666">
        <x:v>46136</x:v>
      </x:c>
      <x:c r="E17" s="665">
        <x:v>493.92</x:v>
      </x:c>
      <x:c r="F17" s="665">
        <x:v>74.09</x:v>
      </x:c>
      <x:c r="G17" s="665">
        <x:v>227.76</x:v>
      </x:c>
      <x:c r="H17" s="665">
        <x:v>62.97</x:v>
      </x:c>
      <x:c r="I17" s="666">
        <x:v>46225</x:v>
      </x:c>
      <x:c r="J17" s="433">
        <x:f>227.76/1.15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20" ht="15" customHeight="1" x14ac:dyDescent="0.3">
      <x:c r="A18" s="664" t="s">
        <x:v>1093</x:v>
      </x:c>
      <x:c r="B18" s="670" t="s">
        <x:v>47</x:v>
      </x:c>
      <x:c r="C18" s="644" t="s">
        <x:v>1782</x:v>
      </x:c>
      <x:c r="D18" s="666">
        <x:v>46136</x:v>
      </x:c>
      <x:c r="E18" s="665">
        <x:v>425.76</x:v>
      </x:c>
      <x:c r="F18" s="665">
        <x:v>63.86</x:v>
      </x:c>
      <x:c r="G18" s="665">
        <x:v>60</x:v>
      </x:c>
      <x:c r="H18" s="665">
        <x:v>54.28</x:v>
      </x:c>
      <x:c r="I18" s="666">
        <x:v>46212</x:v>
      </x:c>
      <x:c r="J18" s="433">
        <x:f>60/1.15</x:f>
      </x:c>
      <x:c r="K18" s="468">
        <x:f>+I18-D18</x:f>
      </x:c>
      <x:c r="L18" s="503">
        <x:v>0.03</x:v>
      </x:c>
      <x:c r="M18" s="504">
        <x:f>+J18*L18</x:f>
      </x:c>
      <x:c r="O18" s="432"/>
    </x:row>
    <x:row r="19" spans="1:20" ht="15" customHeight="1" x14ac:dyDescent="0.3">
      <x:c r="A19" s="664" t="s">
        <x:v>1093</x:v>
      </x:c>
      <x:c r="B19" s="670" t="s">
        <x:v>47</x:v>
      </x:c>
      <x:c r="C19" s="644" t="s">
        <x:v>1782</x:v>
      </x:c>
      <x:c r="D19" s="666">
        <x:v>46136</x:v>
      </x:c>
      <x:c r="E19" s="665">
        <x:v>425.76</x:v>
      </x:c>
      <x:c r="F19" s="665">
        <x:v>63.86</x:v>
      </x:c>
      <x:c r="G19" s="665">
        <x:v>356.18</x:v>
      </x:c>
      <x:c r="H19" s="665">
        <x:v>54.28</x:v>
      </x:c>
      <x:c r="I19" s="666">
        <x:v>46213</x:v>
      </x:c>
      <x:c r="J19" s="433">
        <x:f>356.18/1.15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20" ht="15" customHeight="1" x14ac:dyDescent="0.3">
      <x:c r="A20" s="664" t="s">
        <x:v>498</x:v>
      </x:c>
      <x:c r="B20" s="670" t="s">
        <x:v>320</x:v>
      </x:c>
      <x:c r="C20" s="644" t="s">
        <x:v>1783</x:v>
      </x:c>
      <x:c r="D20" s="666">
        <x:v>46139</x:v>
      </x:c>
      <x:c r="E20" s="665">
        <x:v>381.3</x:v>
      </x:c>
      <x:c r="F20" s="665">
        <x:v>57.2</x:v>
      </x:c>
      <x:c r="G20" s="665">
        <x:v>372.73</x:v>
      </x:c>
      <x:c r="H20" s="665">
        <x:v>48.62</x:v>
      </x:c>
      <x:c r="I20" s="666">
        <x:v>46223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20" ht="15" customHeight="1" x14ac:dyDescent="0.3">
      <x:c r="A21" s="664" t="s">
        <x:v>542</x:v>
      </x:c>
      <x:c r="B21" s="670" t="s">
        <x:v>320</x:v>
      </x:c>
      <x:c r="C21" s="644" t="s">
        <x:v>1784</x:v>
      </x:c>
      <x:c r="D21" s="666">
        <x:v>46139</x:v>
      </x:c>
      <x:c r="E21" s="665">
        <x:v>214.98</x:v>
      </x:c>
      <x:c r="F21" s="665">
        <x:v>32.25</x:v>
      </x:c>
      <x:c r="G21" s="665">
        <x:v>100</x:v>
      </x:c>
      <x:c r="H21" s="665">
        <x:v>27.41</x:v>
      </x:c>
      <x:c r="I21" s="666">
        <x:v>46213</x:v>
      </x:c>
      <x:c r="J21" s="433">
        <x:f>100/1.15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20" ht="15" customHeight="1" x14ac:dyDescent="0.3">
      <x:c r="A22" s="664" t="s">
        <x:v>322</x:v>
      </x:c>
      <x:c r="B22" s="670" t="s">
        <x:v>320</x:v>
      </x:c>
      <x:c r="C22" s="644" t="s">
        <x:v>1785</x:v>
      </x:c>
      <x:c r="D22" s="666">
        <x:v>46146</x:v>
      </x:c>
      <x:c r="E22" s="665">
        <x:v>204</x:v>
      </x:c>
      <x:c r="F22" s="665">
        <x:v>30.6</x:v>
      </x:c>
      <x:c r="G22" s="665">
        <x:v>199.41</x:v>
      </x:c>
      <x:c r="H22" s="665">
        <x:v>26.01</x:v>
      </x:c>
      <x:c r="I22" s="666">
        <x:v>46218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20" ht="15" customHeight="1" x14ac:dyDescent="0.3">
      <x:c r="A23" s="664" t="s">
        <x:v>114</x:v>
      </x:c>
      <x:c r="B23" s="670" t="s">
        <x:v>26</x:v>
      </x:c>
      <x:c r="C23" s="644" t="s">
        <x:v>1786</x:v>
      </x:c>
      <x:c r="D23" s="666">
        <x:v>46156</x:v>
      </x:c>
      <x:c r="E23" s="665">
        <x:v>312.12</x:v>
      </x:c>
      <x:c r="F23" s="665">
        <x:v>62.42</x:v>
      </x:c>
      <x:c r="G23" s="665">
        <x:v>270.92</x:v>
      </x:c>
      <x:c r="H23" s="665">
        <x:v>37.45</x:v>
      </x:c>
      <x:c r="I23" s="666">
        <x:v>46212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</x:row>
    <x:row r="24" spans="1:20" ht="15" customHeight="1" x14ac:dyDescent="0.3">
      <x:c r="A24" s="664" t="s">
        <x:v>114</x:v>
      </x:c>
      <x:c r="B24" s="670" t="s">
        <x:v>26</x:v>
      </x:c>
      <x:c r="C24" s="644" t="s">
        <x:v>1787</x:v>
      </x:c>
      <x:c r="D24" s="666">
        <x:v>46156</x:v>
      </x:c>
      <x:c r="E24" s="665">
        <x:v>168.24</x:v>
      </x:c>
      <x:c r="F24" s="665">
        <x:v>33.65</x:v>
      </x:c>
      <x:c r="G24" s="665">
        <x:v>146.03</x:v>
      </x:c>
      <x:c r="H24" s="665">
        <x:v>20.19</x:v>
      </x:c>
      <x:c r="I24" s="666">
        <x:v>46212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20" ht="15" customHeight="1" x14ac:dyDescent="0.3">
      <x:c r="A25" s="664" t="s">
        <x:v>118</x:v>
      </x:c>
      <x:c r="B25" s="670" t="s">
        <x:v>26</x:v>
      </x:c>
      <x:c r="C25" s="644" t="s">
        <x:v>1788</x:v>
      </x:c>
      <x:c r="D25" s="666">
        <x:v>46156</x:v>
      </x:c>
      <x:c r="E25" s="665">
        <x:v>184.8</x:v>
      </x:c>
      <x:c r="F25" s="665">
        <x:v>40.66</x:v>
      </x:c>
      <x:c r="G25" s="665">
        <x:v>156.39</x:v>
      </x:c>
      <x:c r="H25" s="665">
        <x:v>21.62</x:v>
      </x:c>
      <x:c r="I25" s="666">
        <x:v>46213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20" ht="15" customHeight="1" x14ac:dyDescent="0.3">
      <x:c r="A26" s="664" t="s">
        <x:v>822</x:v>
      </x:c>
      <x:c r="B26" s="670" t="s">
        <x:v>26</x:v>
      </x:c>
      <x:c r="C26" s="644" t="s">
        <x:v>1789</x:v>
      </x:c>
      <x:c r="D26" s="666">
        <x:v>46163</x:v>
      </x:c>
      <x:c r="E26" s="665">
        <x:v>63.6</x:v>
      </x:c>
      <x:c r="F26" s="665">
        <x:v>9.54</x:v>
      </x:c>
      <x:c r="G26" s="665">
        <x:v>58.66</x:v>
      </x:c>
      <x:c r="H26" s="665">
        <x:v>8.11</x:v>
      </x:c>
      <x:c r="I26" s="666">
        <x:v>46233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20" ht="15" customHeight="1" x14ac:dyDescent="0.3">
      <x:c r="A27" s="664" t="s">
        <x:v>757</x:v>
      </x:c>
      <x:c r="B27" s="670" t="s">
        <x:v>401</x:v>
      </x:c>
      <x:c r="C27" s="644" t="s">
        <x:v>1790</x:v>
      </x:c>
      <x:c r="D27" s="666">
        <x:v>46169</x:v>
      </x:c>
      <x:c r="E27" s="665">
        <x:v>147.48</x:v>
      </x:c>
      <x:c r="F27" s="665">
        <x:v>22.12</x:v>
      </x:c>
      <x:c r="G27" s="665">
        <x:v>144.16</x:v>
      </x:c>
      <x:c r="H27" s="665">
        <x:v>18.8</x:v>
      </x:c>
      <x:c r="I27" s="666">
        <x:v>46219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20" ht="15" customHeight="1" x14ac:dyDescent="0.3">
      <x:c r="A28" s="664" t="s">
        <x:v>335</x:v>
      </x:c>
      <x:c r="B28" s="552" t="s">
        <x:v>336</x:v>
      </x:c>
      <x:c r="C28" s="644" t="s">
        <x:v>1791</x:v>
      </x:c>
      <x:c r="D28" s="666">
        <x:v>46170</x:v>
      </x:c>
      <x:c r="E28" s="665">
        <x:v>426.36</x:v>
      </x:c>
      <x:c r="F28" s="665">
        <x:v>72.48</x:v>
      </x:c>
      <x:c r="G28" s="665">
        <x:v>383.96</x:v>
      </x:c>
      <x:c r="H28" s="665">
        <x:v>53.08</x:v>
      </x:c>
      <x:c r="I28" s="666">
        <x:v>46210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20" ht="15" customHeight="1" x14ac:dyDescent="0.3">
      <x:c r="A29" s="664" t="s">
        <x:v>109</x:v>
      </x:c>
      <x:c r="B29" s="670" t="s">
        <x:v>110</x:v>
      </x:c>
      <x:c r="C29" s="644" t="s">
        <x:v>1792</x:v>
      </x:c>
      <x:c r="D29" s="666">
        <x:v>46170</x:v>
      </x:c>
      <x:c r="E29" s="665">
        <x:v>194.04</x:v>
      </x:c>
      <x:c r="F29" s="665">
        <x:v>29.11</x:v>
      </x:c>
      <x:c r="G29" s="665">
        <x:v>178.95</x:v>
      </x:c>
      <x:c r="H29" s="665">
        <x:v>24.74</x:v>
      </x:c>
      <x:c r="I29" s="666">
        <x:v>46226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20" ht="15" customHeight="1" x14ac:dyDescent="0.3">
      <x:c r="A30" s="664" t="s">
        <x:v>228</x:v>
      </x:c>
      <x:c r="B30" s="670" t="s">
        <x:v>155</x:v>
      </x:c>
      <x:c r="C30" s="644" t="s">
        <x:v>1793</x:v>
      </x:c>
      <x:c r="D30" s="666">
        <x:v>46174</x:v>
      </x:c>
      <x:c r="E30" s="665">
        <x:v>376.44</x:v>
      </x:c>
      <x:c r="F30" s="665">
        <x:v>75.29</x:v>
      </x:c>
      <x:c r="G30" s="665">
        <x:v>326.75</x:v>
      </x:c>
      <x:c r="H30" s="665">
        <x:v>45.17</x:v>
      </x:c>
      <x:c r="I30" s="666">
        <x:v>46205</x:v>
      </x:c>
      <x:c r="J30" s="433">
        <x:f>+E30-F30</x:f>
      </x:c>
      <x:c r="K30" s="468">
        <x:f>+I30-D30</x:f>
      </x:c>
      <x:c r="L30" s="503">
        <x:v>0.03</x:v>
      </x:c>
      <x:c r="M30" s="504">
        <x:f>+J30*L30</x:f>
      </x:c>
      <x:c r="O30" s="432"/>
    </x:row>
    <x:row r="31" spans="1:20" ht="15" customHeight="1" x14ac:dyDescent="0.3">
      <x:c r="A31" s="664" t="s">
        <x:v>36</x:v>
      </x:c>
      <x:c r="B31" s="552" t="s">
        <x:v>26</x:v>
      </x:c>
      <x:c r="C31" s="644" t="s">
        <x:v>1794</x:v>
      </x:c>
      <x:c r="D31" s="666">
        <x:v>46175</x:v>
      </x:c>
      <x:c r="E31" s="665">
        <x:v>93.6</x:v>
      </x:c>
      <x:c r="F31" s="665">
        <x:v>14.04</x:v>
      </x:c>
      <x:c r="G31" s="665">
        <x:v>86.32</x:v>
      </x:c>
      <x:c r="H31" s="665">
        <x:v>11.93</x:v>
      </x:c>
      <x:c r="I31" s="666">
        <x:v>46230</x:v>
      </x:c>
      <x:c r="J31" s="433">
        <x:f>+E31-F31</x:f>
      </x:c>
      <x:c r="K31" s="468">
        <x:f>+I31-D31</x:f>
      </x:c>
      <x:c r="L31" s="503">
        <x:v>0.03</x:v>
      </x:c>
      <x:c r="M31" s="504">
        <x:f>+J31*L31</x:f>
      </x:c>
      <x:c r="O31" s="432"/>
    </x:row>
    <x:row r="32" spans="1:20" ht="15" customHeight="1" x14ac:dyDescent="0.3">
      <x:c r="A32" s="664" t="s">
        <x:v>114</x:v>
      </x:c>
      <x:c r="B32" s="670" t="s">
        <x:v>26</x:v>
      </x:c>
      <x:c r="C32" s="644" t="s">
        <x:v>1795</x:v>
      </x:c>
      <x:c r="D32" s="666">
        <x:v>46176</x:v>
      </x:c>
      <x:c r="E32" s="665">
        <x:v>205.56</x:v>
      </x:c>
      <x:c r="F32" s="665">
        <x:v>41.11</x:v>
      </x:c>
      <x:c r="G32" s="665">
        <x:v>178.43</x:v>
      </x:c>
      <x:c r="H32" s="665">
        <x:v>24.67</x:v>
      </x:c>
      <x:c r="I32" s="666">
        <x:v>46212</x:v>
      </x:c>
      <x:c r="J32" s="433">
        <x:f>+E32-F32</x:f>
      </x:c>
      <x:c r="K32" s="468">
        <x:f>+I32-D32</x:f>
      </x:c>
      <x:c r="L32" s="503">
        <x:v>0.03</x:v>
      </x:c>
      <x:c r="M32" s="504">
        <x:f>+J32*L32</x:f>
      </x:c>
      <x:c r="O32" s="432"/>
    </x:row>
    <x:row r="33" spans="1:20" ht="15" customHeight="1" x14ac:dyDescent="0.3">
      <x:c r="A33" s="664" t="s">
        <x:v>36</x:v>
      </x:c>
      <x:c r="B33" s="552" t="s">
        <x:v>26</x:v>
      </x:c>
      <x:c r="C33" s="644" t="s">
        <x:v>1796</x:v>
      </x:c>
      <x:c r="D33" s="666">
        <x:v>46182</x:v>
      </x:c>
      <x:c r="E33" s="665">
        <x:v>223.92</x:v>
      </x:c>
      <x:c r="F33" s="665">
        <x:v>55.98</x:v>
      </x:c>
      <x:c r="G33" s="665">
        <x:v>182.21</x:v>
      </x:c>
      <x:c r="H33" s="665">
        <x:v>25.19</x:v>
      </x:c>
      <x:c r="I33" s="666">
        <x:v>46230</x:v>
      </x:c>
      <x:c r="J33" s="433">
        <x:f>+E33-F33</x:f>
      </x:c>
      <x:c r="K33" s="468">
        <x:f>+I33-D33</x:f>
      </x:c>
      <x:c r="L33" s="503">
        <x:v>0.03</x:v>
      </x:c>
      <x:c r="M33" s="504">
        <x:f>+J33*L33</x:f>
      </x:c>
      <x:c r="O33" s="432"/>
    </x:row>
    <x:row r="34" spans="1:20" ht="15" customHeight="1" x14ac:dyDescent="0.3">
      <x:c r="A34" s="664" t="s">
        <x:v>118</x:v>
      </x:c>
      <x:c r="B34" s="670" t="s">
        <x:v>26</x:v>
      </x:c>
      <x:c r="C34" s="644" t="s">
        <x:v>1797</x:v>
      </x:c>
      <x:c r="D34" s="666">
        <x:v>46182</x:v>
      </x:c>
      <x:c r="E34" s="665">
        <x:v>204</x:v>
      </x:c>
      <x:c r="F34" s="665">
        <x:v>44.88</x:v>
      </x:c>
      <x:c r="G34" s="665">
        <x:v>172.65</x:v>
      </x:c>
      <x:c r="H34" s="665">
        <x:v>23.87</x:v>
      </x:c>
      <x:c r="I34" s="666">
        <x:v>46213</x:v>
      </x:c>
      <x:c r="J34" s="433">
        <x:f>+E34-F34</x:f>
      </x:c>
      <x:c r="K34" s="468">
        <x:f>+I34-D34</x:f>
      </x:c>
      <x:c r="L34" s="503">
        <x:v>0.03</x:v>
      </x:c>
      <x:c r="M34" s="504">
        <x:f>+J34*L34</x:f>
      </x:c>
      <x:c r="O34" s="432"/>
    </x:row>
    <x:row r="35" spans="1:20" ht="15" customHeight="1" x14ac:dyDescent="0.3">
      <x:c r="A35" s="664" t="s">
        <x:v>296</x:v>
      </x:c>
      <x:c r="B35" s="670" t="s">
        <x:v>26</x:v>
      </x:c>
      <x:c r="C35" s="644" t="s">
        <x:v>1798</x:v>
      </x:c>
      <x:c r="D35" s="666">
        <x:v>46182</x:v>
      </x:c>
      <x:c r="E35" s="665">
        <x:v>117</x:v>
      </x:c>
      <x:c r="F35" s="665">
        <x:v>17.55</x:v>
      </x:c>
      <x:c r="G35" s="665">
        <x:v>114.37</x:v>
      </x:c>
      <x:c r="H35" s="665">
        <x:v>14.92</x:v>
      </x:c>
      <x:c r="I35" s="666">
        <x:v>46213</x:v>
      </x:c>
      <x:c r="J35" s="433">
        <x:f>+E35-F35</x:f>
      </x:c>
      <x:c r="K35" s="468">
        <x:f>+I35-D35</x:f>
      </x:c>
      <x:c r="L35" s="503">
        <x:v>0.03</x:v>
      </x:c>
      <x:c r="M35" s="504">
        <x:f>+J35*L35</x:f>
      </x:c>
      <x:c r="O35" s="432"/>
    </x:row>
    <x:row r="36" spans="1:20" ht="15" customHeight="1" x14ac:dyDescent="0.3">
      <x:c r="A36" s="664" t="s">
        <x:v>25</x:v>
      </x:c>
      <x:c r="B36" s="670" t="s">
        <x:v>26</x:v>
      </x:c>
      <x:c r="C36" s="644" t="s">
        <x:v>1799</x:v>
      </x:c>
      <x:c r="D36" s="666">
        <x:v>46184</x:v>
      </x:c>
      <x:c r="E36" s="665">
        <x:v>612</x:v>
      </x:c>
      <x:c r="F36" s="665">
        <x:v>122.4</x:v>
      </x:c>
      <x:c r="G36" s="665">
        <x:v>531.22</x:v>
      </x:c>
      <x:c r="H36" s="665">
        <x:v>73.44</x:v>
      </x:c>
      <x:c r="I36" s="666">
        <x:v>46218</x:v>
      </x:c>
      <x:c r="J36" s="433">
        <x:f>+E36-F36</x:f>
      </x:c>
      <x:c r="K36" s="468">
        <x:f>+I36-D36</x:f>
      </x:c>
      <x:c r="L36" s="503">
        <x:v>0.03</x:v>
      </x:c>
      <x:c r="M36" s="504">
        <x:f>+J36*L36</x:f>
      </x:c>
      <x:c r="O36" s="432"/>
    </x:row>
    <x:row r="37" spans="1:20" ht="15" customHeight="1" x14ac:dyDescent="0.3">
      <x:c r="A37" s="664" t="s">
        <x:v>225</x:v>
      </x:c>
      <x:c r="B37" s="670" t="s">
        <x:v>105</x:v>
      </x:c>
      <x:c r="C37" s="644" t="s">
        <x:v>1800</x:v>
      </x:c>
      <x:c r="D37" s="666">
        <x:v>46204</x:v>
      </x:c>
      <x:c r="E37" s="665">
        <x:v>7808.88</x:v>
      </x:c>
      <x:c r="F37" s="665">
        <x:v>1952.22</x:v>
      </x:c>
      <x:c r="G37" s="665">
        <x:v>5872.48</x:v>
      </x:c>
      <x:c r="H37" s="665">
        <x:v>878.5</x:v>
      </x:c>
      <x:c r="I37" s="666">
        <x:v>46210</x:v>
      </x:c>
      <x:c r="J37" s="433">
        <x:f>+E37-F37</x:f>
      </x:c>
      <x:c r="K37" s="468">
        <x:f>+I37-D37</x:f>
      </x:c>
      <x:c r="L37" s="503">
        <x:v>0.04</x:v>
      </x:c>
      <x:c r="M37" s="504">
        <x:f>+J37*L37</x:f>
      </x:c>
      <x:c r="O37" s="432"/>
    </x:row>
    <x:row r="38" spans="1:20" ht="15" customHeight="1" x14ac:dyDescent="0.3">
      <x:c r="A38" s="664" t="s">
        <x:v>1550</x:v>
      </x:c>
      <x:c r="B38" s="670" t="s">
        <x:v>26</x:v>
      </x:c>
      <x:c r="C38" s="644" t="s">
        <x:v>1801</x:v>
      </x:c>
      <x:c r="D38" s="666">
        <x:v>46224</x:v>
      </x:c>
      <x:c r="E38" s="665">
        <x:v>297.5</x:v>
      </x:c>
      <x:c r="F38" s="665">
        <x:v>44.63</x:v>
      </x:c>
      <x:c r="G38" s="665">
        <x:v>274.37</x:v>
      </x:c>
      <x:c r="H38" s="665">
        <x:v>37.93</x:v>
      </x:c>
      <x:c r="I38" s="666">
        <x:v>46224</x:v>
      </x:c>
      <x:c r="J38" s="433">
        <x:f>+E38-F38</x:f>
      </x:c>
      <x:c r="K38" s="468">
        <x:f>+I38-D38</x:f>
      </x:c>
      <x:c r="L38" s="503">
        <x:v>0.04</x:v>
      </x:c>
      <x:c r="M38" s="504">
        <x:f>+J38*L38</x:f>
      </x:c>
      <x:c r="O38" s="432"/>
    </x:row>
    <x:row r="39" spans="1:20" ht="15" customHeight="1" x14ac:dyDescent="0.3">
      <x:c r="A39" s="664"/>
      <x:c r="B39" s="552"/>
      <x:c r="C39" s="644"/>
      <x:c r="D39" s="685"/>
      <x:c r="E39" s="671"/>
      <x:c r="F39" s="671"/>
      <x:c r="G39" s="665"/>
      <x:c r="H39" s="671"/>
      <x:c r="I39" s="666"/>
      <x:c r="J39" s="433"/>
      <x:c r="K39" s="468"/>
      <x:c r="L39" s="503"/>
      <x:c r="M39" s="504"/>
      <x:c r="O39" s="432"/>
    </x:row>
    <x:row r="40" spans="1:20" ht="15" customHeight="1" x14ac:dyDescent="0.25">
      <x:c r="A40" s="606"/>
      <x:c r="B40" s="573"/>
      <x:c r="C40" s="606"/>
      <x:c r="D40" s="629"/>
      <x:c r="E40" s="569"/>
      <x:c r="F40" s="569"/>
      <x:c r="G40" s="466"/>
      <x:c r="H40" s="569"/>
      <x:c r="I40" s="467"/>
      <x:c r="J40" s="433"/>
      <x:c r="K40" s="468"/>
      <x:c r="L40" s="503"/>
      <x:c r="M40" s="504"/>
      <x:c r="O40" s="432"/>
    </x:row>
    <x:row r="41" spans="1:20" ht="15" customHeight="1" x14ac:dyDescent="0.3">
      <x:c r="G41" s="516">
        <x:f>SUM(G8:G40)</x:f>
      </x:c>
      <x:c r="J41" s="516">
        <x:f>SUM(J8:J40)</x:f>
      </x:c>
      <x:c r="M41" s="516">
        <x:f>SUM(M8:M40)</x:f>
      </x:c>
      <x:c r="O41" s="432"/>
    </x:row>
    <x:row r="42" spans="1:20" ht="15" customHeight="1" x14ac:dyDescent="0.25">
      <x:c r="G42" s="435"/>
      <x:c r="H42" s="435"/>
      <x:c r="O42" s="432"/>
    </x:row>
    <x:row r="43" spans="1:20" ht="15" customHeight="1" x14ac:dyDescent="0.25">
      <x:c r="A43" s="517" t="s">
        <x:v>30</x:v>
      </x:c>
      <x:c r="B43" s="518" t="s">
        <x:v>31</x:v>
      </x:c>
      <x:c r="C43" s="518" t="s">
        <x:v>32</x:v>
      </x:c>
      <x:c r="J43" s="435"/>
      <x:c r="O43" s="432"/>
    </x:row>
    <x:row r="44" spans="1:20" ht="14.4" customHeight="1" s="434" customFormat="1" x14ac:dyDescent="0.3">
      <x:c r="A44" s="664" t="s">
        <x:v>70</x:v>
      </x:c>
      <x:c r="B44" s="702" t="s">
        <x:v>1802</x:v>
      </x:c>
      <x:c r="C44" s="644" t="s">
        <x:v>1803</x:v>
      </x:c>
      <x:c r="D44" s="666">
        <x:v>46223</x:v>
      </x:c>
      <x:c r="E44" s="665">
        <x:v>602.04</x:v>
      </x:c>
      <x:c r="F44" s="665">
        <x:v>120.41</x:v>
      </x:c>
      <x:c r="G44" s="665">
        <x:v>544.24</x:v>
      </x:c>
      <x:c r="H44" s="665">
        <x:v>72.24</x:v>
      </x:c>
      <x:c r="I44" s="666">
        <x:v>46254</x:v>
      </x:c>
      <x:c r="J44" s="433">
        <x:f>+E44-F44</x:f>
      </x:c>
      <x:c r="K44" s="468">
        <x:f>+I44-D44</x:f>
      </x:c>
      <x:c r="L44" s="469">
        <x:v>0.03</x:v>
      </x:c>
      <x:c r="M44" s="433">
        <x:f>+J44*L44</x:f>
      </x:c>
      <x:c r="N44" s="470"/>
      <x:c r="O44" s="432"/>
    </x:row>
    <x:row r="45" spans="1:20" ht="14.4" customHeight="1" s="434" customFormat="1" x14ac:dyDescent="0.3">
      <x:c r="A45" s="664" t="s">
        <x:v>1037</x:v>
      </x:c>
      <x:c r="B45" s="702" t="s">
        <x:v>1804</x:v>
      </x:c>
      <x:c r="C45" s="644" t="s">
        <x:v>1805</x:v>
      </x:c>
      <x:c r="D45" s="666">
        <x:v>46146</x:v>
      </x:c>
      <x:c r="E45" s="665">
        <x:v>744.6</x:v>
      </x:c>
      <x:c r="F45" s="665">
        <x:v>111.69</x:v>
      </x:c>
      <x:c r="G45" s="665">
        <x:v>686.71</x:v>
      </x:c>
      <x:c r="H45" s="665">
        <x:v>94.94</x:v>
      </x:c>
      <x:c r="I45" s="666">
        <x:v>46283</x:v>
      </x:c>
      <x:c r="J45" s="433">
        <x:f>+E45-F45</x:f>
      </x:c>
      <x:c r="K45" s="468">
        <x:f>+I45-D45</x:f>
      </x:c>
      <x:c r="L45" s="469">
        <x:v>0.03</x:v>
      </x:c>
      <x:c r="M45" s="433">
        <x:f>+J45*L45</x:f>
      </x:c>
      <x:c r="N45" s="470"/>
      <x:c r="O45" s="432"/>
    </x:row>
    <x:row r="46" spans="1:20" ht="14.4" customHeight="1" s="434" customFormat="1" x14ac:dyDescent="0.3">
      <x:c r="A46" s="664" t="s">
        <x:v>324</x:v>
      </x:c>
      <x:c r="B46" s="702" t="s">
        <x:v>1806</x:v>
      </x:c>
      <x:c r="C46" s="644" t="s">
        <x:v>1781</x:v>
      </x:c>
      <x:c r="D46" s="666">
        <x:v>46136</x:v>
      </x:c>
      <x:c r="E46" s="665">
        <x:v>493.92</x:v>
      </x:c>
      <x:c r="F46" s="665">
        <x:v>74.09</x:v>
      </x:c>
      <x:c r="G46" s="665">
        <x:v>227.75</x:v>
      </x:c>
      <x:c r="H46" s="665">
        <x:v>62.97</x:v>
      </x:c>
      <x:c r="I46" s="666">
        <x:v>46256</x:v>
      </x:c>
      <x:c r="J46" s="433">
        <x:f>227.75/1.15</x:f>
      </x:c>
      <x:c r="K46" s="468">
        <x:f>+I46-D46</x:f>
      </x:c>
      <x:c r="L46" s="469">
        <x:v>0.03</x:v>
      </x:c>
      <x:c r="M46" s="433">
        <x:f>+J46*L46</x:f>
      </x:c>
      <x:c r="N46" s="470"/>
      <x:c r="O46" s="432"/>
    </x:row>
    <x:row r="47" spans="1:20" ht="14.4" customHeight="1" s="434" customFormat="1" x14ac:dyDescent="0.3">
      <x:c r="A47" s="664" t="s">
        <x:v>494</x:v>
      </x:c>
      <x:c r="B47" s="702" t="s">
        <x:v>1807</x:v>
      </x:c>
      <x:c r="C47" s="644" t="s">
        <x:v>1808</x:v>
      </x:c>
      <x:c r="D47" s="666">
        <x:v>46160</x:v>
      </x:c>
      <x:c r="E47" s="665">
        <x:v>1479.84</x:v>
      </x:c>
      <x:c r="F47" s="665">
        <x:v>221.98</x:v>
      </x:c>
      <x:c r="G47" s="665">
        <x:v>1421.38</x:v>
      </x:c>
      <x:c r="H47" s="665">
        <x:v>188.68</x:v>
      </x:c>
      <x:c r="I47" s="666">
        <x:v>46295</x:v>
      </x:c>
      <x:c r="J47" s="433">
        <x:f>+E47-F47</x:f>
      </x:c>
      <x:c r="K47" s="468">
        <x:f>+I47-D47</x:f>
      </x:c>
      <x:c r="L47" s="469">
        <x:v>0.03</x:v>
      </x:c>
      <x:c r="M47" s="433">
        <x:f>+J47*L47</x:f>
      </x:c>
      <x:c r="N47" s="470"/>
      <x:c r="O47" s="432"/>
    </x:row>
    <x:row r="48" spans="1:20" ht="15" customHeight="1" x14ac:dyDescent="0.3">
      <x:c r="A48" s="664" t="s">
        <x:v>57</x:v>
      </x:c>
      <x:c r="B48" s="702" t="s">
        <x:v>1809</x:v>
      </x:c>
      <x:c r="C48" s="644" t="s">
        <x:v>1810</x:v>
      </x:c>
      <x:c r="D48" s="666">
        <x:v>46140</x:v>
      </x:c>
      <x:c r="E48" s="665">
        <x:v>938.4</x:v>
      </x:c>
      <x:c r="F48" s="665">
        <x:v>187.68</x:v>
      </x:c>
      <x:c r="G48" s="665">
        <x:v>814.54</x:v>
      </x:c>
      <x:c r="H48" s="665">
        <x:v>112.61</x:v>
      </x:c>
      <x:c r="I48" s="666">
        <x:v>46237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20" ht="15" customHeight="1" x14ac:dyDescent="0.3">
      <x:c r="A49" s="664" t="s">
        <x:v>57</x:v>
      </x:c>
      <x:c r="B49" s="702" t="s">
        <x:v>1809</x:v>
      </x:c>
      <x:c r="C49" s="644" t="s">
        <x:v>1811</x:v>
      </x:c>
      <x:c r="D49" s="666">
        <x:v>46132</x:v>
      </x:c>
      <x:c r="E49" s="665">
        <x:v>1141.8</x:v>
      </x:c>
      <x:c r="F49" s="665">
        <x:v>228.36</x:v>
      </x:c>
      <x:c r="G49" s="665">
        <x:v>991.08</x:v>
      </x:c>
      <x:c r="H49" s="665">
        <x:v>137.02</x:v>
      </x:c>
      <x:c r="I49" s="666">
        <x:v>46237</x:v>
      </x:c>
      <x:c r="J49" s="433">
        <x:f>+E49-F49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20" ht="14.4" customHeight="1" s="434" customFormat="1" x14ac:dyDescent="0.3">
      <x:c r="A50" s="664" t="s">
        <x:v>136</x:v>
      </x:c>
      <x:c r="B50" s="702" t="s">
        <x:v>1812</x:v>
      </x:c>
      <x:c r="C50" s="644" t="s">
        <x:v>1813</x:v>
      </x:c>
      <x:c r="D50" s="666">
        <x:v>46212</x:v>
      </x:c>
      <x:c r="E50" s="665">
        <x:v>594</x:v>
      </x:c>
      <x:c r="F50" s="665">
        <x:v>148.5</x:v>
      </x:c>
      <x:c r="G50" s="665">
        <x:v>483.37</x:v>
      </x:c>
      <x:c r="H50" s="665">
        <x:v>66.83</x:v>
      </x:c>
      <x:c r="I50" s="666">
        <x:v>46242</x:v>
      </x:c>
      <x:c r="J50" s="433">
        <x:f>+E50-F50</x:f>
      </x:c>
      <x:c r="K50" s="468">
        <x:f>+I50-D50</x:f>
      </x:c>
      <x:c r="L50" s="469">
        <x:v>0.03</x:v>
      </x:c>
      <x:c r="M50" s="433">
        <x:f>+J50*L50</x:f>
      </x:c>
      <x:c r="N50" s="470"/>
      <x:c r="O50" s="432"/>
    </x:row>
    <x:row r="51" spans="1:20" ht="14.4" customHeight="1" s="434" customFormat="1" x14ac:dyDescent="0.3">
      <x:c r="A51" s="664" t="s">
        <x:v>36</x:v>
      </x:c>
      <x:c r="B51" s="702" t="s">
        <x:v>1814</x:v>
      </x:c>
      <x:c r="C51" s="644" t="s">
        <x:v>1815</x:v>
      </x:c>
      <x:c r="D51" s="666">
        <x:v>46191</x:v>
      </x:c>
      <x:c r="E51" s="665">
        <x:v>448.8</x:v>
      </x:c>
      <x:c r="F51" s="665">
        <x:v>112.2</x:v>
      </x:c>
      <x:c r="G51" s="665">
        <x:v>365.21</x:v>
      </x:c>
      <x:c r="H51" s="665">
        <x:v>50.49</x:v>
      </x:c>
      <x:c r="I51" s="666">
        <x:v>46243</x:v>
      </x:c>
      <x:c r="J51" s="433">
        <x:f>+E51-F51</x:f>
      </x:c>
      <x:c r="K51" s="468">
        <x:f>+I51-D51</x:f>
      </x:c>
      <x:c r="L51" s="469">
        <x:v>0.03</x:v>
      </x:c>
      <x:c r="M51" s="433">
        <x:f>+J51*L51</x:f>
      </x:c>
      <x:c r="N51" s="470"/>
      <x:c r="O51" s="432"/>
    </x:row>
    <x:row r="52" spans="1:20" ht="14.4" customHeight="1" s="434" customFormat="1" x14ac:dyDescent="0.3">
      <x:c r="A52" s="664" t="s">
        <x:v>36</x:v>
      </x:c>
      <x:c r="B52" s="702" t="s">
        <x:v>1814</x:v>
      </x:c>
      <x:c r="C52" s="644" t="s">
        <x:v>1816</x:v>
      </x:c>
      <x:c r="D52" s="666">
        <x:v>46195</x:v>
      </x:c>
      <x:c r="E52" s="665">
        <x:v>144.6</x:v>
      </x:c>
      <x:c r="F52" s="665">
        <x:v>36.15</x:v>
      </x:c>
      <x:c r="G52" s="665">
        <x:v>117.67</x:v>
      </x:c>
      <x:c r="H52" s="665">
        <x:v>16.27</x:v>
      </x:c>
      <x:c r="I52" s="666">
        <x:v>46243</x:v>
      </x:c>
      <x:c r="J52" s="433">
        <x:f>+E52-F52</x:f>
      </x:c>
      <x:c r="K52" s="468">
        <x:f>+I52-D52</x:f>
      </x:c>
      <x:c r="L52" s="469">
        <x:v>0.03</x:v>
      </x:c>
      <x:c r="M52" s="433">
        <x:f>+J52*L52</x:f>
      </x:c>
      <x:c r="N52" s="470"/>
      <x:c r="O52" s="432"/>
    </x:row>
    <x:row r="53" spans="1:20" ht="14.4" customHeight="1" s="434" customFormat="1" x14ac:dyDescent="0.3">
      <x:c r="A53" s="664" t="s">
        <x:v>118</x:v>
      </x:c>
      <x:c r="B53" s="702" t="s">
        <x:v>1817</x:v>
      </x:c>
      <x:c r="C53" s="644" t="s">
        <x:v>1818</x:v>
      </x:c>
      <x:c r="D53" s="666">
        <x:v>46218</x:v>
      </x:c>
      <x:c r="E53" s="665">
        <x:v>1312.08</x:v>
      </x:c>
      <x:c r="F53" s="665">
        <x:v>328.02</x:v>
      </x:c>
      <x:c r="G53" s="665">
        <x:v>1067.71</x:v>
      </x:c>
      <x:c r="H53" s="665">
        <x:v>147.61</x:v>
      </x:c>
      <x:c r="I53" s="666">
        <x:v>46250</x:v>
      </x:c>
      <x:c r="J53" s="433">
        <x:f>+E53-F53</x:f>
      </x:c>
      <x:c r="K53" s="468">
        <x:f>+I53-D53</x:f>
      </x:c>
      <x:c r="L53" s="469">
        <x:v>0.03</x:v>
      </x:c>
      <x:c r="M53" s="433">
        <x:f>+J53*L53</x:f>
      </x:c>
      <x:c r="N53" s="470"/>
      <x:c r="O53" s="432"/>
    </x:row>
    <x:row r="54" spans="1:20" s="434" customFormat="1" x14ac:dyDescent="0.25">
      <x:c r="A54" s="551"/>
      <x:c r="B54" s="552"/>
      <x:c r="C54" s="644"/>
      <x:c r="D54" s="553"/>
      <x:c r="E54" s="662"/>
      <x:c r="F54" s="662"/>
      <x:c r="G54" s="504"/>
      <x:c r="H54" s="662"/>
      <x:c r="I54" s="553"/>
      <x:c r="J54" s="433"/>
      <x:c r="K54" s="468"/>
      <x:c r="L54" s="469"/>
      <x:c r="M54" s="433"/>
      <x:c r="N54" s="633"/>
      <x:c r="O54" s="432"/>
    </x:row>
    <x:row r="55" spans="1:20" ht="15.6" customHeight="1" s="434" customFormat="1" x14ac:dyDescent="0.3">
      <x:c r="A55" s="487"/>
      <x:c r="B55" s="462"/>
      <x:c r="C55" s="487"/>
      <x:c r="D55" s="492"/>
      <x:c r="E55" s="490"/>
      <x:c r="F55" s="490"/>
      <x:c r="G55" s="491"/>
      <x:c r="H55" s="490"/>
      <x:c r="I55" s="492"/>
      <x:c r="J55" s="433"/>
      <x:c r="K55" s="468"/>
      <x:c r="L55" s="469"/>
      <x:c r="M55" s="433"/>
      <x:c r="N55" s="470"/>
      <x:c r="O55" s="432"/>
    </x:row>
    <x:row r="56" spans="1:20" ht="15" customHeight="1" x14ac:dyDescent="0.35">
      <x:c r="A56" s="493" t="s">
        <x:v>43</x:v>
      </x:c>
      <x:c r="B56" s="493"/>
      <x:c r="C56" s="493"/>
      <x:c r="D56" s="493"/>
      <x:c r="E56" s="493"/>
      <x:c r="F56" s="493"/>
      <x:c r="G56" s="516">
        <x:f>SUM(G41:G55)</x:f>
      </x:c>
      <x:c r="J56" s="516">
        <x:f>SUM(J41:J55)</x:f>
      </x:c>
      <x:c r="L56" s="495"/>
      <x:c r="M56" s="564">
        <x:f>SUM(M41:M55)</x:f>
      </x:c>
    </x:row>
    <x:row r="57" spans="1:20" ht="15" customHeight="1" x14ac:dyDescent="0.3">
      <x:c r="A57" s="520"/>
      <x:c r="G57" s="435"/>
    </x:row>
    <x:row r="58" spans="1:20" ht="15" customHeight="1" x14ac:dyDescent="0.3">
      <x:c r="A58" s="499"/>
      <x:c r="G58" s="435"/>
      <x:c r="J58" s="435"/>
    </x:row>
    <x:row r="59" spans="1:20" ht="15" customHeight="1" x14ac:dyDescent="0.3">
      <x:c r="A59" s="499"/>
      <x:c r="G59" s="435"/>
      <x:c r="J59" s="435"/>
    </x:row>
    <x:row r="60" spans="1:20" ht="15" customHeight="1" x14ac:dyDescent="0.3">
      <x:c r="A60" s="499"/>
      <x:c r="G60" s="435"/>
      <x:c r="J60" s="435"/>
    </x:row>
    <x:row r="61" spans="1:20" ht="15" customHeight="1" x14ac:dyDescent="0.3">
      <x:c r="A61" s="499"/>
      <x:c r="G61" s="435"/>
      <x:c r="J61" s="435"/>
      <x:c r="M61" s="435"/>
    </x:row>
    <x:row r="62" spans="1:20" ht="15" customHeight="1" x14ac:dyDescent="0.3">
      <x:c r="A62" s="499"/>
      <x:c r="G62" s="435"/>
      <x:c r="J62" s="435"/>
      <x:c r="M62" s="435"/>
    </x:row>
    <x:row r="63" spans="1:20" ht="15" customHeight="1" x14ac:dyDescent="0.25">
      <x:c r="A63" s="436" t="s">
        <x:v>0</x:v>
      </x:c>
      <x:c r="B63" s="436"/>
      <x:c r="C63" s="436"/>
      <x:c r="D63" s="436"/>
      <x:c r="E63" s="436"/>
      <x:c r="F63" s="436"/>
      <x:c r="G63" s="437"/>
      <x:c r="H63" s="438"/>
      <x:c r="I63" s="439"/>
      <x:c r="J63" s="440"/>
      <x:c r="K63" s="441"/>
      <x:c r="L63" s="442"/>
      <x:c r="M63" s="443"/>
    </x:row>
    <x:row r="64" spans="1:20" ht="15" customHeight="1" x14ac:dyDescent="0.25">
      <x:c r="A64" s="436" t="s">
        <x:v>1</x:v>
      </x:c>
      <x:c r="B64" s="436"/>
      <x:c r="C64" s="436"/>
      <x:c r="D64" s="436"/>
      <x:c r="E64" s="436"/>
      <x:c r="F64" s="436"/>
      <x:c r="G64" s="437"/>
      <x:c r="H64" s="438"/>
      <x:c r="I64" s="439"/>
      <x:c r="J64" s="441"/>
      <x:c r="K64" s="441"/>
      <x:c r="L64" s="442"/>
      <x:c r="M64" s="443"/>
    </x:row>
    <x:row r="65" spans="1:20" ht="15" customHeight="1" x14ac:dyDescent="0.25">
      <x:c r="A65" s="436" t="s">
        <x:v>1772</x:v>
      </x:c>
      <x:c r="B65" s="436"/>
      <x:c r="C65" s="436"/>
      <x:c r="D65" s="436"/>
      <x:c r="E65" s="436"/>
      <x:c r="F65" s="436"/>
      <x:c r="G65" s="437"/>
      <x:c r="H65" s="438"/>
      <x:c r="I65" s="439"/>
      <x:c r="J65" s="441"/>
      <x:c r="K65" s="441"/>
      <x:c r="L65" s="442"/>
      <x:c r="M65" s="443"/>
    </x:row>
    <x:row r="66" spans="1:20" ht="15" customHeight="1" x14ac:dyDescent="0.3">
      <x:c r="A66" s="436" t="s">
        <x:v>1181</x:v>
      </x:c>
      <x:c r="B66" s="436"/>
      <x:c r="C66" s="436"/>
      <x:c r="D66" s="436"/>
      <x:c r="E66" s="436"/>
      <x:c r="F66" s="436"/>
      <x:c r="G66" s="443"/>
      <x:c r="H66" s="437"/>
      <x:c r="I66" s="446"/>
      <x:c r="J66" s="441"/>
      <x:c r="K66" s="441"/>
      <x:c r="L66" s="442"/>
      <x:c r="M66" s="443"/>
    </x:row>
    <x:row r="67" spans="1:20" ht="15" customHeight="1" x14ac:dyDescent="0.25">
      <x:c r="A67" s="447" t="s">
        <x:v>4</x:v>
      </x:c>
      <x:c r="B67" s="609"/>
      <x:c r="C67" s="441"/>
      <x:c r="D67" s="439"/>
      <x:c r="E67" s="441"/>
      <x:c r="F67" s="441"/>
      <x:c r="G67" s="448" t="s">
        <x:v>5</x:v>
      </x:c>
      <x:c r="H67" s="441"/>
      <x:c r="I67" s="439"/>
      <x:c r="J67" s="449" t="s">
        <x:v>6</x:v>
      </x:c>
      <x:c r="K67" s="450" t="s">
        <x:v>7</x:v>
      </x:c>
      <x:c r="L67" s="451" t="s">
        <x:v>8</x:v>
      </x:c>
      <x:c r="M67" s="449" t="s">
        <x:v>9</x:v>
      </x:c>
    </x:row>
    <x:row r="68" spans="1:20" ht="15" customHeight="1" s="692" customFormat="1" x14ac:dyDescent="0.3">
      <x:c r="A68" s="693" t="s">
        <x:v>10</x:v>
      </x:c>
      <x:c r="B68" s="693" t="s">
        <x:v>11</x:v>
      </x:c>
      <x:c r="C68" s="693" t="s">
        <x:v>12</x:v>
      </x:c>
      <x:c r="D68" s="625" t="s">
        <x:v>13</x:v>
      </x:c>
      <x:c r="E68" s="693" t="s">
        <x:v>14</x:v>
      </x:c>
      <x:c r="F68" s="694" t="s">
        <x:v>15</x:v>
      </x:c>
      <x:c r="G68" s="703" t="s">
        <x:v>16</x:v>
      </x:c>
      <x:c r="H68" s="696" t="s">
        <x:v>17</x:v>
      </x:c>
      <x:c r="I68" s="457" t="s">
        <x:v>18</x:v>
      </x:c>
      <x:c r="J68" s="697" t="s">
        <x:v>19</x:v>
      </x:c>
      <x:c r="K68" s="698"/>
      <x:c r="L68" s="699" t="s">
        <x:v>20</x:v>
      </x:c>
      <x:c r="M68" s="697" t="s">
        <x:v>21</x:v>
      </x:c>
      <x:c r="N68" s="700"/>
      <x:c r="O68" s="701"/>
    </x:row>
    <x:row r="69" spans="1:20" ht="15" customHeight="1" x14ac:dyDescent="0.3">
      <x:c r="A69" s="664" t="s">
        <x:v>82</x:v>
      </x:c>
      <x:c r="B69" s="670" t="s">
        <x:v>1456</x:v>
      </x:c>
      <x:c r="C69" s="644" t="s">
        <x:v>1819</x:v>
      </x:c>
      <x:c r="D69" s="666">
        <x:v>46119</x:v>
      </x:c>
      <x:c r="E69" s="665">
        <x:v>249.48</x:v>
      </x:c>
      <x:c r="F69" s="665">
        <x:v>37.42</x:v>
      </x:c>
      <x:c r="G69" s="664">
        <x:v>230.08</x:v>
      </x:c>
      <x:c r="H69" s="665">
        <x:v>31.81</x:v>
      </x:c>
      <x:c r="I69" s="666">
        <x:v>46212</x:v>
      </x:c>
      <x:c r="J69" s="433">
        <x:f>E69-F69</x:f>
      </x:c>
      <x:c r="K69" s="468">
        <x:f>+I69-D69</x:f>
      </x:c>
      <x:c r="L69" s="469">
        <x:v>0.03</x:v>
      </x:c>
      <x:c r="M69" s="433">
        <x:f>+J69*L69</x:f>
      </x:c>
      <x:c r="O69" s="432"/>
    </x:row>
    <x:row r="70" spans="1:20" ht="15" customHeight="1" x14ac:dyDescent="0.3">
      <x:c r="A70" s="664" t="s">
        <x:v>1184</x:v>
      </x:c>
      <x:c r="B70" s="670" t="s">
        <x:v>1185</x:v>
      </x:c>
      <x:c r="C70" s="644" t="s">
        <x:v>1820</x:v>
      </x:c>
      <x:c r="D70" s="666">
        <x:v>46150</x:v>
      </x:c>
      <x:c r="E70" s="665">
        <x:v>244.92</x:v>
      </x:c>
      <x:c r="F70" s="665">
        <x:v>31.84</x:v>
      </x:c>
      <x:c r="G70" s="665">
        <x:v>245.04</x:v>
      </x:c>
      <x:c r="H70" s="665">
        <x:v>31.96</x:v>
      </x:c>
      <x:c r="I70" s="666">
        <x:v>46219</x:v>
      </x:c>
      <x:c r="J70" s="433">
        <x:f>E70-F70</x:f>
      </x:c>
      <x:c r="K70" s="468">
        <x:f>+I70-D70</x:f>
      </x:c>
      <x:c r="L70" s="469">
        <x:v>0.03</x:v>
      </x:c>
      <x:c r="M70" s="433">
        <x:f>+J70*L70</x:f>
      </x:c>
      <x:c r="O70" s="432"/>
    </x:row>
    <x:row r="71" spans="1:20" ht="15" customHeight="1" x14ac:dyDescent="0.3">
      <x:c r="A71" s="664" t="s">
        <x:v>82</x:v>
      </x:c>
      <x:c r="B71" s="670" t="s">
        <x:v>1456</x:v>
      </x:c>
      <x:c r="C71" s="644" t="s">
        <x:v>1821</x:v>
      </x:c>
      <x:c r="D71" s="666">
        <x:v>46154</x:v>
      </x:c>
      <x:c r="E71" s="665">
        <x:v>225.72</x:v>
      </x:c>
      <x:c r="F71" s="665">
        <x:v>33.86</x:v>
      </x:c>
      <x:c r="G71" s="665">
        <x:v>208.16</x:v>
      </x:c>
      <x:c r="H71" s="665">
        <x:v>28.78</x:v>
      </x:c>
      <x:c r="I71" s="666">
        <x:v>46223</x:v>
      </x:c>
      <x:c r="J71" s="433">
        <x:f>E71-F71</x:f>
      </x:c>
      <x:c r="K71" s="468">
        <x:f>+I71-D71</x:f>
      </x:c>
      <x:c r="L71" s="469">
        <x:v>0.03</x:v>
      </x:c>
      <x:c r="M71" s="433">
        <x:f>+J71*L71</x:f>
      </x:c>
      <x:c r="O71" s="432"/>
    </x:row>
    <x:row r="72" spans="1:20" ht="15" customHeight="1" x14ac:dyDescent="0.3">
      <x:c r="A72" s="664" t="s">
        <x:v>308</x:v>
      </x:c>
      <x:c r="B72" s="670" t="s">
        <x:v>309</x:v>
      </x:c>
      <x:c r="C72" s="644" t="s">
        <x:v>1822</x:v>
      </x:c>
      <x:c r="D72" s="666">
        <x:v>46162</x:v>
      </x:c>
      <x:c r="E72" s="665">
        <x:v>129.24</x:v>
      </x:c>
      <x:c r="F72" s="665">
        <x:v>19.39</x:v>
      </x:c>
      <x:c r="G72" s="665">
        <x:v>126.33</x:v>
      </x:c>
      <x:c r="H72" s="665">
        <x:v>16.48</x:v>
      </x:c>
      <x:c r="I72" s="666">
        <x:v>46224</x:v>
      </x:c>
      <x:c r="J72" s="433">
        <x:f>E72-F72</x:f>
      </x:c>
      <x:c r="K72" s="468">
        <x:f>+I72-D72</x:f>
      </x:c>
      <x:c r="L72" s="469">
        <x:v>0.03</x:v>
      </x:c>
      <x:c r="M72" s="433">
        <x:f>+J72*L72</x:f>
      </x:c>
      <x:c r="O72" s="432"/>
    </x:row>
    <x:row r="73" spans="1:20" ht="15" customHeight="1" x14ac:dyDescent="0.3">
      <x:c r="A73" s="664" t="s">
        <x:v>1823</x:v>
      </x:c>
      <x:c r="B73" s="670" t="s">
        <x:v>288</x:v>
      </x:c>
      <x:c r="C73" s="644" t="s">
        <x:v>1824</x:v>
      </x:c>
      <x:c r="D73" s="666">
        <x:v>46189</x:v>
      </x:c>
      <x:c r="E73" s="665">
        <x:v>427.2</x:v>
      </x:c>
      <x:c r="F73" s="665">
        <x:v>64.08</x:v>
      </x:c>
      <x:c r="G73" s="665">
        <x:v>393.99</x:v>
      </x:c>
      <x:c r="H73" s="665">
        <x:v>54.47</x:v>
      </x:c>
      <x:c r="I73" s="666">
        <x:v>46219</x:v>
      </x:c>
      <x:c r="J73" s="433">
        <x:f>E73-F73</x:f>
      </x:c>
      <x:c r="K73" s="468">
        <x:f>+I73-D73</x:f>
      </x:c>
      <x:c r="L73" s="469">
        <x:v>0.035</x:v>
      </x:c>
      <x:c r="M73" s="433">
        <x:f>+J73*L73</x:f>
      </x:c>
      <x:c r="O73" s="432"/>
    </x:row>
    <x:row r="74" spans="1:20" ht="15" customHeight="1" x14ac:dyDescent="0.3">
      <x:c r="A74" s="664" t="s">
        <x:v>1765</x:v>
      </x:c>
      <x:c r="B74" s="670" t="s">
        <x:v>1185</x:v>
      </x:c>
      <x:c r="C74" s="644" t="s">
        <x:v>1825</x:v>
      </x:c>
      <x:c r="D74" s="666">
        <x:v>46192</x:v>
      </x:c>
      <x:c r="E74" s="665">
        <x:v>153</x:v>
      </x:c>
      <x:c r="F74" s="665">
        <x:v>22.95</x:v>
      </x:c>
      <x:c r="G74" s="665">
        <x:v>149.56</x:v>
      </x:c>
      <x:c r="H74" s="665">
        <x:v>19.51</x:v>
      </x:c>
      <x:c r="I74" s="666">
        <x:v>46230</x:v>
      </x:c>
      <x:c r="J74" s="433">
        <x:f>E74-F74</x:f>
      </x:c>
      <x:c r="K74" s="468">
        <x:f>+I74-D74</x:f>
      </x:c>
      <x:c r="L74" s="469">
        <x:v>0.03</x:v>
      </x:c>
      <x:c r="M74" s="433">
        <x:f>+J74*L74</x:f>
      </x:c>
      <x:c r="O74" s="432"/>
    </x:row>
    <x:row r="75" spans="1:20" ht="15" customHeight="1" x14ac:dyDescent="0.3">
      <x:c r="A75" s="664" t="s">
        <x:v>1500</x:v>
      </x:c>
      <x:c r="B75" s="670" t="s">
        <x:v>806</x:v>
      </x:c>
      <x:c r="C75" s="644" t="s">
        <x:v>1826</x:v>
      </x:c>
      <x:c r="D75" s="666">
        <x:v>46206</x:v>
      </x:c>
      <x:c r="E75" s="665">
        <x:v>122.4</x:v>
      </x:c>
      <x:c r="F75" s="665">
        <x:v>0</x:v>
      </x:c>
      <x:c r="G75" s="665">
        <x:v>140.76</x:v>
      </x:c>
      <x:c r="H75" s="665">
        <x:v>18.36</x:v>
      </x:c>
      <x:c r="I75" s="666">
        <x:v>46206</x:v>
      </x:c>
      <x:c r="J75" s="433">
        <x:f>E75-F75</x:f>
      </x:c>
      <x:c r="K75" s="468">
        <x:f>+I75-D75</x:f>
      </x:c>
      <x:c r="L75" s="469">
        <x:v>0.04</x:v>
      </x:c>
      <x:c r="M75" s="433">
        <x:f>+J75*L75</x:f>
      </x:c>
      <x:c r="O75" s="432"/>
    </x:row>
    <x:row r="76" spans="1:20" ht="15" customHeight="1" x14ac:dyDescent="0.3">
      <x:c r="A76" s="664" t="s">
        <x:v>1368</x:v>
      </x:c>
      <x:c r="B76" s="670" t="s">
        <x:v>806</x:v>
      </x:c>
      <x:c r="C76" s="644" t="s">
        <x:v>1827</x:v>
      </x:c>
      <x:c r="D76" s="666">
        <x:v>46209</x:v>
      </x:c>
      <x:c r="E76" s="665">
        <x:v>386.76</x:v>
      </x:c>
      <x:c r="F76" s="665">
        <x:v>77.35</x:v>
      </x:c>
      <x:c r="G76" s="665">
        <x:v>355.82</x:v>
      </x:c>
      <x:c r="H76" s="665">
        <x:v>46.41</x:v>
      </x:c>
      <x:c r="I76" s="666">
        <x:v>46210</x:v>
      </x:c>
      <x:c r="J76" s="433">
        <x:f>E76-F76</x:f>
      </x:c>
      <x:c r="K76" s="468">
        <x:f>+I76-D76</x:f>
      </x:c>
      <x:c r="L76" s="469">
        <x:v>0.035</x:v>
      </x:c>
      <x:c r="M76" s="433">
        <x:f>+J76*L76</x:f>
      </x:c>
      <x:c r="O76" s="432"/>
    </x:row>
    <x:row r="77" spans="1:20" ht="15" customHeight="1" x14ac:dyDescent="0.3">
      <x:c r="A77" s="664"/>
      <x:c r="B77" s="688"/>
      <x:c r="C77" s="644"/>
      <x:c r="D77" s="666"/>
      <x:c r="E77" s="689"/>
      <x:c r="F77" s="690"/>
      <x:c r="G77" s="689"/>
      <x:c r="H77" s="690"/>
      <x:c r="I77" s="691"/>
      <x:c r="J77" s="433"/>
      <x:c r="K77" s="468"/>
      <x:c r="L77" s="469"/>
      <x:c r="M77" s="433"/>
      <x:c r="O77" s="432"/>
    </x:row>
    <x:row r="78" spans="1:20" ht="15" customHeight="1" x14ac:dyDescent="0.3">
      <x:c r="A78" s="471"/>
      <x:c r="B78" s="472"/>
      <x:c r="C78" s="472"/>
      <x:c r="D78" s="473"/>
      <x:c r="E78" s="474"/>
      <x:c r="F78" s="474"/>
      <x:c r="G78" s="475"/>
      <x:c r="H78" s="476"/>
      <x:c r="I78" s="477"/>
      <x:c r="J78" s="433"/>
      <x:c r="K78" s="468"/>
      <x:c r="L78" s="469"/>
      <x:c r="M78" s="433"/>
    </x:row>
    <x:row r="79" spans="1:20" ht="15" customHeight="1" x14ac:dyDescent="0.3">
      <x:c r="A79" s="478"/>
      <x:c r="B79" s="478"/>
      <x:c r="C79" s="478"/>
      <x:c r="D79" s="478"/>
      <x:c r="E79" s="478"/>
      <x:c r="F79" s="478"/>
      <x:c r="G79" s="516">
        <x:f>SUM(G69:G78)</x:f>
      </x:c>
      <x:c r="H79" s="480"/>
      <x:c r="I79" s="481"/>
      <x:c r="J79" s="479">
        <x:f>SUM(J69:J78)</x:f>
      </x:c>
      <x:c r="K79" s="482"/>
      <x:c r="L79" s="482"/>
      <x:c r="M79" s="479">
        <x:f>SUM(M69:M78)</x:f>
      </x:c>
    </x:row>
    <x:row r="80" spans="1:20" ht="15" customHeight="1" x14ac:dyDescent="0.25">
      <x:c r="A80" s="483"/>
      <x:c r="B80" s="483"/>
      <x:c r="C80" s="483"/>
      <x:c r="D80" s="484"/>
      <x:c r="E80" s="483"/>
      <x:c r="F80" s="483"/>
      <x:c r="G80" s="432"/>
      <x:c r="H80" s="434"/>
      <x:c r="I80" s="485"/>
      <x:c r="J80" s="434"/>
      <x:c r="K80" s="434"/>
      <x:c r="L80" s="434"/>
      <x:c r="M80" s="434"/>
    </x:row>
    <x:row r="81" spans="1:20" x14ac:dyDescent="0.25">
      <x:c r="A81" s="483"/>
      <x:c r="B81" s="483"/>
      <x:c r="C81" s="483"/>
      <x:c r="D81" s="484"/>
      <x:c r="E81" s="483"/>
      <x:c r="F81" s="483"/>
      <x:c r="G81" s="432"/>
      <x:c r="H81" s="434"/>
      <x:c r="I81" s="485"/>
      <x:c r="J81" s="432"/>
      <x:c r="K81" s="434"/>
      <x:c r="L81" s="434"/>
      <x:c r="M81" s="432"/>
    </x:row>
    <x:row r="82" spans="1:20" x14ac:dyDescent="0.25">
      <x:c r="A82" s="434" t="s">
        <x:v>30</x:v>
      </x:c>
      <x:c r="B82" s="483" t="s">
        <x:v>31</x:v>
      </x:c>
      <x:c r="C82" s="483" t="s">
        <x:v>32</x:v>
      </x:c>
      <x:c r="D82" s="485"/>
      <x:c r="E82" s="434"/>
      <x:c r="F82" s="434"/>
      <x:c r="G82" s="432"/>
      <x:c r="H82" s="434"/>
      <x:c r="I82" s="485"/>
      <x:c r="J82" s="434"/>
      <x:c r="K82" s="434"/>
      <x:c r="L82" s="434"/>
      <x:c r="M82" s="434"/>
    </x:row>
    <x:row r="83" spans="1:20" ht="14.4" customHeight="1" s="434" customFormat="1" x14ac:dyDescent="0.3">
      <x:c r="A83" s="664"/>
      <x:c r="B83" s="552"/>
      <x:c r="C83" s="644"/>
      <x:c r="D83" s="666"/>
      <x:c r="E83" s="665"/>
      <x:c r="F83" s="671"/>
      <x:c r="G83" s="665"/>
      <x:c r="H83" s="671"/>
      <x:c r="I83" s="666"/>
      <x:c r="J83" s="433"/>
      <x:c r="K83" s="468"/>
      <x:c r="L83" s="469"/>
      <x:c r="M83" s="433"/>
      <x:c r="N83" s="470"/>
      <x:c r="O83" s="432"/>
    </x:row>
    <x:row r="84" spans="1:20" ht="15.6" customHeight="1" x14ac:dyDescent="0.3">
      <x:c r="A84" s="486"/>
      <x:c r="B84" s="462"/>
      <x:c r="C84" s="488"/>
      <x:c r="D84" s="489"/>
      <x:c r="E84" s="490"/>
      <x:c r="F84" s="490"/>
      <x:c r="G84" s="491"/>
      <x:c r="H84" s="490"/>
      <x:c r="I84" s="492"/>
      <x:c r="J84" s="433"/>
      <x:c r="K84" s="468"/>
      <x:c r="L84" s="469"/>
      <x:c r="M84" s="433"/>
    </x:row>
    <x:row r="85" spans="1:20" ht="16.2" customHeight="1" x14ac:dyDescent="0.35">
      <x:c r="A85" s="493" t="s">
        <x:v>43</x:v>
      </x:c>
      <x:c r="B85" s="493"/>
      <x:c r="C85" s="493"/>
      <x:c r="D85" s="493"/>
      <x:c r="E85" s="493"/>
      <x:c r="F85" s="493"/>
      <x:c r="G85" s="516">
        <x:f>SUM(G79:G84)</x:f>
      </x:c>
      <x:c r="I85" s="430"/>
      <x:c r="J85" s="494">
        <x:f>SUM(J79:J84)</x:f>
      </x:c>
      <x:c r="L85" s="495"/>
      <x:c r="M85" s="496">
        <x:f>SUM(M79:M84)</x:f>
      </x:c>
    </x:row>
    <x:row r="86" spans="1:20" x14ac:dyDescent="0.25">
      <x:c r="A86" s="497"/>
      <x:c r="E86" s="497"/>
      <x:c r="F86" s="497"/>
      <x:c r="G86" s="435"/>
      <x:c r="I86" s="430"/>
    </x:row>
    <x:row r="88" spans="1:20" x14ac:dyDescent="0.25">
      <x:c r="J88" s="435"/>
    </x:row>
    <x:row r="89" spans="1:20" x14ac:dyDescent="0.25">
      <x:c r="J89" s="435"/>
    </x:row>
    <x:row r="90" spans="1:20" x14ac:dyDescent="0.25">
      <x:c r="J90" s="435">
        <x:f>(J56+J85)*2%</x:f>
      </x:c>
      <x:c r="M90" s="435">
        <x:f>M85/12</x:f>
      </x:c>
      <x:c r="N90" s="431" t="s">
        <x:v>1199</x:v>
      </x:c>
    </x:row>
    <x:row r="91" spans="1:20" x14ac:dyDescent="0.25">
      <x:c r="J91" s="435">
        <x:f>J90/12</x:f>
      </x:c>
      <x:c r="K91" s="429" t="s">
        <x:v>655</x:v>
      </x:c>
      <x:c r="M91" s="435">
        <x:f>M85/24</x:f>
      </x:c>
      <x:c r="N91" s="431" t="s">
        <x:v>1199</x:v>
      </x:c>
    </x:row>
    <x:row r="92" spans="1:20" x14ac:dyDescent="0.25">
      <x:c r="J92" s="435">
        <x:f>J90/24</x:f>
      </x:c>
      <x:c r="K92" s="429" t="s">
        <x:v>655</x:v>
      </x:c>
    </x:row>
  </x:sheetData>
  <x:sortState xmlns:xlrd2="http://schemas.microsoft.com/office/spreadsheetml/2017/richdata2" ref="A69:T76">
    <x:sortCondition ref="C69:C76"/>
  </x:sortState>
  <x:mergeCells count="6">
    <x:mergeCell ref="A3:F3"/>
    <x:mergeCell ref="A56:F56"/>
    <x:mergeCell ref="A63:F63"/>
    <x:mergeCell ref="A64:F64"/>
    <x:mergeCell ref="A65:F65"/>
    <x:mergeCell ref="A66:F66"/>
  </x:mergeCells>
  <x:printOptions horizontalCentered="0" verticalCentered="0" headings="0" gridLines="0"/>
  <x:pageMargins left="0.1968503937007874" right="0" top="0.5905511811023623" bottom="0" header="0" footer="0"/>
  <x:pageSetup paperSize="9" scale="85" pageOrder="downThenOver" orientation="landscape" blackAndWhite="0" draft="0" cellComments="none" errors="displayed" r:id="rId1"/>
  <x:headerFooter/>
  <x:tableParts count="0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61E74B-BC25-4449-879A-D0A151E32F86}" mc:Ignorable="x14ac xr xr2 xr3">
  <x:sheetPr>
    <x:outlinePr summaryBelow="1" summaryRight="1"/>
  </x:sheetPr>
  <x:dimension ref="A1:T93"/>
  <x:sheetViews>
    <x:sheetView topLeftCell="A5" workbookViewId="0">
      <x:selection activeCell="J8" sqref="J8"/>
    </x:sheetView>
  </x:sheetViews>
  <x:sheetFormatPr baseColWidth="10" defaultColWidth="11.441406" defaultRowHeight="13.2" x14ac:dyDescent="0.25"/>
  <x:cols>
    <x:col min="1" max="1" width="31.554688" style="429" customWidth="1"/>
    <x:col min="2" max="2" width="20.554688" style="497" customWidth="1"/>
    <x:col min="3" max="3" width="18.554688" style="497" customWidth="1"/>
    <x:col min="4" max="4" width="10.886719" style="498" customWidth="1"/>
    <x:col min="5" max="5" width="11.664062" style="429" customWidth="1"/>
    <x:col min="6" max="6" width="9" style="429" customWidth="1"/>
    <x:col min="7" max="7" width="11.441406" style="429" customWidth="1"/>
    <x:col min="8" max="8" width="9.886719" style="429" customWidth="1"/>
    <x:col min="9" max="9" width="13" style="498" customWidth="1"/>
    <x:col min="10" max="10" width="11.554688" style="429" customWidth="1"/>
    <x:col min="11" max="11" width="7.332031" style="429" customWidth="1"/>
    <x:col min="12" max="12" width="6.441406" style="429" customWidth="1"/>
    <x:col min="13" max="13" width="8.886719" style="429" customWidth="1"/>
    <x:col min="14" max="14" width="9.664062" style="431" customWidth="1"/>
    <x:col min="15" max="15" width="12.441406" style="435" customWidth="1"/>
    <x:col min="16" max="16" width="8" style="429" customWidth="1"/>
    <x:col min="17" max="16384" width="11.441406" style="429" customWidth="1"/>
  </x:cols>
  <x:sheetData>
    <x:row r="1" spans="1:20" ht="15" customHeight="1" x14ac:dyDescent="0.25">
      <x:c r="B1" s="608"/>
      <x:c r="C1" s="608"/>
      <x:c r="G1" s="435"/>
    </x:row>
    <x:row r="2" spans="1:20" ht="15" customHeight="1" x14ac:dyDescent="0.25">
      <x:c r="A2" s="436"/>
      <x:c r="B2" s="436"/>
      <x:c r="C2" s="436"/>
      <x:c r="D2" s="436"/>
      <x:c r="E2" s="436"/>
      <x:c r="F2" s="436"/>
      <x:c r="G2" s="437"/>
      <x:c r="H2" s="437"/>
      <x:c r="I2" s="617"/>
      <x:c r="J2" s="440"/>
      <x:c r="K2" s="441"/>
      <x:c r="L2" s="442"/>
      <x:c r="M2" s="443"/>
    </x:row>
    <x:row r="3" spans="1:20" ht="15" customHeight="1" x14ac:dyDescent="0.25">
      <x:c r="A3" s="436" t="s">
        <x:v>1</x:v>
      </x:c>
      <x:c r="B3" s="436"/>
      <x:c r="C3" s="436"/>
      <x:c r="D3" s="436"/>
      <x:c r="E3" s="436"/>
      <x:c r="F3" s="436"/>
      <x:c r="G3" s="437"/>
      <x:c r="H3" s="438"/>
      <x:c r="I3" s="617"/>
      <x:c r="J3" s="441"/>
      <x:c r="K3" s="441"/>
      <x:c r="L3" s="442"/>
      <x:c r="M3" s="443"/>
    </x:row>
    <x:row r="4" spans="1:20" ht="15" customHeight="1" x14ac:dyDescent="0.25">
      <x:c r="A4" s="436"/>
      <x:c r="B4" s="436" t="s">
        <x:v>1828</x:v>
      </x:c>
      <x:c r="C4" s="436"/>
      <x:c r="D4" s="445"/>
      <x:c r="E4" s="436"/>
      <x:c r="F4" s="436"/>
      <x:c r="G4" s="437"/>
      <x:c r="H4" s="438"/>
      <x:c r="I4" s="617"/>
      <x:c r="J4" s="441"/>
      <x:c r="K4" s="441"/>
      <x:c r="L4" s="442"/>
      <x:c r="M4" s="443"/>
    </x:row>
    <x:row r="5" spans="1:20" ht="15" customHeight="1" x14ac:dyDescent="0.3">
      <x:c r="A5" s="436"/>
      <x:c r="B5" s="436" t="s">
        <x:v>45</x:v>
      </x:c>
      <x:c r="C5" s="436"/>
      <x:c r="D5" s="445"/>
      <x:c r="E5" s="436"/>
      <x:c r="F5" s="436"/>
      <x:c r="G5" s="443"/>
      <x:c r="H5" s="437"/>
      <x:c r="I5" s="445"/>
      <x:c r="J5" s="441"/>
      <x:c r="K5" s="441"/>
      <x:c r="L5" s="442"/>
      <x:c r="M5" s="443"/>
    </x:row>
    <x:row r="6" spans="1:20" ht="15" customHeight="1" x14ac:dyDescent="0.25">
      <x:c r="A6" s="447"/>
      <x:c r="B6" s="609"/>
      <x:c r="C6" s="609"/>
      <x:c r="D6" s="617"/>
      <x:c r="E6" s="441"/>
      <x:c r="F6" s="441"/>
      <x:c r="G6" s="448" t="s">
        <x:v>5</x:v>
      </x:c>
      <x:c r="H6" s="441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</x:row>
    <x:row r="7" spans="1:20" ht="15" customHeight="1" s="692" customFormat="1" x14ac:dyDescent="0.25">
      <x:c r="A7" s="693" t="s">
        <x:v>10</x:v>
      </x:c>
      <x:c r="B7" s="693" t="s">
        <x:v>11</x:v>
      </x:c>
      <x:c r="C7" s="693" t="s">
        <x:v>12</x:v>
      </x:c>
      <x:c r="D7" s="625" t="s">
        <x:v>13</x:v>
      </x:c>
      <x:c r="E7" s="693" t="s">
        <x:v>14</x:v>
      </x:c>
      <x:c r="F7" s="694" t="s">
        <x:v>15</x:v>
      </x:c>
      <x:c r="G7" s="695" t="s">
        <x:v>16</x:v>
      </x:c>
      <x:c r="H7" s="696" t="s">
        <x:v>17</x:v>
      </x:c>
      <x:c r="I7" s="625" t="s">
        <x:v>18</x:v>
      </x:c>
      <x:c r="J7" s="697" t="s">
        <x:v>19</x:v>
      </x:c>
      <x:c r="K7" s="698"/>
      <x:c r="L7" s="699" t="s">
        <x:v>20</x:v>
      </x:c>
      <x:c r="M7" s="697" t="s">
        <x:v>21</x:v>
      </x:c>
      <x:c r="N7" s="700"/>
      <x:c r="O7" s="701"/>
    </x:row>
    <x:row r="8" spans="1:20" ht="15" customHeight="1" x14ac:dyDescent="0.3">
      <x:c r="A8" s="664" t="s">
        <x:v>941</x:v>
      </x:c>
      <x:c r="B8" s="670" t="s">
        <x:v>478</x:v>
      </x:c>
      <x:c r="C8" s="644" t="s">
        <x:v>1829</x:v>
      </x:c>
      <x:c r="D8" s="666">
        <x:v>46245</x:v>
      </x:c>
      <x:c r="E8" s="665">
        <x:v>68.64</x:v>
      </x:c>
      <x:c r="F8" s="665">
        <x:v>10.3</x:v>
      </x:c>
      <x:c r="G8" s="665">
        <x:v>68.64</x:v>
      </x:c>
      <x:c r="H8" s="665">
        <x:v>8.75</x:v>
      </x:c>
      <x:c r="I8" s="666">
        <x:v>46245</x:v>
      </x:c>
      <x:c r="J8" s="433">
        <x:f>+E8-F8</x:f>
      </x:c>
      <x:c r="K8" s="468">
        <x:f>+I8-D8</x:f>
      </x:c>
      <x:c r="L8" s="503">
        <x:v>0.04</x:v>
      </x:c>
      <x:c r="M8" s="504">
        <x:f>+J8*L8</x:f>
      </x:c>
      <x:c r="O8" s="432"/>
    </x:row>
    <x:row r="9" spans="1:20" ht="15" customHeight="1" x14ac:dyDescent="0.3">
      <x:c r="A9" s="664" t="s">
        <x:v>114</x:v>
      </x:c>
      <x:c r="B9" s="670" t="s">
        <x:v>26</x:v>
      </x:c>
      <x:c r="C9" s="644" t="s">
        <x:v>1830</x:v>
      </x:c>
      <x:c r="D9" s="666">
        <x:v>46245</x:v>
      </x:c>
      <x:c r="E9" s="665">
        <x:v>17.4</x:v>
      </x:c>
      <x:c r="F9" s="665">
        <x:v>2.61</x:v>
      </x:c>
      <x:c r="G9" s="665">
        <x:v>16.97</x:v>
      </x:c>
      <x:c r="H9" s="665">
        <x:v>2.22</x:v>
      </x:c>
      <x:c r="I9" s="666">
        <x:v>46246</x:v>
      </x:c>
      <x:c r="J9" s="433">
        <x:f>+E9-F9</x:f>
      </x:c>
      <x:c r="K9" s="468">
        <x:f>+I9-D9</x:f>
      </x:c>
      <x:c r="L9" s="503">
        <x:v>0.04</x:v>
      </x:c>
      <x:c r="M9" s="504">
        <x:f>+J9*L9</x:f>
      </x:c>
      <x:c r="O9" s="432"/>
    </x:row>
    <x:row r="10" spans="1:20" ht="15" customHeight="1" x14ac:dyDescent="0.3">
      <x:c r="A10" s="664" t="s">
        <x:v>460</x:v>
      </x:c>
      <x:c r="B10" s="670" t="s">
        <x:v>333</x:v>
      </x:c>
      <x:c r="C10" s="644" t="s">
        <x:v>1831</x:v>
      </x:c>
      <x:c r="D10" s="666">
        <x:v>46255</x:v>
      </x:c>
      <x:c r="E10" s="665">
        <x:v>114.24</x:v>
      </x:c>
      <x:c r="F10" s="665">
        <x:v>17.14</x:v>
      </x:c>
      <x:c r="G10" s="665">
        <x:v>111.67</x:v>
      </x:c>
      <x:c r="H10" s="665">
        <x:v>14.57</x:v>
      </x:c>
      <x:c r="I10" s="666">
        <x:v>46265</x:v>
      </x:c>
      <x:c r="J10" s="433">
        <x:f>+E10-F10</x:f>
      </x:c>
      <x:c r="K10" s="468">
        <x:f>+I10-D10</x:f>
      </x:c>
      <x:c r="L10" s="503">
        <x:v>0.035</x:v>
      </x:c>
      <x:c r="M10" s="504">
        <x:f>+J10*L10</x:f>
      </x:c>
      <x:c r="O10" s="432"/>
    </x:row>
    <x:row r="11" spans="1:20" ht="15" customHeight="1" x14ac:dyDescent="0.3">
      <x:c r="A11" s="664" t="s">
        <x:v>25</x:v>
      </x:c>
      <x:c r="B11" s="670" t="s">
        <x:v>26</x:v>
      </x:c>
      <x:c r="C11" s="644" t="s">
        <x:v>1832</x:v>
      </x:c>
      <x:c r="D11" s="666">
        <x:v>46220</x:v>
      </x:c>
      <x:c r="E11" s="665">
        <x:v>918</x:v>
      </x:c>
      <x:c r="F11" s="665">
        <x:v>183.6</x:v>
      </x:c>
      <x:c r="G11" s="665">
        <x:v>796.82</x:v>
      </x:c>
      <x:c r="H11" s="665">
        <x:v>110.16</x:v>
      </x:c>
      <x:c r="I11" s="666">
        <x:v>46252</x:v>
      </x:c>
      <x:c r="J11" s="433">
        <x:f>+E11-F11</x:f>
      </x:c>
      <x:c r="K11" s="468">
        <x:f>+I11-D11</x:f>
      </x:c>
      <x:c r="L11" s="503">
        <x:v>0.03</x:v>
      </x:c>
      <x:c r="M11" s="504">
        <x:f>+J11*L11</x:f>
      </x:c>
      <x:c r="O11" s="432"/>
      <x:c r="S11" s="515"/>
      <x:c r="T11" s="435"/>
    </x:row>
    <x:row r="12" spans="1:20" ht="15" customHeight="1" x14ac:dyDescent="0.3">
      <x:c r="A12" s="664" t="s">
        <x:v>170</x:v>
      </x:c>
      <x:c r="B12" s="552" t="s">
        <x:v>105</x:v>
      </x:c>
      <x:c r="C12" s="644" t="s">
        <x:v>1833</x:v>
      </x:c>
      <x:c r="D12" s="666">
        <x:v>46205</x:v>
      </x:c>
      <x:c r="E12" s="665">
        <x:v>1148.4</x:v>
      </x:c>
      <x:c r="F12" s="665">
        <x:v>229.68</x:v>
      </x:c>
      <x:c r="G12" s="665">
        <x:v>1056.53</x:v>
      </x:c>
      <x:c r="H12" s="665">
        <x:v>137.81</x:v>
      </x:c>
      <x:c r="I12" s="666">
        <x:v>46241</x:v>
      </x:c>
      <x:c r="J12" s="433">
        <x:f>+E12-F12</x:f>
      </x:c>
      <x:c r="K12" s="468">
        <x:f>+I12-D12</x:f>
      </x:c>
      <x:c r="L12" s="503">
        <x:v>0.03</x:v>
      </x:c>
      <x:c r="M12" s="504">
        <x:f>+J12*L12</x:f>
      </x:c>
      <x:c r="O12" s="432"/>
    </x:row>
    <x:row r="13" spans="1:20" ht="15" customHeight="1" x14ac:dyDescent="0.3">
      <x:c r="A13" s="664" t="s">
        <x:v>697</x:v>
      </x:c>
      <x:c r="B13" s="670" t="s">
        <x:v>53</x:v>
      </x:c>
      <x:c r="C13" s="644" t="s">
        <x:v>1834</x:v>
      </x:c>
      <x:c r="D13" s="666">
        <x:v>46202</x:v>
      </x:c>
      <x:c r="E13" s="665">
        <x:v>2021.4</x:v>
      </x:c>
      <x:c r="F13" s="665">
        <x:v>505.35</x:v>
      </x:c>
      <x:c r="G13" s="665">
        <x:v>1644.92</x:v>
      </x:c>
      <x:c r="H13" s="665">
        <x:v>227.41</x:v>
      </x:c>
      <x:c r="I13" s="666">
        <x:v>46239</x:v>
      </x:c>
      <x:c r="J13" s="433">
        <x:f>+E13-F13</x:f>
      </x:c>
      <x:c r="K13" s="468">
        <x:f>+I13-D13</x:f>
      </x:c>
      <x:c r="L13" s="503">
        <x:v>0.03</x:v>
      </x:c>
      <x:c r="M13" s="504">
        <x:f>+J13*L13</x:f>
      </x:c>
      <x:c r="O13" s="432"/>
    </x:row>
    <x:row r="14" spans="1:20" ht="15" customHeight="1" x14ac:dyDescent="0.3">
      <x:c r="A14" s="664" t="s">
        <x:v>296</x:v>
      </x:c>
      <x:c r="B14" s="670" t="s">
        <x:v>26</x:v>
      </x:c>
      <x:c r="C14" s="644" t="s">
        <x:v>1835</x:v>
      </x:c>
      <x:c r="D14" s="666">
        <x:v>46220</x:v>
      </x:c>
      <x:c r="E14" s="665">
        <x:v>70.2</x:v>
      </x:c>
      <x:c r="F14" s="665">
        <x:v>10.53</x:v>
      </x:c>
      <x:c r="G14" s="665">
        <x:v>68.62</x:v>
      </x:c>
      <x:c r="H14" s="665">
        <x:v>8.95</x:v>
      </x:c>
      <x:c r="I14" s="666">
        <x:v>46265</x:v>
      </x:c>
      <x:c r="J14" s="433">
        <x:f>+E14-F14</x:f>
      </x:c>
      <x:c r="K14" s="468">
        <x:f>+I14-D14</x:f>
      </x:c>
      <x:c r="L14" s="503">
        <x:v>0.03</x:v>
      </x:c>
      <x:c r="M14" s="504">
        <x:f>+J14*L14</x:f>
      </x:c>
      <x:c r="O14" s="432"/>
    </x:row>
    <x:row r="15" spans="1:20" ht="15" customHeight="1" x14ac:dyDescent="0.3">
      <x:c r="A15" s="664" t="s">
        <x:v>88</x:v>
      </x:c>
      <x:c r="B15" s="670" t="s">
        <x:v>26</x:v>
      </x:c>
      <x:c r="C15" s="644" t="s">
        <x:v>1836</x:v>
      </x:c>
      <x:c r="D15" s="666">
        <x:v>46212</x:v>
      </x:c>
      <x:c r="E15" s="665">
        <x:v>191.52</x:v>
      </x:c>
      <x:c r="F15" s="665">
        <x:v>28.73</x:v>
      </x:c>
      <x:c r="G15" s="665">
        <x:v>176.63</x:v>
      </x:c>
      <x:c r="H15" s="665">
        <x:v>24.42</x:v>
      </x:c>
      <x:c r="I15" s="666">
        <x:v>46260</x:v>
      </x:c>
      <x:c r="J15" s="433">
        <x:f>+E15-F15</x:f>
      </x:c>
      <x:c r="K15" s="468">
        <x:f>+I15-D15</x:f>
      </x:c>
      <x:c r="L15" s="503">
        <x:v>0.03</x:v>
      </x:c>
      <x:c r="M15" s="504">
        <x:f>+J15*L15</x:f>
      </x:c>
      <x:c r="O15" s="432"/>
    </x:row>
    <x:row r="16" spans="1:20" ht="15" customHeight="1" x14ac:dyDescent="0.3">
      <x:c r="A16" s="664" t="s">
        <x:v>339</x:v>
      </x:c>
      <x:c r="B16" s="670" t="s">
        <x:v>333</x:v>
      </x:c>
      <x:c r="C16" s="644" t="s">
        <x:v>1837</x:v>
      </x:c>
      <x:c r="D16" s="666">
        <x:v>46189</x:v>
      </x:c>
      <x:c r="E16" s="665">
        <x:v>262.08</x:v>
      </x:c>
      <x:c r="F16" s="665">
        <x:v>39.31</x:v>
      </x:c>
      <x:c r="G16" s="665">
        <x:v>256.19</x:v>
      </x:c>
      <x:c r="H16" s="665">
        <x:v>33.42</x:v>
      </x:c>
      <x:c r="I16" s="666">
        <x:v>46239</x:v>
      </x:c>
      <x:c r="J16" s="433">
        <x:f>+E16-F16</x:f>
      </x:c>
      <x:c r="K16" s="468">
        <x:f>+I16-D16</x:f>
      </x:c>
      <x:c r="L16" s="503">
        <x:v>0.03</x:v>
      </x:c>
      <x:c r="M16" s="504">
        <x:f>+J16*L16</x:f>
      </x:c>
      <x:c r="O16" s="432"/>
    </x:row>
    <x:row r="17" spans="1:20" ht="15" customHeight="1" x14ac:dyDescent="0.3">
      <x:c r="A17" s="664" t="s">
        <x:v>1838</x:v>
      </x:c>
      <x:c r="B17" s="670" t="s">
        <x:v>53</x:v>
      </x:c>
      <x:c r="C17" s="644" t="s">
        <x:v>1839</x:v>
      </x:c>
      <x:c r="D17" s="666">
        <x:v>46202</x:v>
      </x:c>
      <x:c r="E17" s="665">
        <x:v>365.76</x:v>
      </x:c>
      <x:c r="F17" s="665">
        <x:v>47.55</x:v>
      </x:c>
      <x:c r="G17" s="665">
        <x:v>116.94</x:v>
      </x:c>
      <x:c r="H17" s="665">
        <x:v>47.73</x:v>
      </x:c>
      <x:c r="I17" s="666">
        <x:v>46262</x:v>
      </x:c>
      <x:c r="J17" s="433">
        <x:f>116.94/1.15</x:f>
      </x:c>
      <x:c r="K17" s="468">
        <x:f>+I17-D17</x:f>
      </x:c>
      <x:c r="L17" s="503">
        <x:v>0.03</x:v>
      </x:c>
      <x:c r="M17" s="504">
        <x:f>+J17*L17</x:f>
      </x:c>
      <x:c r="O17" s="432"/>
    </x:row>
    <x:row r="18" spans="1:20" ht="15" customHeight="1" x14ac:dyDescent="0.3">
      <x:c r="A18" s="664" t="s">
        <x:v>101</x:v>
      </x:c>
      <x:c r="B18" s="552" t="s">
        <x:v>26</x:v>
      </x:c>
      <x:c r="C18" s="644" t="s">
        <x:v>1840</x:v>
      </x:c>
      <x:c r="D18" s="666">
        <x:v>46197</x:v>
      </x:c>
      <x:c r="E18" s="665">
        <x:v>266.28</x:v>
      </x:c>
      <x:c r="F18" s="665">
        <x:v>39.94</x:v>
      </x:c>
      <x:c r="G18" s="665">
        <x:v>245.57</x:v>
      </x:c>
      <x:c r="H18" s="665">
        <x:v>33.95</x:v>
      </x:c>
      <x:c r="I18" s="666">
        <x:v>46258</x:v>
      </x:c>
      <x:c r="J18" s="433">
        <x:f>+E18-F18</x:f>
      </x:c>
      <x:c r="K18" s="468">
        <x:f>+I18-D18</x:f>
      </x:c>
      <x:c r="L18" s="503">
        <x:v>0.03</x:v>
      </x:c>
      <x:c r="M18" s="504">
        <x:f>+J18*L18</x:f>
      </x:c>
      <x:c r="O18" s="432"/>
      <x:c r="S18" s="515"/>
    </x:row>
    <x:row r="19" spans="1:20" ht="15" customHeight="1" x14ac:dyDescent="0.3">
      <x:c r="A19" s="664" t="s">
        <x:v>84</x:v>
      </x:c>
      <x:c r="B19" s="670" t="s">
        <x:v>26</x:v>
      </x:c>
      <x:c r="C19" s="644" t="s">
        <x:v>1841</x:v>
      </x:c>
      <x:c r="D19" s="666">
        <x:v>46174</x:v>
      </x:c>
      <x:c r="E19" s="665">
        <x:v>475.2</x:v>
      </x:c>
      <x:c r="F19" s="665">
        <x:v>118.8</x:v>
      </x:c>
      <x:c r="G19" s="665">
        <x:v>386.69</x:v>
      </x:c>
      <x:c r="H19" s="665">
        <x:v>53.46</x:v>
      </x:c>
      <x:c r="I19" s="666">
        <x:v>46238</x:v>
      </x:c>
      <x:c r="J19" s="433">
        <x:f>+E19-F19</x:f>
      </x:c>
      <x:c r="K19" s="468">
        <x:f>+I19-D19</x:f>
      </x:c>
      <x:c r="L19" s="503">
        <x:v>0.03</x:v>
      </x:c>
      <x:c r="M19" s="504">
        <x:f>+J19*L19</x:f>
      </x:c>
      <x:c r="O19" s="432"/>
    </x:row>
    <x:row r="20" spans="1:20" ht="15" customHeight="1" x14ac:dyDescent="0.3">
      <x:c r="A20" s="664" t="s">
        <x:v>84</x:v>
      </x:c>
      <x:c r="B20" s="670" t="s">
        <x:v>26</x:v>
      </x:c>
      <x:c r="C20" s="644" t="s">
        <x:v>1842</x:v>
      </x:c>
      <x:c r="D20" s="666">
        <x:v>46174</x:v>
      </x:c>
      <x:c r="E20" s="665">
        <x:v>522.72</x:v>
      </x:c>
      <x:c r="F20" s="665">
        <x:v>130.68</x:v>
      </x:c>
      <x:c r="G20" s="665">
        <x:v>425.37</x:v>
      </x:c>
      <x:c r="H20" s="665">
        <x:v>58.81</x:v>
      </x:c>
      <x:c r="I20" s="666">
        <x:v>46238</x:v>
      </x:c>
      <x:c r="J20" s="433">
        <x:f>+E20-F20</x:f>
      </x:c>
      <x:c r="K20" s="468">
        <x:f>+I20-D20</x:f>
      </x:c>
      <x:c r="L20" s="503">
        <x:v>0.03</x:v>
      </x:c>
      <x:c r="M20" s="504">
        <x:f>+J20*L20</x:f>
      </x:c>
      <x:c r="O20" s="432"/>
    </x:row>
    <x:row r="21" spans="1:20" ht="15" customHeight="1" x14ac:dyDescent="0.3">
      <x:c r="A21" s="664" t="s">
        <x:v>1843</x:v>
      </x:c>
      <x:c r="B21" s="670" t="s">
        <x:v>105</x:v>
      </x:c>
      <x:c r="C21" s="644" t="s">
        <x:v>1844</x:v>
      </x:c>
      <x:c r="D21" s="666">
        <x:v>46192</x:v>
      </x:c>
      <x:c r="E21" s="665">
        <x:v>201.96</x:v>
      </x:c>
      <x:c r="F21" s="665">
        <x:v>30.29</x:v>
      </x:c>
      <x:c r="G21" s="665">
        <x:v>197.44</x:v>
      </x:c>
      <x:c r="H21" s="665">
        <x:v>25.75</x:v>
      </x:c>
      <x:c r="I21" s="666">
        <x:v>46258</x:v>
      </x:c>
      <x:c r="J21" s="433">
        <x:f>+E21-F21</x:f>
      </x:c>
      <x:c r="K21" s="468">
        <x:f>+I21-D21</x:f>
      </x:c>
      <x:c r="L21" s="503">
        <x:v>0.03</x:v>
      </x:c>
      <x:c r="M21" s="504">
        <x:f>+J21*L21</x:f>
      </x:c>
      <x:c r="O21" s="432"/>
    </x:row>
    <x:row r="22" spans="1:20" ht="15" customHeight="1" x14ac:dyDescent="0.3">
      <x:c r="A22" s="664" t="s">
        <x:v>52</x:v>
      </x:c>
      <x:c r="B22" s="670" t="s">
        <x:v>53</x:v>
      </x:c>
      <x:c r="C22" s="644" t="s">
        <x:v>1845</x:v>
      </x:c>
      <x:c r="D22" s="666">
        <x:v>46189</x:v>
      </x:c>
      <x:c r="E22" s="665">
        <x:v>5683.8</x:v>
      </x:c>
      <x:c r="F22" s="665">
        <x:v>1420.95</x:v>
      </x:c>
      <x:c r="G22" s="665">
        <x:v>4625.19</x:v>
      </x:c>
      <x:c r="H22" s="665">
        <x:v>639.43</x:v>
      </x:c>
      <x:c r="I22" s="666">
        <x:v>46265</x:v>
      </x:c>
      <x:c r="J22" s="433">
        <x:f>+E22-F22</x:f>
      </x:c>
      <x:c r="K22" s="468">
        <x:f>+I22-D22</x:f>
      </x:c>
      <x:c r="L22" s="503">
        <x:v>0.03</x:v>
      </x:c>
      <x:c r="M22" s="504">
        <x:f>+J22*L22</x:f>
      </x:c>
      <x:c r="O22" s="432"/>
    </x:row>
    <x:row r="23" spans="1:20" ht="15" customHeight="1" x14ac:dyDescent="0.3">
      <x:c r="A23" s="664" t="s">
        <x:v>613</x:v>
      </x:c>
      <x:c r="B23" s="670" t="s">
        <x:v>463</x:v>
      </x:c>
      <x:c r="C23" s="644" t="s">
        <x:v>1846</x:v>
      </x:c>
      <x:c r="D23" s="666">
        <x:v>46169</x:v>
      </x:c>
      <x:c r="E23" s="665">
        <x:v>264.72</x:v>
      </x:c>
      <x:c r="F23" s="665">
        <x:v>39.71</x:v>
      </x:c>
      <x:c r="G23" s="665">
        <x:v>258.76</x:v>
      </x:c>
      <x:c r="H23" s="665">
        <x:v>33.75</x:v>
      </x:c>
      <x:c r="I23" s="666">
        <x:v>46255</x:v>
      </x:c>
      <x:c r="J23" s="433">
        <x:f>+E23-F23</x:f>
      </x:c>
      <x:c r="K23" s="468">
        <x:f>+I23-D23</x:f>
      </x:c>
      <x:c r="L23" s="503">
        <x:v>0.03</x:v>
      </x:c>
      <x:c r="M23" s="504">
        <x:f>+J23*L23</x:f>
      </x:c>
      <x:c r="O23" s="432"/>
      <x:c r="R23" s="435"/>
    </x:row>
    <x:row r="24" spans="1:20" ht="15" customHeight="1" x14ac:dyDescent="0.3">
      <x:c r="A24" s="664" t="s">
        <x:v>422</x:v>
      </x:c>
      <x:c r="B24" s="552" t="s">
        <x:v>463</x:v>
      </x:c>
      <x:c r="C24" s="644" t="s">
        <x:v>1847</x:v>
      </x:c>
      <x:c r="D24" s="666">
        <x:v>46169</x:v>
      </x:c>
      <x:c r="E24" s="665">
        <x:v>116.88</x:v>
      </x:c>
      <x:c r="F24" s="665">
        <x:v>17.53</x:v>
      </x:c>
      <x:c r="G24" s="665">
        <x:v>114.25</x:v>
      </x:c>
      <x:c r="H24" s="665">
        <x:v>14.9</x:v>
      </x:c>
      <x:c r="I24" s="666">
        <x:v>46259</x:v>
      </x:c>
      <x:c r="J24" s="433">
        <x:f>+E24-F24</x:f>
      </x:c>
      <x:c r="K24" s="468">
        <x:f>+I24-D24</x:f>
      </x:c>
      <x:c r="L24" s="503">
        <x:v>0.03</x:v>
      </x:c>
      <x:c r="M24" s="504">
        <x:f>+J24*L24</x:f>
      </x:c>
      <x:c r="O24" s="432"/>
    </x:row>
    <x:row r="25" spans="1:20" ht="15" customHeight="1" x14ac:dyDescent="0.3">
      <x:c r="A25" s="664" t="s">
        <x:v>1512</x:v>
      </x:c>
      <x:c r="B25" s="670" t="s">
        <x:v>336</x:v>
      </x:c>
      <x:c r="C25" s="644" t="s">
        <x:v>1848</x:v>
      </x:c>
      <x:c r="D25" s="666">
        <x:v>46170</x:v>
      </x:c>
      <x:c r="E25" s="665">
        <x:v>175.08</x:v>
      </x:c>
      <x:c r="F25" s="665">
        <x:v>26.26</x:v>
      </x:c>
      <x:c r="G25" s="665">
        <x:v>171.14</x:v>
      </x:c>
      <x:c r="H25" s="665">
        <x:v>22.32</x:v>
      </x:c>
      <x:c r="I25" s="666">
        <x:v>46262</x:v>
      </x:c>
      <x:c r="J25" s="433">
        <x:f>+E25-F25</x:f>
      </x:c>
      <x:c r="K25" s="468">
        <x:f>+I25-D25</x:f>
      </x:c>
      <x:c r="L25" s="503">
        <x:v>0.03</x:v>
      </x:c>
      <x:c r="M25" s="504">
        <x:f>+J25*L25</x:f>
      </x:c>
      <x:c r="O25" s="432"/>
    </x:row>
    <x:row r="26" spans="1:20" ht="15" customHeight="1" x14ac:dyDescent="0.3">
      <x:c r="A26" s="664" t="s">
        <x:v>605</x:v>
      </x:c>
      <x:c r="B26" s="670" t="s">
        <x:v>336</x:v>
      </x:c>
      <x:c r="C26" s="644" t="s">
        <x:v>1849</x:v>
      </x:c>
      <x:c r="D26" s="666">
        <x:v>46170</x:v>
      </x:c>
      <x:c r="E26" s="665">
        <x:v>261.72</x:v>
      </x:c>
      <x:c r="F26" s="665">
        <x:v>39.26</x:v>
      </x:c>
      <x:c r="G26" s="665">
        <x:v>255.83</x:v>
      </x:c>
      <x:c r="H26" s="665">
        <x:v>33.37</x:v>
      </x:c>
      <x:c r="I26" s="666">
        <x:v>46262</x:v>
      </x:c>
      <x:c r="J26" s="433">
        <x:f>+E26-F26</x:f>
      </x:c>
      <x:c r="K26" s="468">
        <x:f>+I26-D26</x:f>
      </x:c>
      <x:c r="L26" s="503">
        <x:v>0.03</x:v>
      </x:c>
      <x:c r="M26" s="504">
        <x:f>+J26*L26</x:f>
      </x:c>
      <x:c r="O26" s="432"/>
    </x:row>
    <x:row r="27" spans="1:20" ht="15" customHeight="1" x14ac:dyDescent="0.3">
      <x:c r="A27" s="664" t="s">
        <x:v>67</x:v>
      </x:c>
      <x:c r="B27" s="670" t="s">
        <x:v>26</x:v>
      </x:c>
      <x:c r="C27" s="644" t="s">
        <x:v>1850</x:v>
      </x:c>
      <x:c r="D27" s="666">
        <x:v>46107</x:v>
      </x:c>
      <x:c r="E27" s="665">
        <x:v>671.28</x:v>
      </x:c>
      <x:c r="F27" s="665">
        <x:v>134.26</x:v>
      </x:c>
      <x:c r="G27" s="665">
        <x:v>617.57</x:v>
      </x:c>
      <x:c r="H27" s="665">
        <x:v>80.55</x:v>
      </x:c>
      <x:c r="I27" s="666">
        <x:v>46241</x:v>
      </x:c>
      <x:c r="J27" s="433">
        <x:f>+E27-F27</x:f>
      </x:c>
      <x:c r="K27" s="468">
        <x:f>+I27-D27</x:f>
      </x:c>
      <x:c r="L27" s="503">
        <x:v>0.03</x:v>
      </x:c>
      <x:c r="M27" s="504">
        <x:f>+J27*L27</x:f>
      </x:c>
      <x:c r="O27" s="432"/>
    </x:row>
    <x:row r="28" spans="1:20" ht="15" customHeight="1" x14ac:dyDescent="0.3">
      <x:c r="A28" s="664" t="s">
        <x:v>1037</x:v>
      </x:c>
      <x:c r="B28" s="552" t="s">
        <x:v>320</x:v>
      </x:c>
      <x:c r="C28" s="644" t="s">
        <x:v>1851</x:v>
      </x:c>
      <x:c r="D28" s="666">
        <x:v>46118</x:v>
      </x:c>
      <x:c r="E28" s="665">
        <x:v>502.44</x:v>
      </x:c>
      <x:c r="F28" s="665">
        <x:v>75.37</x:v>
      </x:c>
      <x:c r="G28" s="665">
        <x:v>463.37</x:v>
      </x:c>
      <x:c r="H28" s="665">
        <x:v>64.06</x:v>
      </x:c>
      <x:c r="I28" s="666">
        <x:v>46259</x:v>
      </x:c>
      <x:c r="J28" s="433">
        <x:f>+E28-F28</x:f>
      </x:c>
      <x:c r="K28" s="468">
        <x:f>+I28-D28</x:f>
      </x:c>
      <x:c r="L28" s="503">
        <x:v>0.03</x:v>
      </x:c>
      <x:c r="M28" s="504">
        <x:f>+J28*L28</x:f>
      </x:c>
      <x:c r="O28" s="432"/>
    </x:row>
    <x:row r="29" spans="1:20" ht="15" customHeight="1" x14ac:dyDescent="0.3">
      <x:c r="A29" s="664" t="s">
        <x:v>1037</x:v>
      </x:c>
      <x:c r="B29" s="552" t="s">
        <x:v>320</x:v>
      </x:c>
      <x:c r="C29" s="644" t="s">
        <x:v>1852</x:v>
      </x:c>
      <x:c r="D29" s="666">
        <x:v>46118</x:v>
      </x:c>
      <x:c r="E29" s="665">
        <x:v>422.4</x:v>
      </x:c>
      <x:c r="F29" s="665">
        <x:v>42.24</x:v>
      </x:c>
      <x:c r="G29" s="665">
        <x:v>412.47</x:v>
      </x:c>
      <x:c r="H29" s="665">
        <x:v>57.02</x:v>
      </x:c>
      <x:c r="I29" s="666">
        <x:v>46259</x:v>
      </x:c>
      <x:c r="J29" s="433">
        <x:f>+E29-F29</x:f>
      </x:c>
      <x:c r="K29" s="468">
        <x:f>+I29-D29</x:f>
      </x:c>
      <x:c r="L29" s="503">
        <x:v>0.03</x:v>
      </x:c>
      <x:c r="M29" s="504">
        <x:f>+J29*L29</x:f>
      </x:c>
      <x:c r="O29" s="432"/>
    </x:row>
    <x:row r="30" spans="1:20" ht="15" customHeight="1" x14ac:dyDescent="0.3">
      <x:c r="A30" s="664"/>
      <x:c r="B30" s="552"/>
      <x:c r="C30" s="644"/>
      <x:c r="D30" s="685"/>
      <x:c r="E30" s="671"/>
      <x:c r="F30" s="671"/>
      <x:c r="G30" s="665"/>
      <x:c r="H30" s="671"/>
      <x:c r="I30" s="666"/>
      <x:c r="J30" s="433"/>
      <x:c r="K30" s="468"/>
      <x:c r="L30" s="503"/>
      <x:c r="M30" s="504"/>
      <x:c r="O30" s="432"/>
    </x:row>
    <x:row r="31" spans="1:20" ht="15" customHeight="1" x14ac:dyDescent="0.25">
      <x:c r="A31" s="606"/>
      <x:c r="B31" s="573"/>
      <x:c r="C31" s="606"/>
      <x:c r="D31" s="629"/>
      <x:c r="E31" s="569"/>
      <x:c r="F31" s="569"/>
      <x:c r="G31" s="466"/>
      <x:c r="H31" s="569"/>
      <x:c r="I31" s="467"/>
      <x:c r="J31" s="433"/>
      <x:c r="K31" s="468"/>
      <x:c r="L31" s="503"/>
      <x:c r="M31" s="504"/>
      <x:c r="O31" s="432"/>
    </x:row>
    <x:row r="32" spans="1:20" ht="15" customHeight="1" x14ac:dyDescent="0.3">
      <x:c r="G32" s="516">
        <x:f>SUM(G8:G31)</x:f>
      </x:c>
      <x:c r="J32" s="516">
        <x:f>SUM(J8:J31)</x:f>
      </x:c>
      <x:c r="M32" s="516">
        <x:f>SUM(M8:M31)</x:f>
      </x:c>
      <x:c r="O32" s="432"/>
    </x:row>
    <x:row r="33" spans="1:20" ht="15" customHeight="1" x14ac:dyDescent="0.25">
      <x:c r="G33" s="435"/>
      <x:c r="H33" s="435"/>
      <x:c r="O33" s="432"/>
    </x:row>
    <x:row r="34" spans="1:20" ht="15" customHeight="1" x14ac:dyDescent="0.25">
      <x:c r="A34" s="517" t="s">
        <x:v>30</x:v>
      </x:c>
      <x:c r="B34" s="518" t="s">
        <x:v>31</x:v>
      </x:c>
      <x:c r="C34" s="518" t="s">
        <x:v>32</x:v>
      </x:c>
      <x:c r="J34" s="435"/>
      <x:c r="O34" s="432"/>
    </x:row>
    <x:row r="35" spans="1:20" ht="14.4" customHeight="1" s="434" customFormat="1" x14ac:dyDescent="0.3">
      <x:c r="A35" s="664" t="s">
        <x:v>136</x:v>
      </x:c>
      <x:c r="B35" s="551" t="s">
        <x:v>1853</x:v>
      </x:c>
      <x:c r="C35" s="644" t="s">
        <x:v>1854</x:v>
      </x:c>
      <x:c r="D35" s="553">
        <x:v>46240</x:v>
      </x:c>
      <x:c r="E35" s="554">
        <x:v>423.36</x:v>
      </x:c>
      <x:c r="F35" s="554">
        <x:v>105.84</x:v>
      </x:c>
      <x:c r="G35" s="665">
        <x:v>344.51</x:v>
      </x:c>
      <x:c r="H35" s="554">
        <x:v>47.63</x:v>
      </x:c>
      <x:c r="I35" s="666">
        <x:v>46271</x:v>
      </x:c>
      <x:c r="J35" s="433">
        <x:f>+E35-F35</x:f>
      </x:c>
      <x:c r="K35" s="468">
        <x:f>+I35-D35</x:f>
      </x:c>
      <x:c r="L35" s="469">
        <x:v>0.03</x:v>
      </x:c>
      <x:c r="M35" s="433">
        <x:f>+J35*L35</x:f>
      </x:c>
      <x:c r="N35" s="470"/>
      <x:c r="O35" s="432"/>
    </x:row>
    <x:row r="36" spans="1:20" ht="14.4" customHeight="1" s="434" customFormat="1" x14ac:dyDescent="0.3">
      <x:c r="A36" s="664" t="s">
        <x:v>101</x:v>
      </x:c>
      <x:c r="B36" s="551" t="s">
        <x:v>1855</x:v>
      </x:c>
      <x:c r="C36" s="644" t="s">
        <x:v>1856</x:v>
      </x:c>
      <x:c r="D36" s="553">
        <x:v>46217</x:v>
      </x:c>
      <x:c r="E36" s="554">
        <x:v>122.4</x:v>
      </x:c>
      <x:c r="F36" s="554">
        <x:v>18.36</x:v>
      </x:c>
      <x:c r="G36" s="665">
        <x:f>119.65-6.76</x:f>
      </x:c>
      <x:c r="H36" s="554">
        <x:v>15.61</x:v>
      </x:c>
      <x:c r="I36" s="666">
        <x:v>46271</x:v>
      </x:c>
      <x:c r="J36" s="433">
        <x:f>+E36-F36</x:f>
      </x:c>
      <x:c r="K36" s="468">
        <x:f>+I36-D36</x:f>
      </x:c>
      <x:c r="L36" s="469">
        <x:v>0.03</x:v>
      </x:c>
      <x:c r="M36" s="433">
        <x:f>+J36*L36</x:f>
      </x:c>
      <x:c r="N36" s="470"/>
      <x:c r="O36" s="432"/>
    </x:row>
    <x:row r="37" spans="1:20" ht="14.4" customHeight="1" s="434" customFormat="1" x14ac:dyDescent="0.3">
      <x:c r="A37" s="664" t="s">
        <x:v>101</x:v>
      </x:c>
      <x:c r="B37" s="551" t="s">
        <x:v>1855</x:v>
      </x:c>
      <x:c r="C37" s="644" t="s">
        <x:v>1857</x:v>
      </x:c>
      <x:c r="D37" s="553">
        <x:v>46219</x:v>
      </x:c>
      <x:c r="E37" s="554">
        <x:v>86.4</x:v>
      </x:c>
      <x:c r="F37" s="554">
        <x:v>12.96</x:v>
      </x:c>
      <x:c r="G37" s="665">
        <x:f>84.46-4.78</x:f>
      </x:c>
      <x:c r="H37" s="554">
        <x:v>11.02</x:v>
      </x:c>
      <x:c r="I37" s="666">
        <x:v>46271</x:v>
      </x:c>
      <x:c r="J37" s="433">
        <x:f>+E37-F37</x:f>
      </x:c>
      <x:c r="K37" s="468">
        <x:f>+I37-D37</x:f>
      </x:c>
      <x:c r="L37" s="469">
        <x:v>0.03</x:v>
      </x:c>
      <x:c r="M37" s="433">
        <x:f>+J37*L37</x:f>
      </x:c>
      <x:c r="N37" s="470"/>
      <x:c r="O37" s="432"/>
    </x:row>
    <x:row r="38" spans="1:20" ht="14.4" customHeight="1" s="434" customFormat="1" x14ac:dyDescent="0.3">
      <x:c r="A38" s="664" t="s">
        <x:v>101</x:v>
      </x:c>
      <x:c r="B38" s="551" t="s">
        <x:v>1858</x:v>
      </x:c>
      <x:c r="C38" s="644" t="s">
        <x:v>1859</x:v>
      </x:c>
      <x:c r="D38" s="553">
        <x:v>46230</x:v>
      </x:c>
      <x:c r="E38" s="554">
        <x:v>288.24</x:v>
      </x:c>
      <x:c r="F38" s="554">
        <x:v>43.24</x:v>
      </x:c>
      <x:c r="G38" s="665">
        <x:f>281.75-15.93</x:f>
      </x:c>
      <x:c r="H38" s="554">
        <x:v>36.75</x:v>
      </x:c>
      <x:c r="I38" s="666">
        <x:v>46276</x:v>
      </x:c>
      <x:c r="J38" s="433">
        <x:f>+E38-F38</x:f>
      </x:c>
      <x:c r="K38" s="468">
        <x:f>+I38-D38</x:f>
      </x:c>
      <x:c r="L38" s="469">
        <x:v>0.03</x:v>
      </x:c>
      <x:c r="M38" s="433">
        <x:f>+J38*L38</x:f>
      </x:c>
      <x:c r="N38" s="470"/>
      <x:c r="O38" s="432"/>
    </x:row>
    <x:row r="39" spans="1:20" ht="15" customHeight="1" x14ac:dyDescent="0.3">
      <x:c r="A39" s="664" t="s">
        <x:v>101</x:v>
      </x:c>
      <x:c r="B39" s="551" t="s">
        <x:v>1858</x:v>
      </x:c>
      <x:c r="C39" s="644" t="s">
        <x:v>1860</x:v>
      </x:c>
      <x:c r="D39" s="553">
        <x:v>46230</x:v>
      </x:c>
      <x:c r="E39" s="554">
        <x:v>20.4</x:v>
      </x:c>
      <x:c r="F39" s="554">
        <x:v>3.06</x:v>
      </x:c>
      <x:c r="G39" s="665">
        <x:f>19.94-1.13</x:f>
      </x:c>
      <x:c r="H39" s="554">
        <x:v>2.6</x:v>
      </x:c>
      <x:c r="I39" s="666">
        <x:v>46276</x:v>
      </x:c>
      <x:c r="J39" s="433">
        <x:f>+E39-F39</x:f>
      </x:c>
      <x:c r="K39" s="468">
        <x:f>+I39-D39</x:f>
      </x:c>
      <x:c r="L39" s="503">
        <x:v>0.03</x:v>
      </x:c>
      <x:c r="M39" s="504">
        <x:f>+J39*L39</x:f>
      </x:c>
      <x:c r="O39" s="432"/>
    </x:row>
    <x:row r="40" spans="1:20" ht="15" customHeight="1" x14ac:dyDescent="0.3">
      <x:c r="A40" s="664" t="s">
        <x:v>70</x:v>
      </x:c>
      <x:c r="B40" s="551" t="s">
        <x:v>1861</x:v>
      </x:c>
      <x:c r="C40" s="644" t="s">
        <x:v>1862</x:v>
      </x:c>
      <x:c r="D40" s="553">
        <x:v>46251</x:v>
      </x:c>
      <x:c r="E40" s="554">
        <x:v>303.6</x:v>
      </x:c>
      <x:c r="F40" s="554">
        <x:v>60.72</x:v>
      </x:c>
      <x:c r="G40" s="665">
        <x:v>274.45</x:v>
      </x:c>
      <x:c r="H40" s="554">
        <x:v>36.43</x:v>
      </x:c>
      <x:c r="I40" s="666">
        <x:v>46282</x:v>
      </x:c>
      <x:c r="J40" s="433">
        <x:f>+E40-F40</x:f>
      </x:c>
      <x:c r="K40" s="468">
        <x:f>+I40-D40</x:f>
      </x:c>
      <x:c r="L40" s="503">
        <x:v>0.03</x:v>
      </x:c>
      <x:c r="M40" s="504">
        <x:f>+J40*L40</x:f>
      </x:c>
      <x:c r="O40" s="432"/>
    </x:row>
    <x:row r="41" spans="1:20" ht="15" customHeight="1" x14ac:dyDescent="0.3">
      <x:c r="A41" s="664" t="s">
        <x:v>164</x:v>
      </x:c>
      <x:c r="B41" s="551" t="s">
        <x:v>1863</x:v>
      </x:c>
      <x:c r="C41" s="644" t="s">
        <x:v>1864</x:v>
      </x:c>
      <x:c r="D41" s="553">
        <x:v>46223</x:v>
      </x:c>
      <x:c r="E41" s="554">
        <x:v>303.72</x:v>
      </x:c>
      <x:c r="F41" s="554">
        <x:v>45.56</x:v>
      </x:c>
      <x:c r="G41" s="665">
        <x:v>296.88</x:v>
      </x:c>
      <x:c r="H41" s="554">
        <x:v>38.72</x:v>
      </x:c>
      <x:c r="I41" s="666">
        <x:v>46270</x:v>
      </x:c>
      <x:c r="J41" s="433">
        <x:f>+E41-F41</x:f>
      </x:c>
      <x:c r="K41" s="468">
        <x:f>+I41-D41</x:f>
      </x:c>
      <x:c r="L41" s="503">
        <x:v>0.03</x:v>
      </x:c>
      <x:c r="M41" s="504">
        <x:f>+J41*L41</x:f>
      </x:c>
      <x:c r="O41" s="432"/>
    </x:row>
    <x:row r="42" spans="1:20" ht="15" customHeight="1" x14ac:dyDescent="0.3">
      <x:c r="A42" s="664" t="s">
        <x:v>711</x:v>
      </x:c>
      <x:c r="B42" s="551" t="s">
        <x:v>1865</x:v>
      </x:c>
      <x:c r="C42" s="644" t="s">
        <x:v>1866</x:v>
      </x:c>
      <x:c r="D42" s="666">
        <x:v>46178</x:v>
      </x:c>
      <x:c r="E42" s="671">
        <x:v>586.8</x:v>
      </x:c>
      <x:c r="F42" s="671">
        <x:v>88.02</x:v>
      </x:c>
      <x:c r="G42" s="665">
        <x:v>573.6</x:v>
      </x:c>
      <x:c r="H42" s="671">
        <x:v>74.82</x:v>
      </x:c>
      <x:c r="I42" s="666">
        <x:v>46326</x:v>
      </x:c>
      <x:c r="J42" s="433">
        <x:f>+E42-F42</x:f>
      </x:c>
      <x:c r="K42" s="468">
        <x:f>+I42-D42</x:f>
      </x:c>
      <x:c r="L42" s="503">
        <x:v>0.03</x:v>
      </x:c>
      <x:c r="M42" s="504">
        <x:f>+J42*L42</x:f>
      </x:c>
      <x:c r="O42" s="432"/>
    </x:row>
    <x:row r="43" spans="1:20" ht="15" customHeight="1" x14ac:dyDescent="0.3">
      <x:c r="A43" s="664" t="s">
        <x:v>36</x:v>
      </x:c>
      <x:c r="B43" s="551" t="s">
        <x:v>1867</x:v>
      </x:c>
      <x:c r="C43" s="644" t="s">
        <x:v>1868</x:v>
      </x:c>
      <x:c r="D43" s="666">
        <x:v>46219</x:v>
      </x:c>
      <x:c r="E43" s="671">
        <x:v>489.6</x:v>
      </x:c>
      <x:c r="F43" s="671">
        <x:v>122.4</x:v>
      </x:c>
      <x:c r="G43" s="665">
        <x:v>398.42</x:v>
      </x:c>
      <x:c r="H43" s="671">
        <x:v>55.08</x:v>
      </x:c>
      <x:c r="I43" s="666">
        <x:v>46283</x:v>
      </x:c>
      <x:c r="J43" s="433">
        <x:f>+E43-F43</x:f>
      </x:c>
      <x:c r="K43" s="468">
        <x:f>+I43-D43</x:f>
      </x:c>
      <x:c r="L43" s="503">
        <x:v>0.03</x:v>
      </x:c>
      <x:c r="M43" s="504">
        <x:f>+J43*L43</x:f>
      </x:c>
      <x:c r="O43" s="432"/>
    </x:row>
    <x:row r="44" spans="1:20" ht="15" customHeight="1" x14ac:dyDescent="0.3">
      <x:c r="A44" s="664" t="s">
        <x:v>36</x:v>
      </x:c>
      <x:c r="B44" s="551" t="s">
        <x:v>1869</x:v>
      </x:c>
      <x:c r="C44" s="644" t="s">
        <x:v>1870</x:v>
      </x:c>
      <x:c r="D44" s="666">
        <x:v>46237</x:v>
      </x:c>
      <x:c r="E44" s="671">
        <x:v>337.8</x:v>
      </x:c>
      <x:c r="F44" s="671">
        <x:v>84.45</x:v>
      </x:c>
      <x:c r="G44" s="665">
        <x:v>274.88</x:v>
      </x:c>
      <x:c r="H44" s="671">
        <x:v>38</x:v>
      </x:c>
      <x:c r="I44" s="666">
        <x:v>46298</x:v>
      </x:c>
      <x:c r="J44" s="433">
        <x:f>+E44-F44</x:f>
      </x:c>
      <x:c r="K44" s="468">
        <x:f>+I44-D44</x:f>
      </x:c>
      <x:c r="L44" s="503">
        <x:v>0.03</x:v>
      </x:c>
      <x:c r="M44" s="504">
        <x:f>+J44*L44</x:f>
      </x:c>
      <x:c r="O44" s="432"/>
    </x:row>
    <x:row r="45" spans="1:20" ht="15" customHeight="1" x14ac:dyDescent="0.3">
      <x:c r="A45" s="664" t="s">
        <x:v>36</x:v>
      </x:c>
      <x:c r="B45" s="551" t="s">
        <x:v>1871</x:v>
      </x:c>
      <x:c r="C45" s="644" t="s">
        <x:v>1872</x:v>
      </x:c>
      <x:c r="D45" s="666">
        <x:v>46254</x:v>
      </x:c>
      <x:c r="E45" s="671">
        <x:v>736.8</x:v>
      </x:c>
      <x:c r="F45" s="671">
        <x:v>184.2</x:v>
      </x:c>
      <x:c r="G45" s="665">
        <x:v>599.57</x:v>
      </x:c>
      <x:c r="H45" s="671">
        <x:v>82.89</x:v>
      </x:c>
      <x:c r="I45" s="666">
        <x:v>46318</x:v>
      </x:c>
      <x:c r="J45" s="433">
        <x:f>+E45-F45</x:f>
      </x:c>
      <x:c r="K45" s="468">
        <x:f>+I45-D45</x:f>
      </x:c>
      <x:c r="L45" s="503">
        <x:v>0.03</x:v>
      </x:c>
      <x:c r="M45" s="504">
        <x:f>+J45*L45</x:f>
      </x:c>
      <x:c r="O45" s="432"/>
    </x:row>
    <x:row r="46" spans="1:20" ht="15" customHeight="1" x14ac:dyDescent="0.3">
      <x:c r="A46" s="664" t="s">
        <x:v>101</x:v>
      </x:c>
      <x:c r="B46" s="551" t="s">
        <x:v>1873</x:v>
      </x:c>
      <x:c r="C46" s="644" t="s">
        <x:v>1874</x:v>
      </x:c>
      <x:c r="D46" s="666">
        <x:v>46205</x:v>
      </x:c>
      <x:c r="E46" s="671">
        <x:v>137.28</x:v>
      </x:c>
      <x:c r="F46" s="671">
        <x:v>20.59</x:v>
      </x:c>
      <x:c r="G46" s="665">
        <x:f>134.19-7.58</x:f>
      </x:c>
      <x:c r="H46" s="671">
        <x:v>17.5</x:v>
      </x:c>
      <x:c r="I46" s="666">
        <x:v>46269</x:v>
      </x:c>
      <x:c r="J46" s="433">
        <x:f>+E46-F46</x:f>
      </x:c>
      <x:c r="K46" s="468">
        <x:f>+I46-D46</x:f>
      </x:c>
      <x:c r="L46" s="503">
        <x:v>0.03</x:v>
      </x:c>
      <x:c r="M46" s="504">
        <x:f>+J46*L46</x:f>
      </x:c>
      <x:c r="O46" s="432"/>
    </x:row>
    <x:row r="47" spans="1:20" ht="15" customHeight="1" x14ac:dyDescent="0.3">
      <x:c r="A47" s="664" t="s">
        <x:v>101</x:v>
      </x:c>
      <x:c r="B47" s="551" t="s">
        <x:v>1873</x:v>
      </x:c>
      <x:c r="C47" s="644" t="s">
        <x:v>1875</x:v>
      </x:c>
      <x:c r="D47" s="666">
        <x:v>46210</x:v>
      </x:c>
      <x:c r="E47" s="671">
        <x:v>165</x:v>
      </x:c>
      <x:c r="F47" s="671">
        <x:v>24.75</x:v>
      </x:c>
      <x:c r="G47" s="665">
        <x:f>161.29-9.12</x:f>
      </x:c>
      <x:c r="H47" s="671">
        <x:v>21.04</x:v>
      </x:c>
      <x:c r="I47" s="666">
        <x:v>46269</x:v>
      </x:c>
      <x:c r="J47" s="433">
        <x:f>+E47-F47</x:f>
      </x:c>
      <x:c r="K47" s="468">
        <x:f>+I47-D47</x:f>
      </x:c>
      <x:c r="L47" s="503">
        <x:v>0.03</x:v>
      </x:c>
      <x:c r="M47" s="504">
        <x:f>+J47*L47</x:f>
      </x:c>
      <x:c r="O47" s="432"/>
    </x:row>
    <x:row r="48" spans="1:20" ht="15" customHeight="1" x14ac:dyDescent="0.3">
      <x:c r="A48" s="664" t="s">
        <x:v>101</x:v>
      </x:c>
      <x:c r="B48" s="551" t="s">
        <x:v>1873</x:v>
      </x:c>
      <x:c r="C48" s="644" t="s">
        <x:v>1876</x:v>
      </x:c>
      <x:c r="D48" s="666">
        <x:v>46212</x:v>
      </x:c>
      <x:c r="E48" s="671">
        <x:v>81.6</x:v>
      </x:c>
      <x:c r="F48" s="671">
        <x:v>12.24</x:v>
      </x:c>
      <x:c r="G48" s="665">
        <x:f>79.76-4.51</x:f>
      </x:c>
      <x:c r="H48" s="671">
        <x:v>10.4</x:v>
      </x:c>
      <x:c r="I48" s="666">
        <x:v>46269</x:v>
      </x:c>
      <x:c r="J48" s="433">
        <x:f>+E48-F48</x:f>
      </x:c>
      <x:c r="K48" s="468">
        <x:f>+I48-D48</x:f>
      </x:c>
      <x:c r="L48" s="503">
        <x:v>0.03</x:v>
      </x:c>
      <x:c r="M48" s="504">
        <x:f>+J48*L48</x:f>
      </x:c>
      <x:c r="O48" s="432"/>
    </x:row>
    <x:row r="49" spans="1:20" ht="15" customHeight="1" x14ac:dyDescent="0.3">
      <x:c r="A49" s="664" t="s">
        <x:v>101</x:v>
      </x:c>
      <x:c r="B49" s="551" t="s">
        <x:v>1877</x:v>
      </x:c>
      <x:c r="C49" s="644" t="s">
        <x:v>1878</x:v>
      </x:c>
      <x:c r="D49" s="666">
        <x:v>46238</x:v>
      </x:c>
      <x:c r="E49" s="671">
        <x:v>172.68</x:v>
      </x:c>
      <x:c r="F49" s="671">
        <x:v>25.9</x:v>
      </x:c>
      <x:c r="G49" s="665">
        <x:v>159.25</x:v>
      </x:c>
      <x:c r="H49" s="671">
        <x:v>22.02</x:v>
      </x:c>
      <x:c r="I49" s="666">
        <x:v>46283</x:v>
      </x:c>
      <x:c r="J49" s="433">
        <x:f>+E49-F49</x:f>
      </x:c>
      <x:c r="K49" s="468">
        <x:f>+I49-D49</x:f>
      </x:c>
      <x:c r="L49" s="503">
        <x:v>0.03</x:v>
      </x:c>
      <x:c r="M49" s="504">
        <x:f>+J49*L49</x:f>
      </x:c>
      <x:c r="O49" s="432"/>
    </x:row>
    <x:row r="50" spans="1:20" ht="15" customHeight="1" x14ac:dyDescent="0.3">
      <x:c r="A50" s="664" t="s">
        <x:v>101</x:v>
      </x:c>
      <x:c r="B50" s="551" t="s">
        <x:v>1879</x:v>
      </x:c>
      <x:c r="C50" s="644" t="s">
        <x:v>1880</x:v>
      </x:c>
      <x:c r="D50" s="666">
        <x:v>46245</x:v>
      </x:c>
      <x:c r="E50" s="671">
        <x:v>145.2</x:v>
      </x:c>
      <x:c r="F50" s="671">
        <x:v>21.78</x:v>
      </x:c>
      <x:c r="G50" s="665">
        <x:v>133.91</x:v>
      </x:c>
      <x:c r="H50" s="671">
        <x:v>18.51</x:v>
      </x:c>
      <x:c r="I50" s="666">
        <x:v>46290</x:v>
      </x:c>
      <x:c r="J50" s="433">
        <x:f>+E50-F50</x:f>
      </x:c>
      <x:c r="K50" s="468">
        <x:f>+I50-D50</x:f>
      </x:c>
      <x:c r="L50" s="503">
        <x:v>0.03</x:v>
      </x:c>
      <x:c r="M50" s="504">
        <x:f>+J50*L50</x:f>
      </x:c>
      <x:c r="O50" s="432"/>
    </x:row>
    <x:row r="51" spans="1:20" ht="15" customHeight="1" x14ac:dyDescent="0.3">
      <x:c r="A51" s="664" t="s">
        <x:v>101</x:v>
      </x:c>
      <x:c r="B51" s="551" t="s">
        <x:v>1881</x:v>
      </x:c>
      <x:c r="C51" s="644" t="s">
        <x:v>1882</x:v>
      </x:c>
      <x:c r="D51" s="666">
        <x:v>46252</x:v>
      </x:c>
      <x:c r="E51" s="671">
        <x:v>775.2</x:v>
      </x:c>
      <x:c r="F51" s="671">
        <x:v>116.28</x:v>
      </x:c>
      <x:c r="G51" s="665">
        <x:f>757.76-42.83</x:f>
      </x:c>
      <x:c r="H51" s="671">
        <x:v>98.84</x:v>
      </x:c>
      <x:c r="I51" s="666">
        <x:v>46312</x:v>
      </x:c>
      <x:c r="J51" s="433">
        <x:f>+E51-F51</x:f>
      </x:c>
      <x:c r="K51" s="468">
        <x:f>+I51-D51</x:f>
      </x:c>
      <x:c r="L51" s="503">
        <x:v>0.03</x:v>
      </x:c>
      <x:c r="M51" s="504">
        <x:f>+J51*L51</x:f>
      </x:c>
      <x:c r="O51" s="432"/>
    </x:row>
    <x:row r="52" spans="1:20" ht="15" customHeight="1" x14ac:dyDescent="0.3">
      <x:c r="A52" s="664" t="s">
        <x:v>101</x:v>
      </x:c>
      <x:c r="B52" s="551" t="s">
        <x:v>1881</x:v>
      </x:c>
      <x:c r="C52" s="644" t="s">
        <x:v>1883</x:v>
      </x:c>
      <x:c r="D52" s="666">
        <x:v>46252</x:v>
      </x:c>
      <x:c r="E52" s="671">
        <x:v>179.76</x:v>
      </x:c>
      <x:c r="F52" s="671">
        <x:v>26.96</x:v>
      </x:c>
      <x:c r="G52" s="665">
        <x:f>175.72-9.94</x:f>
      </x:c>
      <x:c r="H52" s="671">
        <x:v>22.92</x:v>
      </x:c>
      <x:c r="I52" s="666">
        <x:v>46312</x:v>
      </x:c>
      <x:c r="J52" s="433">
        <x:f>+E52-F52</x:f>
      </x:c>
      <x:c r="K52" s="468">
        <x:f>+I52-D52</x:f>
      </x:c>
      <x:c r="L52" s="503">
        <x:v>0.03</x:v>
      </x:c>
      <x:c r="M52" s="504">
        <x:f>+J52*L52</x:f>
      </x:c>
      <x:c r="O52" s="432"/>
    </x:row>
    <x:row r="53" spans="1:20" ht="15" customHeight="1" x14ac:dyDescent="0.3">
      <x:c r="A53" s="664" t="s">
        <x:v>136</x:v>
      </x:c>
      <x:c r="B53" s="551" t="s">
        <x:v>1884</x:v>
      </x:c>
      <x:c r="C53" s="644" t="s">
        <x:v>1885</x:v>
      </x:c>
      <x:c r="D53" s="666">
        <x:v>46262</x:v>
      </x:c>
      <x:c r="E53" s="671">
        <x:v>1366.8</x:v>
      </x:c>
      <x:c r="F53" s="671">
        <x:v>341.7</x:v>
      </x:c>
      <x:c r="G53" s="665">
        <x:v>1112.24</x:v>
      </x:c>
      <x:c r="H53" s="671">
        <x:v>153.77</x:v>
      </x:c>
      <x:c r="I53" s="666">
        <x:v>46293</x:v>
      </x:c>
      <x:c r="J53" s="433">
        <x:f>+E53-F53</x:f>
      </x:c>
      <x:c r="K53" s="468">
        <x:f>+I53-D53</x:f>
      </x:c>
      <x:c r="L53" s="503">
        <x:v>0.03</x:v>
      </x:c>
      <x:c r="M53" s="504">
        <x:f>+J53*L53</x:f>
      </x:c>
      <x:c r="O53" s="432"/>
    </x:row>
    <x:row r="54" spans="1:20" ht="14.4" customHeight="1" s="434" customFormat="1" x14ac:dyDescent="0.3">
      <x:c r="A54" s="664" t="s">
        <x:v>267</x:v>
      </x:c>
      <x:c r="B54" s="664" t="s">
        <x:v>1886</x:v>
      </x:c>
      <x:c r="C54" s="644" t="s">
        <x:v>1887</x:v>
      </x:c>
      <x:c r="D54" s="666">
        <x:v>46265</x:v>
      </x:c>
      <x:c r="E54" s="671">
        <x:v>81.6</x:v>
      </x:c>
      <x:c r="F54" s="671">
        <x:v>10.61</x:v>
      </x:c>
      <x:c r="G54" s="665">
        <x:v>77.02</x:v>
      </x:c>
      <x:c r="H54" s="671">
        <x:v>10.65</x:v>
      </x:c>
      <x:c r="I54" s="666">
        <x:v>46285</x:v>
      </x:c>
      <x:c r="J54" s="433">
        <x:f>+E54-F54</x:f>
      </x:c>
      <x:c r="K54" s="468">
        <x:f>+I54-D54</x:f>
      </x:c>
      <x:c r="L54" s="469">
        <x:v>0.03</x:v>
      </x:c>
      <x:c r="M54" s="433">
        <x:f>+J54*L54</x:f>
      </x:c>
      <x:c r="N54" s="470"/>
      <x:c r="O54" s="432"/>
    </x:row>
    <x:row r="55" spans="1:20" s="434" customFormat="1" x14ac:dyDescent="0.25">
      <x:c r="A55" s="551"/>
      <x:c r="B55" s="552"/>
      <x:c r="C55" s="644"/>
      <x:c r="D55" s="553"/>
      <x:c r="E55" s="662"/>
      <x:c r="F55" s="662"/>
      <x:c r="G55" s="504"/>
      <x:c r="H55" s="662"/>
      <x:c r="I55" s="553"/>
      <x:c r="J55" s="433"/>
      <x:c r="K55" s="468"/>
      <x:c r="L55" s="469"/>
      <x:c r="M55" s="433"/>
      <x:c r="N55" s="633"/>
      <x:c r="O55" s="432"/>
    </x:row>
    <x:row r="56" spans="1:20" ht="15.6" customHeight="1" s="434" customFormat="1" x14ac:dyDescent="0.3">
      <x:c r="A56" s="487"/>
      <x:c r="B56" s="462"/>
      <x:c r="C56" s="487"/>
      <x:c r="D56" s="492"/>
      <x:c r="E56" s="490"/>
      <x:c r="F56" s="490"/>
      <x:c r="G56" s="491"/>
      <x:c r="H56" s="490"/>
      <x:c r="I56" s="492"/>
      <x:c r="J56" s="433"/>
      <x:c r="K56" s="468"/>
      <x:c r="L56" s="469"/>
      <x:c r="M56" s="433"/>
      <x:c r="N56" s="470"/>
      <x:c r="O56" s="432"/>
    </x:row>
    <x:row r="57" spans="1:20" ht="15" customHeight="1" x14ac:dyDescent="0.35">
      <x:c r="A57" s="493" t="s">
        <x:v>43</x:v>
      </x:c>
      <x:c r="B57" s="493"/>
      <x:c r="C57" s="493"/>
      <x:c r="D57" s="493"/>
      <x:c r="E57" s="493"/>
      <x:c r="F57" s="493"/>
      <x:c r="G57" s="516">
        <x:f>SUM(G32:G56)</x:f>
      </x:c>
      <x:c r="J57" s="516">
        <x:f>SUM(J32:J56)</x:f>
      </x:c>
      <x:c r="L57" s="495"/>
      <x:c r="M57" s="564">
        <x:f>SUM(M32:M56)</x:f>
      </x:c>
    </x:row>
    <x:row r="58" spans="1:20" ht="15" customHeight="1" x14ac:dyDescent="0.3">
      <x:c r="A58" s="520"/>
      <x:c r="G58" s="435"/>
    </x:row>
    <x:row r="59" spans="1:20" ht="15" customHeight="1" x14ac:dyDescent="0.3">
      <x:c r="A59" s="499"/>
      <x:c r="G59" s="435"/>
      <x:c r="J59" s="435"/>
    </x:row>
    <x:row r="60" spans="1:20" ht="15" customHeight="1" x14ac:dyDescent="0.3">
      <x:c r="A60" s="499"/>
      <x:c r="G60" s="435"/>
      <x:c r="J60" s="435"/>
    </x:row>
    <x:row r="61" spans="1:20" ht="15" customHeight="1" x14ac:dyDescent="0.3">
      <x:c r="A61" s="499"/>
      <x:c r="G61" s="435"/>
      <x:c r="J61" s="435"/>
    </x:row>
    <x:row r="62" spans="1:20" ht="15" customHeight="1" x14ac:dyDescent="0.3">
      <x:c r="A62" s="499"/>
      <x:c r="G62" s="435"/>
      <x:c r="J62" s="435"/>
      <x:c r="M62" s="435"/>
    </x:row>
    <x:row r="63" spans="1:20" ht="15" customHeight="1" x14ac:dyDescent="0.3">
      <x:c r="A63" s="499"/>
      <x:c r="G63" s="435"/>
      <x:c r="J63" s="435"/>
      <x:c r="M63" s="435"/>
    </x:row>
    <x:row r="64" spans="1:20" ht="15" customHeight="1" x14ac:dyDescent="0.25">
      <x:c r="A64" s="436" t="s">
        <x:v>0</x:v>
      </x:c>
      <x:c r="B64" s="436"/>
      <x:c r="C64" s="436"/>
      <x:c r="D64" s="436"/>
      <x:c r="E64" s="436"/>
      <x:c r="F64" s="436"/>
      <x:c r="G64" s="437"/>
      <x:c r="H64" s="438"/>
      <x:c r="I64" s="439"/>
      <x:c r="J64" s="440"/>
      <x:c r="K64" s="441"/>
      <x:c r="L64" s="442"/>
      <x:c r="M64" s="443"/>
    </x:row>
    <x:row r="65" spans="1:20" ht="15" customHeight="1" x14ac:dyDescent="0.25">
      <x:c r="A65" s="436" t="s">
        <x:v>1</x:v>
      </x:c>
      <x:c r="B65" s="436"/>
      <x:c r="C65" s="436"/>
      <x:c r="D65" s="436"/>
      <x:c r="E65" s="436"/>
      <x:c r="F65" s="436"/>
      <x:c r="G65" s="437"/>
      <x:c r="H65" s="438"/>
      <x:c r="I65" s="439"/>
      <x:c r="J65" s="441"/>
      <x:c r="K65" s="441"/>
      <x:c r="L65" s="442"/>
      <x:c r="M65" s="443"/>
    </x:row>
    <x:row r="66" spans="1:20" ht="15" customHeight="1" x14ac:dyDescent="0.25">
      <x:c r="A66" s="436" t="s">
        <x:v>1828</x:v>
      </x:c>
      <x:c r="B66" s="436"/>
      <x:c r="C66" s="436"/>
      <x:c r="D66" s="436"/>
      <x:c r="E66" s="436"/>
      <x:c r="F66" s="436"/>
      <x:c r="G66" s="437"/>
      <x:c r="H66" s="438"/>
      <x:c r="I66" s="439"/>
      <x:c r="J66" s="441"/>
      <x:c r="K66" s="441"/>
      <x:c r="L66" s="442"/>
      <x:c r="M66" s="443"/>
    </x:row>
    <x:row r="67" spans="1:20" ht="15" customHeight="1" x14ac:dyDescent="0.3">
      <x:c r="A67" s="436" t="s">
        <x:v>1181</x:v>
      </x:c>
      <x:c r="B67" s="436"/>
      <x:c r="C67" s="436"/>
      <x:c r="D67" s="436"/>
      <x:c r="E67" s="436"/>
      <x:c r="F67" s="436"/>
      <x:c r="G67" s="443"/>
      <x:c r="H67" s="437"/>
      <x:c r="I67" s="446"/>
      <x:c r="J67" s="441"/>
      <x:c r="K67" s="441"/>
      <x:c r="L67" s="442"/>
      <x:c r="M67" s="443"/>
    </x:row>
    <x:row r="68" spans="1:20" ht="15" customHeight="1" x14ac:dyDescent="0.25">
      <x:c r="A68" s="447" t="s">
        <x:v>4</x:v>
      </x:c>
      <x:c r="B68" s="609"/>
      <x:c r="C68" s="441"/>
      <x:c r="D68" s="439"/>
      <x:c r="E68" s="441"/>
      <x:c r="F68" s="441"/>
      <x:c r="G68" s="448" t="s">
        <x:v>5</x:v>
      </x:c>
      <x:c r="H68" s="441"/>
      <x:c r="I68" s="439"/>
      <x:c r="J68" s="449" t="s">
        <x:v>6</x:v>
      </x:c>
      <x:c r="K68" s="450" t="s">
        <x:v>7</x:v>
      </x:c>
      <x:c r="L68" s="451" t="s">
        <x:v>8</x:v>
      </x:c>
      <x:c r="M68" s="449" t="s">
        <x:v>9</x:v>
      </x:c>
    </x:row>
    <x:row r="69" spans="1:20" ht="15" customHeight="1" s="692" customFormat="1" x14ac:dyDescent="0.3">
      <x:c r="A69" s="693" t="s">
        <x:v>10</x:v>
      </x:c>
      <x:c r="B69" s="693" t="s">
        <x:v>11</x:v>
      </x:c>
      <x:c r="C69" s="693" t="s">
        <x:v>12</x:v>
      </x:c>
      <x:c r="D69" s="625" t="s">
        <x:v>13</x:v>
      </x:c>
      <x:c r="E69" s="693" t="s">
        <x:v>14</x:v>
      </x:c>
      <x:c r="F69" s="694" t="s">
        <x:v>15</x:v>
      </x:c>
      <x:c r="G69" s="703" t="s">
        <x:v>16</x:v>
      </x:c>
      <x:c r="H69" s="696" t="s">
        <x:v>17</x:v>
      </x:c>
      <x:c r="I69" s="457" t="s">
        <x:v>18</x:v>
      </x:c>
      <x:c r="J69" s="697" t="s">
        <x:v>19</x:v>
      </x:c>
      <x:c r="K69" s="698"/>
      <x:c r="L69" s="699" t="s">
        <x:v>20</x:v>
      </x:c>
      <x:c r="M69" s="697" t="s">
        <x:v>21</x:v>
      </x:c>
      <x:c r="N69" s="700"/>
      <x:c r="O69" s="701"/>
    </x:row>
    <x:row r="70" spans="1:20" ht="15" customHeight="1" x14ac:dyDescent="0.3">
      <x:c r="A70" s="664"/>
      <x:c r="B70" s="670"/>
      <x:c r="C70" s="644"/>
      <x:c r="D70" s="666"/>
      <x:c r="E70" s="665"/>
      <x:c r="F70" s="665"/>
      <x:c r="G70" s="664"/>
      <x:c r="H70" s="665"/>
      <x:c r="I70" s="666"/>
      <x:c r="J70" s="433"/>
      <x:c r="K70" s="468"/>
      <x:c r="L70" s="469"/>
      <x:c r="M70" s="433"/>
      <x:c r="O70" s="432"/>
    </x:row>
    <x:row r="71" spans="1:20" ht="15" customHeight="1" x14ac:dyDescent="0.3">
      <x:c r="A71" s="664"/>
      <x:c r="B71" s="670"/>
      <x:c r="C71" s="644"/>
      <x:c r="D71" s="666"/>
      <x:c r="E71" s="665"/>
      <x:c r="F71" s="665"/>
      <x:c r="G71" s="665"/>
      <x:c r="H71" s="665"/>
      <x:c r="I71" s="666"/>
      <x:c r="J71" s="433"/>
      <x:c r="K71" s="468"/>
      <x:c r="L71" s="469"/>
      <x:c r="M71" s="433"/>
      <x:c r="O71" s="432"/>
    </x:row>
    <x:row r="72" spans="1:20" ht="15" customHeight="1" x14ac:dyDescent="0.3">
      <x:c r="A72" s="664"/>
      <x:c r="B72" s="670"/>
      <x:c r="C72" s="644"/>
      <x:c r="D72" s="666"/>
      <x:c r="E72" s="665"/>
      <x:c r="F72" s="665"/>
      <x:c r="G72" s="665"/>
      <x:c r="H72" s="665"/>
      <x:c r="I72" s="666"/>
      <x:c r="J72" s="433"/>
      <x:c r="K72" s="468"/>
      <x:c r="L72" s="469"/>
      <x:c r="M72" s="433"/>
      <x:c r="O72" s="432"/>
    </x:row>
    <x:row r="73" spans="1:20" ht="15" customHeight="1" x14ac:dyDescent="0.3">
      <x:c r="A73" s="664"/>
      <x:c r="B73" s="670"/>
      <x:c r="C73" s="644"/>
      <x:c r="D73" s="666"/>
      <x:c r="E73" s="665"/>
      <x:c r="F73" s="665"/>
      <x:c r="G73" s="665"/>
      <x:c r="H73" s="665"/>
      <x:c r="I73" s="666"/>
      <x:c r="J73" s="433"/>
      <x:c r="K73" s="468"/>
      <x:c r="L73" s="469"/>
      <x:c r="M73" s="433"/>
      <x:c r="O73" s="432"/>
    </x:row>
    <x:row r="74" spans="1:20" ht="15" customHeight="1" x14ac:dyDescent="0.3">
      <x:c r="A74" s="664"/>
      <x:c r="B74" s="670"/>
      <x:c r="C74" s="644"/>
      <x:c r="D74" s="666"/>
      <x:c r="E74" s="665"/>
      <x:c r="F74" s="665"/>
      <x:c r="G74" s="665"/>
      <x:c r="H74" s="665"/>
      <x:c r="I74" s="666"/>
      <x:c r="J74" s="433"/>
      <x:c r="K74" s="468"/>
      <x:c r="L74" s="469"/>
      <x:c r="M74" s="433"/>
      <x:c r="O74" s="432"/>
    </x:row>
    <x:row r="75" spans="1:20" ht="15" customHeight="1" x14ac:dyDescent="0.3">
      <x:c r="A75" s="664"/>
      <x:c r="B75" s="670"/>
      <x:c r="C75" s="644"/>
      <x:c r="D75" s="666"/>
      <x:c r="E75" s="665"/>
      <x:c r="F75" s="665"/>
      <x:c r="G75" s="665"/>
      <x:c r="H75" s="665"/>
      <x:c r="I75" s="666"/>
      <x:c r="J75" s="433"/>
      <x:c r="K75" s="468"/>
      <x:c r="L75" s="469"/>
      <x:c r="M75" s="433"/>
      <x:c r="O75" s="432"/>
    </x:row>
    <x:row r="76" spans="1:20" ht="15" customHeight="1" x14ac:dyDescent="0.3">
      <x:c r="A76" s="664"/>
      <x:c r="B76" s="670"/>
      <x:c r="C76" s="644"/>
      <x:c r="D76" s="666"/>
      <x:c r="E76" s="665"/>
      <x:c r="F76" s="665"/>
      <x:c r="G76" s="665"/>
      <x:c r="H76" s="665"/>
      <x:c r="I76" s="666"/>
      <x:c r="J76" s="433"/>
      <x:c r="K76" s="468"/>
      <x:c r="L76" s="469"/>
      <x:c r="M76" s="433"/>
      <x:c r="O76" s="432"/>
    </x:row>
    <x:row r="77" spans="1:20" ht="15" customHeight="1" x14ac:dyDescent="0.3">
      <x:c r="A77" s="664"/>
      <x:c r="B77" s="670"/>
      <x:c r="C77" s="644"/>
      <x:c r="D77" s="666"/>
      <x:c r="E77" s="665"/>
      <x:c r="F77" s="665"/>
      <x:c r="G77" s="665"/>
      <x:c r="H77" s="665"/>
      <x:c r="I77" s="666"/>
      <x:c r="J77" s="433"/>
      <x:c r="K77" s="468"/>
      <x:c r="L77" s="469"/>
      <x:c r="M77" s="433"/>
      <x:c r="O77" s="432"/>
    </x:row>
    <x:row r="78" spans="1:20" ht="15" customHeight="1" x14ac:dyDescent="0.3">
      <x:c r="A78" s="664"/>
      <x:c r="B78" s="688"/>
      <x:c r="C78" s="644"/>
      <x:c r="D78" s="666"/>
      <x:c r="E78" s="689"/>
      <x:c r="F78" s="690"/>
      <x:c r="G78" s="689"/>
      <x:c r="H78" s="690"/>
      <x:c r="I78" s="691"/>
      <x:c r="J78" s="433"/>
      <x:c r="K78" s="468"/>
      <x:c r="L78" s="469"/>
      <x:c r="M78" s="433"/>
      <x:c r="O78" s="432"/>
    </x:row>
    <x:row r="79" spans="1:20" ht="15" customHeight="1" x14ac:dyDescent="0.3">
      <x:c r="A79" s="471"/>
      <x:c r="B79" s="472"/>
      <x:c r="C79" s="472"/>
      <x:c r="D79" s="473"/>
      <x:c r="E79" s="474"/>
      <x:c r="F79" s="474"/>
      <x:c r="G79" s="475"/>
      <x:c r="H79" s="476"/>
      <x:c r="I79" s="477"/>
      <x:c r="J79" s="433"/>
      <x:c r="K79" s="468"/>
      <x:c r="L79" s="469"/>
      <x:c r="M79" s="433"/>
    </x:row>
    <x:row r="80" spans="1:20" ht="15" customHeight="1" x14ac:dyDescent="0.3">
      <x:c r="A80" s="478"/>
      <x:c r="B80" s="478"/>
      <x:c r="C80" s="478"/>
      <x:c r="D80" s="478"/>
      <x:c r="E80" s="478"/>
      <x:c r="F80" s="478"/>
      <x:c r="G80" s="516">
        <x:f>SUM(G70:G79)</x:f>
      </x:c>
      <x:c r="H80" s="480"/>
      <x:c r="I80" s="481"/>
      <x:c r="J80" s="479">
        <x:f>SUM(J70:J79)</x:f>
      </x:c>
      <x:c r="K80" s="482"/>
      <x:c r="L80" s="482"/>
      <x:c r="M80" s="479">
        <x:f>SUM(M70:M79)</x:f>
      </x:c>
    </x:row>
    <x:row r="81" spans="1:20" ht="15" customHeight="1" x14ac:dyDescent="0.25">
      <x:c r="A81" s="483"/>
      <x:c r="B81" s="483"/>
      <x:c r="C81" s="483"/>
      <x:c r="D81" s="484"/>
      <x:c r="E81" s="483"/>
      <x:c r="F81" s="483"/>
      <x:c r="G81" s="432"/>
      <x:c r="H81" s="434"/>
      <x:c r="I81" s="485"/>
      <x:c r="J81" s="434"/>
      <x:c r="K81" s="434"/>
      <x:c r="L81" s="434"/>
      <x:c r="M81" s="434"/>
    </x:row>
    <x:row r="82" spans="1:20" x14ac:dyDescent="0.25">
      <x:c r="A82" s="483"/>
      <x:c r="B82" s="483"/>
      <x:c r="C82" s="483"/>
      <x:c r="D82" s="484"/>
      <x:c r="E82" s="483"/>
      <x:c r="F82" s="483"/>
      <x:c r="G82" s="432"/>
      <x:c r="H82" s="434"/>
      <x:c r="I82" s="485"/>
      <x:c r="J82" s="432"/>
      <x:c r="K82" s="434"/>
      <x:c r="L82" s="434"/>
      <x:c r="M82" s="432"/>
    </x:row>
    <x:row r="83" spans="1:20" x14ac:dyDescent="0.25">
      <x:c r="A83" s="434" t="s">
        <x:v>30</x:v>
      </x:c>
      <x:c r="B83" s="483" t="s">
        <x:v>31</x:v>
      </x:c>
      <x:c r="C83" s="483" t="s">
        <x:v>32</x:v>
      </x:c>
      <x:c r="D83" s="485"/>
      <x:c r="E83" s="434"/>
      <x:c r="F83" s="434"/>
      <x:c r="G83" s="432"/>
      <x:c r="H83" s="434"/>
      <x:c r="I83" s="485"/>
      <x:c r="J83" s="434"/>
      <x:c r="K83" s="434"/>
      <x:c r="L83" s="434"/>
      <x:c r="M83" s="434"/>
    </x:row>
    <x:row r="84" spans="1:20" ht="14.4" customHeight="1" s="434" customFormat="1" x14ac:dyDescent="0.3">
      <x:c r="A84" s="664"/>
      <x:c r="B84" s="552"/>
      <x:c r="C84" s="644"/>
      <x:c r="D84" s="666"/>
      <x:c r="E84" s="665"/>
      <x:c r="F84" s="671"/>
      <x:c r="G84" s="665"/>
      <x:c r="H84" s="671"/>
      <x:c r="I84" s="666"/>
      <x:c r="J84" s="433"/>
      <x:c r="K84" s="468"/>
      <x:c r="L84" s="469"/>
      <x:c r="M84" s="433"/>
      <x:c r="N84" s="470"/>
      <x:c r="O84" s="432"/>
    </x:row>
    <x:row r="85" spans="1:20" ht="15.6" customHeight="1" x14ac:dyDescent="0.3">
      <x:c r="A85" s="486"/>
      <x:c r="B85" s="462"/>
      <x:c r="C85" s="488"/>
      <x:c r="D85" s="489"/>
      <x:c r="E85" s="490"/>
      <x:c r="F85" s="490"/>
      <x:c r="G85" s="491"/>
      <x:c r="H85" s="490"/>
      <x:c r="I85" s="492"/>
      <x:c r="J85" s="433"/>
      <x:c r="K85" s="468"/>
      <x:c r="L85" s="469"/>
      <x:c r="M85" s="433"/>
    </x:row>
    <x:row r="86" spans="1:20" ht="16.2" customHeight="1" x14ac:dyDescent="0.35">
      <x:c r="A86" s="493" t="s">
        <x:v>43</x:v>
      </x:c>
      <x:c r="B86" s="493"/>
      <x:c r="C86" s="493"/>
      <x:c r="D86" s="493"/>
      <x:c r="E86" s="493"/>
      <x:c r="F86" s="493"/>
      <x:c r="G86" s="516">
        <x:f>SUM(G80:G85)</x:f>
      </x:c>
      <x:c r="I86" s="430"/>
      <x:c r="J86" s="494">
        <x:f>SUM(J80:J85)</x:f>
      </x:c>
      <x:c r="L86" s="495"/>
      <x:c r="M86" s="496">
        <x:f>SUM(M80:M85)</x:f>
      </x:c>
    </x:row>
    <x:row r="87" spans="1:20" x14ac:dyDescent="0.25">
      <x:c r="A87" s="497"/>
      <x:c r="E87" s="497"/>
      <x:c r="F87" s="497"/>
      <x:c r="G87" s="435"/>
      <x:c r="I87" s="430"/>
    </x:row>
    <x:row r="88" spans="1:20">
      <x:c r="B88" s="497"/>
      <x:c r="C88" s="497"/>
      <x:c r="D88" s="498"/>
      <x:c r="I88" s="498"/>
      <x:c r="N88" s="431"/>
      <x:c r="O88" s="435"/>
    </x:row>
    <x:row r="89" spans="1:20" x14ac:dyDescent="0.25">
      <x:c r="J89" s="435"/>
    </x:row>
    <x:row r="90" spans="1:20" x14ac:dyDescent="0.25">
      <x:c r="J90" s="435"/>
    </x:row>
    <x:row r="91" spans="1:20" x14ac:dyDescent="0.25">
      <x:c r="J91" s="435">
        <x:f>(J57+J86)*2%</x:f>
      </x:c>
      <x:c r="M91" s="435">
        <x:f>M86/12</x:f>
      </x:c>
      <x:c r="N91" s="431" t="s">
        <x:v>1199</x:v>
      </x:c>
    </x:row>
    <x:row r="92" spans="1:20" x14ac:dyDescent="0.25">
      <x:c r="J92" s="435">
        <x:f>J91/12</x:f>
      </x:c>
      <x:c r="K92" s="429" t="s">
        <x:v>655</x:v>
      </x:c>
      <x:c r="M92" s="435">
        <x:f>M86/24</x:f>
      </x:c>
      <x:c r="N92" s="431" t="s">
        <x:v>1199</x:v>
      </x:c>
    </x:row>
    <x:row r="93" spans="1:20" x14ac:dyDescent="0.25">
      <x:c r="J93" s="435">
        <x:f>J91/24</x:f>
      </x:c>
      <x:c r="K93" s="429" t="s">
        <x:v>655</x:v>
      </x:c>
    </x:row>
  </x:sheetData>
  <x:sortState xmlns:xlrd2="http://schemas.microsoft.com/office/spreadsheetml/2017/richdata2" ref="A8:T29">
    <x:sortCondition ref="K8:K29"/>
  </x:sortState>
  <x:mergeCells count="6">
    <x:mergeCell ref="A3:F3"/>
    <x:mergeCell ref="A57:F57"/>
    <x:mergeCell ref="A64:F64"/>
    <x:mergeCell ref="A65:F65"/>
    <x:mergeCell ref="A66:F66"/>
    <x:mergeCell ref="A67:F6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69DAD1-8600-47AF-A291-2856BC394FD8}" mc:Ignorable="x14ac xr xr2 xr3">
  <x:sheetPr>
    <x:outlinePr summaryBelow="1" summaryRight="1"/>
    <x:pageSetUpPr fitToPage="1"/>
  </x:sheetPr>
  <x:dimension ref="A1:V93"/>
  <x:sheetViews>
    <x:sheetView tabSelected="1" topLeftCell="A4" workbookViewId="0">
      <x:selection activeCell="G74" sqref="G74"/>
    </x:sheetView>
  </x:sheetViews>
  <x:sheetFormatPr baseColWidth="10" defaultColWidth="11.420625" defaultRowHeight="14.4" x14ac:dyDescent="0.3"/>
  <x:cols>
    <x:col min="1" max="1" width="36.664062" style="0" customWidth="1"/>
    <x:col min="2" max="2" width="22.554688" style="0" customWidth="1"/>
    <x:col min="3" max="3" width="17.441406" style="340" customWidth="1"/>
    <x:col min="4" max="4" width="10.664062" style="356" customWidth="1"/>
    <x:col min="5" max="5" width="11.554688" style="352" customWidth="1"/>
    <x:col min="6" max="6" width="9.554688" style="352" customWidth="1"/>
    <x:col min="7" max="7" width="11.777344" style="352" customWidth="1"/>
    <x:col min="8" max="8" width="9.332031" style="352" customWidth="1"/>
    <x:col min="9" max="9" width="13.777344" style="340" customWidth="1"/>
    <x:col min="10" max="10" width="12.664062" style="340" customWidth="1"/>
    <x:col min="11" max="11" width="6.21875" style="0" customWidth="1"/>
    <x:col min="12" max="12" width="8.441406" style="0" customWidth="1"/>
    <x:col min="13" max="13" width="12.554688" style="0" customWidth="1"/>
  </x:cols>
  <x:sheetData>
    <x:row r="1" spans="1:22" x14ac:dyDescent="0.3">
      <x:c r="A1" s="429"/>
      <x:c r="B1" s="608"/>
      <x:c r="C1" s="608"/>
      <x:c r="D1" s="498"/>
      <x:c r="E1" s="435"/>
      <x:c r="F1" s="435"/>
      <x:c r="G1" s="435"/>
      <x:c r="H1" s="435"/>
      <x:c r="I1" s="498"/>
      <x:c r="J1" s="497"/>
      <x:c r="K1" s="429"/>
      <x:c r="L1" s="429"/>
      <x:c r="M1" s="429"/>
      <x:c r="N1" s="431"/>
      <x:c r="O1" s="435"/>
    </x:row>
    <x:row r="2" spans="1:22" x14ac:dyDescent="0.3">
      <x:c r="A2" s="436"/>
      <x:c r="B2" s="436"/>
      <x:c r="C2" s="436"/>
      <x:c r="D2" s="445"/>
      <x:c r="E2" s="704"/>
      <x:c r="F2" s="704"/>
      <x:c r="G2" s="437"/>
      <x:c r="H2" s="437"/>
      <x:c r="I2" s="617"/>
      <x:c r="J2" s="609"/>
      <x:c r="K2" s="441"/>
      <x:c r="L2" s="442"/>
      <x:c r="M2" s="443"/>
      <x:c r="N2" s="431"/>
      <x:c r="O2" s="435"/>
    </x:row>
    <x:row r="3" spans="1:22" x14ac:dyDescent="0.3">
      <x:c r="A3" s="436" t="s">
        <x:v>1</x:v>
      </x:c>
      <x:c r="B3" s="436"/>
      <x:c r="C3" s="436"/>
      <x:c r="D3" s="436"/>
      <x:c r="E3" s="436"/>
      <x:c r="F3" s="436"/>
      <x:c r="G3" s="437"/>
      <x:c r="H3" s="437"/>
      <x:c r="I3" s="617"/>
      <x:c r="J3" s="609"/>
      <x:c r="K3" s="441"/>
      <x:c r="L3" s="442"/>
      <x:c r="M3" s="443"/>
      <x:c r="N3" s="431"/>
      <x:c r="O3" s="435"/>
    </x:row>
    <x:row r="4" spans="1:22" x14ac:dyDescent="0.3">
      <x:c r="A4" s="436"/>
      <x:c r="B4" s="436" t="s">
        <x:v>1888</x:v>
      </x:c>
      <x:c r="C4" s="436"/>
      <x:c r="D4" s="445"/>
      <x:c r="E4" s="704"/>
      <x:c r="F4" s="704"/>
      <x:c r="G4" s="437"/>
      <x:c r="H4" s="437"/>
      <x:c r="I4" s="617"/>
      <x:c r="J4" s="609"/>
      <x:c r="K4" s="441"/>
      <x:c r="L4" s="442"/>
      <x:c r="M4" s="443"/>
      <x:c r="N4" s="431"/>
      <x:c r="O4" s="435"/>
    </x:row>
    <x:row r="5" spans="1:22" ht="15" customHeight="1" x14ac:dyDescent="0.35">
      <x:c r="A5" s="436"/>
      <x:c r="B5" s="436" t="s">
        <x:v>45</x:v>
      </x:c>
      <x:c r="C5" s="436"/>
      <x:c r="D5" s="445"/>
      <x:c r="E5" s="704"/>
      <x:c r="F5" s="704"/>
      <x:c r="G5" s="443"/>
      <x:c r="H5" s="437"/>
      <x:c r="I5" s="445"/>
      <x:c r="J5" s="609"/>
      <x:c r="K5" s="441"/>
      <x:c r="L5" s="442"/>
      <x:c r="M5" s="443"/>
      <x:c r="N5" s="431"/>
      <x:c r="O5" s="435"/>
    </x:row>
    <x:row r="6" spans="1:22" x14ac:dyDescent="0.3">
      <x:c r="A6" s="447"/>
      <x:c r="B6" s="609"/>
      <x:c r="C6" s="609"/>
      <x:c r="D6" s="617"/>
      <x:c r="E6" s="443"/>
      <x:c r="F6" s="443"/>
      <x:c r="G6" s="448" t="s">
        <x:v>5</x:v>
      </x:c>
      <x:c r="H6" s="443"/>
      <x:c r="I6" s="617"/>
      <x:c r="J6" s="449" t="s">
        <x:v>6</x:v>
      </x:c>
      <x:c r="K6" s="450" t="s">
        <x:v>7</x:v>
      </x:c>
      <x:c r="L6" s="451" t="s">
        <x:v>8</x:v>
      </x:c>
      <x:c r="M6" s="449" t="s">
        <x:v>9</x:v>
      </x:c>
      <x:c r="N6" s="431"/>
      <x:c r="O6" s="435"/>
    </x:row>
    <x:row r="7" spans="1:22" x14ac:dyDescent="0.3">
      <x:c r="A7" s="341" t="s">
        <x:v>10</x:v>
      </x:c>
      <x:c r="B7" s="341" t="s">
        <x:v>11</x:v>
      </x:c>
      <x:c r="C7" s="341" t="s">
        <x:v>12</x:v>
      </x:c>
      <x:c r="D7" s="342" t="s">
        <x:v>13</x:v>
      </x:c>
      <x:c r="E7" s="343" t="s">
        <x:v>14</x:v>
      </x:c>
      <x:c r="F7" s="347" t="s">
        <x:v>15</x:v>
      </x:c>
      <x:c r="G7" s="343" t="s">
        <x:v>16</x:v>
      </x:c>
      <x:c r="H7" s="348" t="s">
        <x:v>17</x:v>
      </x:c>
      <x:c r="I7" s="342" t="s">
        <x:v>18</x:v>
      </x:c>
      <x:c r="J7" s="697" t="s">
        <x:v>19</x:v>
      </x:c>
      <x:c r="K7" s="698"/>
      <x:c r="L7" s="699" t="s">
        <x:v>20</x:v>
      </x:c>
      <x:c r="M7" s="697" t="s">
        <x:v>21</x:v>
      </x:c>
      <x:c r="N7" s="700"/>
      <x:c r="O7" s="701"/>
    </x:row>
    <x:row r="8" spans="1:22" x14ac:dyDescent="0.3">
      <x:c r="A8" s="334" t="s">
        <x:v>542</x:v>
      </x:c>
      <x:c r="B8" s="334" t="s">
        <x:v>320</x:v>
      </x:c>
      <x:c r="C8" s="353" t="s">
        <x:v>1784</x:v>
      </x:c>
      <x:c r="D8" s="335">
        <x:v>46139</x:v>
      </x:c>
      <x:c r="E8" s="349">
        <x:f>182.73+32.25</x:f>
      </x:c>
      <x:c r="F8" s="349">
        <x:v>32.25</x:v>
      </x:c>
      <x:c r="G8" s="349">
        <x:v>110.15</x:v>
      </x:c>
      <x:c r="H8" s="349">
        <x:v>27.41</x:v>
      </x:c>
      <x:c r="I8" s="344">
        <x:v>46286.6053240741</x:v>
      </x:c>
      <x:c r="J8" s="705">
        <x:f>G8/1.15</x:f>
      </x:c>
      <x:c r="K8" s="468">
        <x:f>+I8-D8</x:f>
      </x:c>
      <x:c r="L8" s="503">
        <x:v>0.03</x:v>
      </x:c>
      <x:c r="M8" s="504">
        <x:f>+J8*L8</x:f>
      </x:c>
      <x:c r="N8" s="431"/>
      <x:c r="O8" s="432"/>
    </x:row>
    <x:row r="9" spans="1:22" x14ac:dyDescent="0.3">
      <x:c r="A9" s="334" t="s">
        <x:v>57</x:v>
      </x:c>
      <x:c r="B9" s="334" t="s">
        <x:v>26</x:v>
      </x:c>
      <x:c r="C9" s="353" t="s">
        <x:v>1889</x:v>
      </x:c>
      <x:c r="D9" s="335">
        <x:v>46149</x:v>
      </x:c>
      <x:c r="E9" s="349">
        <x:f>400.32+100.08</x:f>
      </x:c>
      <x:c r="F9" s="349">
        <x:v>100.08</x:v>
      </x:c>
      <x:c r="G9" s="349">
        <x:v>434.34</x:v>
      </x:c>
      <x:c r="H9" s="349">
        <x:v>60.05</x:v>
      </x:c>
      <x:c r="I9" s="344">
        <x:v>46287.4502199074</x:v>
      </x:c>
      <x:c r="J9" s="705">
        <x:f>+E9-F9</x:f>
      </x:c>
      <x:c r="K9" s="468">
        <x:f>+I9-D9</x:f>
      </x:c>
      <x:c r="L9" s="503">
        <x:v>0.03</x:v>
      </x:c>
      <x:c r="M9" s="504">
        <x:f>+J9*L9</x:f>
      </x:c>
      <x:c r="N9" s="431"/>
      <x:c r="O9" s="432"/>
    </x:row>
    <x:row r="10" spans="1:22" x14ac:dyDescent="0.3">
      <x:c r="A10" s="334" t="s">
        <x:v>57</x:v>
      </x:c>
      <x:c r="B10" s="334" t="s">
        <x:v>26</x:v>
      </x:c>
      <x:c r="C10" s="353" t="s">
        <x:v>1890</x:v>
      </x:c>
      <x:c r="D10" s="335">
        <x:v>46156</x:v>
      </x:c>
      <x:c r="E10" s="349">
        <x:f>388.51+97.13</x:f>
      </x:c>
      <x:c r="F10" s="349">
        <x:v>97.13</x:v>
      </x:c>
      <x:c r="G10" s="349">
        <x:v>421.54</x:v>
      </x:c>
      <x:c r="H10" s="349">
        <x:v>58.28</x:v>
      </x:c>
      <x:c r="I10" s="344">
        <x:v>46287.4502199074</x:v>
      </x:c>
      <x:c r="J10" s="705">
        <x:f>+E10-F10</x:f>
      </x:c>
      <x:c r="K10" s="468">
        <x:f>+I10-D10</x:f>
      </x:c>
      <x:c r="L10" s="503">
        <x:v>0.03</x:v>
      </x:c>
      <x:c r="M10" s="504">
        <x:f>+J10*L10</x:f>
      </x:c>
      <x:c r="N10" s="431"/>
      <x:c r="O10" s="432"/>
    </x:row>
    <x:row r="11" spans="1:22" x14ac:dyDescent="0.3">
      <x:c r="A11" s="334" t="s">
        <x:v>629</x:v>
      </x:c>
      <x:c r="B11" s="334" t="s">
        <x:v>105</x:v>
      </x:c>
      <x:c r="C11" s="353" t="s">
        <x:v>1891</x:v>
      </x:c>
      <x:c r="D11" s="335">
        <x:v>46176</x:v>
      </x:c>
      <x:c r="E11" s="349">
        <x:f>131.27+23.17</x:f>
      </x:c>
      <x:c r="F11" s="349">
        <x:v>23.17</x:v>
      </x:c>
      <x:c r="G11" s="349">
        <x:v>150.96</x:v>
      </x:c>
      <x:c r="H11" s="349">
        <x:v>19.69</x:v>
      </x:c>
      <x:c r="I11" s="344">
        <x:v>46276.4486226852</x:v>
      </x:c>
      <x:c r="J11" s="705">
        <x:f>+E11-F11</x:f>
      </x:c>
      <x:c r="K11" s="468">
        <x:f>+I11-D11</x:f>
      </x:c>
      <x:c r="L11" s="503">
        <x:v>0.03</x:v>
      </x:c>
      <x:c r="M11" s="504">
        <x:f>+J11*L11</x:f>
      </x:c>
      <x:c r="N11" s="431"/>
      <x:c r="O11" s="432"/>
    </x:row>
    <x:row r="12" spans="1:22" x14ac:dyDescent="0.3">
      <x:c r="A12" s="334" t="s">
        <x:v>67</x:v>
      </x:c>
      <x:c r="B12" s="334" t="s">
        <x:v>26</x:v>
      </x:c>
      <x:c r="C12" s="353" t="s">
        <x:v>1892</x:v>
      </x:c>
      <x:c r="D12" s="335">
        <x:v>46177</x:v>
      </x:c>
      <x:c r="E12" s="349">
        <x:f>324.29+81.07</x:f>
      </x:c>
      <x:c r="F12" s="349">
        <x:v>81.07</x:v>
      </x:c>
      <x:c r="G12" s="349">
        <x:v>372.93</x:v>
      </x:c>
      <x:c r="H12" s="349">
        <x:v>48.64</x:v>
      </x:c>
      <x:c r="I12" s="344">
        <x:v>46276.6030902778</x:v>
      </x:c>
      <x:c r="J12" s="705">
        <x:f>+E12-F12</x:f>
      </x:c>
      <x:c r="K12" s="468">
        <x:f>+I12-D12</x:f>
      </x:c>
      <x:c r="L12" s="503">
        <x:v>0.03</x:v>
      </x:c>
      <x:c r="M12" s="504">
        <x:f>+J12*L12</x:f>
      </x:c>
      <x:c r="N12" s="431"/>
      <x:c r="O12" s="432"/>
    </x:row>
    <x:row r="13" spans="1:22" x14ac:dyDescent="0.3">
      <x:c r="A13" s="334" t="s">
        <x:v>400</x:v>
      </x:c>
      <x:c r="B13" s="334" t="s">
        <x:v>401</x:v>
      </x:c>
      <x:c r="C13" s="353" t="s">
        <x:v>1893</x:v>
      </x:c>
      <x:c r="D13" s="335">
        <x:v>46183</x:v>
      </x:c>
      <x:c r="E13" s="349">
        <x:f>115.06+20.3</x:f>
      </x:c>
      <x:c r="F13" s="349">
        <x:v>20.3</x:v>
      </x:c>
      <x:c r="G13" s="349">
        <x:v>132.32</x:v>
      </x:c>
      <x:c r="H13" s="349">
        <x:v>17.26</x:v>
      </x:c>
      <x:c r="I13" s="344">
        <x:v>46268.5956944444</x:v>
      </x:c>
      <x:c r="J13" s="705">
        <x:f>+E13-F13</x:f>
      </x:c>
      <x:c r="K13" s="468">
        <x:f>+I13-D13</x:f>
      </x:c>
      <x:c r="L13" s="503">
        <x:v>0.03</x:v>
      </x:c>
      <x:c r="M13" s="504">
        <x:f>+J13*L13</x:f>
      </x:c>
      <x:c r="N13" s="431"/>
      <x:c r="O13" s="432"/>
    </x:row>
    <x:row r="14" spans="1:22" x14ac:dyDescent="0.3">
      <x:c r="A14" s="334" t="s">
        <x:v>491</x:v>
      </x:c>
      <x:c r="B14" s="334" t="s">
        <x:v>492</x:v>
      </x:c>
      <x:c r="C14" s="353" t="s">
        <x:v>1894</x:v>
      </x:c>
      <x:c r="D14" s="335">
        <x:v>46202</x:v>
      </x:c>
      <x:c r="E14" s="349">
        <x:f>3358.62+1119.54</x:f>
      </x:c>
      <x:c r="F14" s="349">
        <x:v>1119.54</x:v>
      </x:c>
      <x:c r="G14" s="349">
        <x:v>500</x:v>
      </x:c>
      <x:c r="H14" s="349">
        <x:v>503.79</x:v>
      </x:c>
      <x:c r="I14" s="344">
        <x:v>46283.6988888889</x:v>
      </x:c>
      <x:c r="J14" s="405">
        <x:f>G14/1.15</x:f>
      </x:c>
      <x:c r="K14" s="357">
        <x:f>+I14-D14</x:f>
      </x:c>
      <x:c r="L14" s="358">
        <x:v>0.03</x:v>
      </x:c>
      <x:c r="M14" s="359">
        <x:f>+J14*L14</x:f>
      </x:c>
      <x:c r="N14" s="360"/>
      <x:c r="O14" s="361"/>
    </x:row>
    <x:row r="15" spans="1:22" x14ac:dyDescent="0.3">
      <x:c r="A15" s="334" t="s">
        <x:v>84</x:v>
      </x:c>
      <x:c r="B15" s="334" t="s">
        <x:v>26</x:v>
      </x:c>
      <x:c r="C15" s="353" t="s">
        <x:v>1895</x:v>
      </x:c>
      <x:c r="D15" s="335">
        <x:v>46203</x:v>
      </x:c>
      <x:c r="E15" s="349">
        <x:f>392.04+130.68</x:f>
      </x:c>
      <x:c r="F15" s="349">
        <x:v>130.68</x:v>
      </x:c>
      <x:c r="G15" s="349">
        <x:v>425.37</x:v>
      </x:c>
      <x:c r="H15" s="349">
        <x:v>58.81</x:v>
      </x:c>
      <x:c r="I15" s="344">
        <x:v>46294.3997800926</x:v>
      </x:c>
      <x:c r="J15" s="705">
        <x:f>+E15-F15</x:f>
      </x:c>
      <x:c r="K15" s="468">
        <x:f>+I15-D15</x:f>
      </x:c>
      <x:c r="L15" s="503">
        <x:v>0.03</x:v>
      </x:c>
      <x:c r="M15" s="504">
        <x:f>+J15*L15</x:f>
      </x:c>
      <x:c r="N15" s="431"/>
      <x:c r="O15" s="432"/>
    </x:row>
    <x:row r="16" spans="1:22" x14ac:dyDescent="0.3">
      <x:c r="A16" s="334" t="s">
        <x:v>1044</x:v>
      </x:c>
      <x:c r="B16" s="334" t="s">
        <x:v>26</x:v>
      </x:c>
      <x:c r="C16" s="353" t="s">
        <x:v>1896</x:v>
      </x:c>
      <x:c r="D16" s="335">
        <x:v>46204</x:v>
      </x:c>
      <x:c r="E16" s="349">
        <x:f>568.8+189.6</x:f>
      </x:c>
      <x:c r="F16" s="349">
        <x:v>189.6</x:v>
      </x:c>
      <x:c r="G16" s="349">
        <x:v>617.14</x:v>
      </x:c>
      <x:c r="H16" s="349">
        <x:v>85.32</x:v>
      </x:c>
      <x:c r="I16" s="344">
        <x:v>46275.4839814815</x:v>
      </x:c>
      <x:c r="J16" s="405">
        <x:f>+E16-F16</x:f>
      </x:c>
      <x:c r="K16" s="357">
        <x:f>+I16-D16</x:f>
      </x:c>
      <x:c r="L16" s="358">
        <x:v>0.03</x:v>
      </x:c>
      <x:c r="M16" s="359">
        <x:f>+J16*L16</x:f>
      </x:c>
      <x:c r="N16" s="360"/>
      <x:c r="O16" s="361"/>
    </x:row>
    <x:row r="17" spans="1:22" x14ac:dyDescent="0.3">
      <x:c r="A17" s="334" t="s">
        <x:v>1044</x:v>
      </x:c>
      <x:c r="B17" s="334" t="s">
        <x:v>26</x:v>
      </x:c>
      <x:c r="C17" s="353" t="s">
        <x:v>1897</x:v>
      </x:c>
      <x:c r="D17" s="335">
        <x:v>46204</x:v>
      </x:c>
      <x:c r="E17" s="349">
        <x:f>3175.58+793.9</x:f>
      </x:c>
      <x:c r="F17" s="349">
        <x:v>793.9</x:v>
      </x:c>
      <x:c r="G17" s="349">
        <x:v>3445.51</x:v>
      </x:c>
      <x:c r="H17" s="349">
        <x:v>476.34</x:v>
      </x:c>
      <x:c r="I17" s="344">
        <x:v>46275.4839814815</x:v>
      </x:c>
      <x:c r="J17" s="405">
        <x:f>+E17-F17</x:f>
      </x:c>
      <x:c r="K17" s="357">
        <x:f>+I17-D17</x:f>
      </x:c>
      <x:c r="L17" s="358">
        <x:v>0.03</x:v>
      </x:c>
      <x:c r="M17" s="359">
        <x:f>+J17*L17</x:f>
      </x:c>
      <x:c r="N17" s="360"/>
      <x:c r="O17" s="361"/>
    </x:row>
    <x:row r="18" spans="1:22" x14ac:dyDescent="0.3">
      <x:c r="A18" s="334" t="s">
        <x:v>114</x:v>
      </x:c>
      <x:c r="B18" s="334" t="s">
        <x:v>26</x:v>
      </x:c>
      <x:c r="C18" s="353" t="s">
        <x:v>1898</x:v>
      </x:c>
      <x:c r="D18" s="335">
        <x:v>46212</x:v>
      </x:c>
      <x:c r="E18" s="349">
        <x:f>237.12+59.28</x:f>
      </x:c>
      <x:c r="F18" s="349">
        <x:v>59.28</x:v>
      </x:c>
      <x:c r="G18" s="349">
        <x:v>257.28</x:v>
      </x:c>
      <x:c r="H18" s="349">
        <x:v>35.57</x:v>
      </x:c>
      <x:c r="I18" s="344">
        <x:v>46276.600150463</x:v>
      </x:c>
      <x:c r="J18" s="405">
        <x:f>+E18-F18</x:f>
      </x:c>
      <x:c r="K18" s="357">
        <x:f>+I18-D18</x:f>
      </x:c>
      <x:c r="L18" s="358">
        <x:v>0.03</x:v>
      </x:c>
      <x:c r="M18" s="359">
        <x:f>+J18*L18</x:f>
      </x:c>
      <x:c r="N18" s="360"/>
      <x:c r="O18" s="361"/>
    </x:row>
    <x:row r="19" spans="1:22" x14ac:dyDescent="0.3">
      <x:c r="A19" s="334" t="s">
        <x:v>1231</x:v>
      </x:c>
      <x:c r="B19" s="334" t="s">
        <x:v>320</x:v>
      </x:c>
      <x:c r="C19" s="353" t="s">
        <x:v>1899</x:v>
      </x:c>
      <x:c r="D19" s="335">
        <x:v>46216</x:v>
      </x:c>
      <x:c r="E19" s="349">
        <x:f>189.11+33.37</x:f>
      </x:c>
      <x:c r="F19" s="349">
        <x:v>33.37</x:v>
      </x:c>
      <x:c r="G19" s="349">
        <x:v>205.19</x:v>
      </x:c>
      <x:c r="H19" s="349">
        <x:v>28.37</x:v>
      </x:c>
      <x:c r="I19" s="344">
        <x:v>46286.645625</x:v>
      </x:c>
      <x:c r="J19" s="405">
        <x:f>+E19-F19</x:f>
      </x:c>
      <x:c r="K19" s="357">
        <x:f>+I19-D19</x:f>
      </x:c>
      <x:c r="L19" s="358">
        <x:v>0.03</x:v>
      </x:c>
      <x:c r="M19" s="359">
        <x:f>+J19*L19</x:f>
      </x:c>
      <x:c r="N19" s="360"/>
      <x:c r="O19" s="361"/>
    </x:row>
    <x:row r="20" spans="1:22" x14ac:dyDescent="0.3">
      <x:c r="A20" s="334" t="s">
        <x:v>114</x:v>
      </x:c>
      <x:c r="B20" s="334" t="s">
        <x:v>26</x:v>
      </x:c>
      <x:c r="C20" s="353" t="s">
        <x:v>1900</x:v>
      </x:c>
      <x:c r="D20" s="335">
        <x:v>46223</x:v>
      </x:c>
      <x:c r="E20" s="349">
        <x:f>368.93+92.23</x:f>
      </x:c>
      <x:c r="F20" s="349">
        <x:v>92.23</x:v>
      </x:c>
      <x:c r="G20" s="349">
        <x:v>400.29</x:v>
      </x:c>
      <x:c r="H20" s="349">
        <x:v>55.34</x:v>
      </x:c>
      <x:c r="I20" s="344">
        <x:v>46276.600150463</x:v>
      </x:c>
      <x:c r="J20" s="405">
        <x:f>+E20-F20</x:f>
      </x:c>
      <x:c r="K20" s="357">
        <x:f>+I20-D20</x:f>
      </x:c>
      <x:c r="L20" s="358">
        <x:v>0.03</x:v>
      </x:c>
      <x:c r="M20" s="359">
        <x:f>+J20*L20</x:f>
      </x:c>
      <x:c r="N20" s="360"/>
      <x:c r="O20" s="361"/>
    </x:row>
    <x:row r="21" spans="1:22" x14ac:dyDescent="0.3">
      <x:c r="A21" s="334" t="s">
        <x:v>109</x:v>
      </x:c>
      <x:c r="B21" s="334" t="s">
        <x:v>110</x:v>
      </x:c>
      <x:c r="C21" s="353" t="s">
        <x:v>1901</x:v>
      </x:c>
      <x:c r="D21" s="335">
        <x:v>46231</x:v>
      </x:c>
      <x:c r="E21" s="349">
        <x:f>87.52+15.44</x:f>
      </x:c>
      <x:c r="F21" s="349">
        <x:v>15.44</x:v>
      </x:c>
      <x:c r="G21" s="349">
        <x:v>94.96</x:v>
      </x:c>
      <x:c r="H21" s="349">
        <x:v>13.13</x:v>
      </x:c>
      <x:c r="I21" s="344">
        <x:v>46294.5911574074</x:v>
      </x:c>
      <x:c r="J21" s="405">
        <x:f>+E21-F21</x:f>
      </x:c>
      <x:c r="K21" s="357">
        <x:f>+I21-D21</x:f>
      </x:c>
      <x:c r="L21" s="358">
        <x:v>0.03</x:v>
      </x:c>
      <x:c r="M21" s="359">
        <x:f>+J21*L21</x:f>
      </x:c>
      <x:c r="N21" s="360"/>
      <x:c r="O21" s="361"/>
    </x:row>
    <x:row r="22" spans="1:22" x14ac:dyDescent="0.3">
      <x:c r="A22" s="334" t="s">
        <x:v>1218</x:v>
      </x:c>
      <x:c r="B22" s="334" t="s">
        <x:v>53</x:v>
      </x:c>
      <x:c r="C22" s="353" t="s">
        <x:v>1902</x:v>
      </x:c>
      <x:c r="D22" s="335">
        <x:v>46231</x:v>
      </x:c>
      <x:c r="E22" s="349">
        <x:f>325.28+57.4</x:f>
      </x:c>
      <x:c r="F22" s="349">
        <x:v>57.4</x:v>
      </x:c>
      <x:c r="G22" s="349">
        <x:v>374.07</x:v>
      </x:c>
      <x:c r="H22" s="349">
        <x:v>48.79</x:v>
      </x:c>
      <x:c r="I22" s="344">
        <x:v>46280.6835763889</x:v>
      </x:c>
      <x:c r="J22" s="405">
        <x:f>+E22-F22</x:f>
      </x:c>
      <x:c r="K22" s="357">
        <x:f>+I22-D22</x:f>
      </x:c>
      <x:c r="L22" s="358">
        <x:v>0.03</x:v>
      </x:c>
      <x:c r="M22" s="359">
        <x:f>+J22*L22</x:f>
      </x:c>
      <x:c r="N22" s="360"/>
      <x:c r="O22" s="361"/>
    </x:row>
    <x:row r="23" spans="1:22" x14ac:dyDescent="0.3">
      <x:c r="A23" s="334" t="s">
        <x:v>1231</x:v>
      </x:c>
      <x:c r="B23" s="334" t="s">
        <x:v>320</x:v>
      </x:c>
      <x:c r="C23" s="353" t="s">
        <x:v>1903</x:v>
      </x:c>
      <x:c r="D23" s="335">
        <x:v>46233</x:v>
      </x:c>
      <x:c r="E23" s="349">
        <x:f>237.05+41.83</x:f>
      </x:c>
      <x:c r="F23" s="349">
        <x:v>41.83</x:v>
      </x:c>
      <x:c r="G23" s="349">
        <x:v>257.2</x:v>
      </x:c>
      <x:c r="H23" s="349">
        <x:v>35.56</x:v>
      </x:c>
      <x:c r="I23" s="344">
        <x:v>46286.645625</x:v>
      </x:c>
      <x:c r="J23" s="405">
        <x:f>+E23-F23</x:f>
      </x:c>
      <x:c r="K23" s="357">
        <x:f>+I23-D23</x:f>
      </x:c>
      <x:c r="L23" s="358">
        <x:v>0.03</x:v>
      </x:c>
      <x:c r="M23" s="359">
        <x:f>+J23*L23</x:f>
      </x:c>
      <x:c r="N23" s="360"/>
      <x:c r="O23" s="361"/>
    </x:row>
    <x:row r="24" spans="1:22" x14ac:dyDescent="0.3">
      <x:c r="A24" s="334" t="s">
        <x:v>697</x:v>
      </x:c>
      <x:c r="B24" s="334" t="s">
        <x:v>53</x:v>
      </x:c>
      <x:c r="C24" s="353" t="s">
        <x:v>1904</x:v>
      </x:c>
      <x:c r="D24" s="335">
        <x:v>46240</x:v>
      </x:c>
      <x:c r="E24" s="349">
        <x:f>1419.39+473.13</x:f>
      </x:c>
      <x:c r="F24" s="349">
        <x:v>473.13</x:v>
      </x:c>
      <x:c r="G24" s="349">
        <x:v>1540.04</x:v>
      </x:c>
      <x:c r="H24" s="349">
        <x:v>212.91</x:v>
      </x:c>
      <x:c r="I24" s="344">
        <x:v>46282.3670833333</x:v>
      </x:c>
      <x:c r="J24" s="405">
        <x:f>+E24-F24</x:f>
      </x:c>
      <x:c r="K24" s="357">
        <x:f>+I24-D24</x:f>
      </x:c>
      <x:c r="L24" s="358">
        <x:v>0.03</x:v>
      </x:c>
      <x:c r="M24" s="359">
        <x:f>+J24*L24</x:f>
      </x:c>
      <x:c r="N24" s="360"/>
      <x:c r="O24" s="361"/>
    </x:row>
    <x:row r="25" spans="1:22" x14ac:dyDescent="0.3">
      <x:c r="A25" s="334" t="s">
        <x:v>690</x:v>
      </x:c>
      <x:c r="B25" s="334" t="s">
        <x:v>105</x:v>
      </x:c>
      <x:c r="C25" s="353" t="s">
        <x:v>1905</x:v>
      </x:c>
      <x:c r="D25" s="335">
        <x:v>46245</x:v>
      </x:c>
      <x:c r="E25" s="349">
        <x:f>138.82+24.5</x:f>
      </x:c>
      <x:c r="F25" s="349">
        <x:v>24.5</x:v>
      </x:c>
      <x:c r="G25" s="349">
        <x:v>159.64</x:v>
      </x:c>
      <x:c r="H25" s="349">
        <x:v>20.82</x:v>
      </x:c>
      <x:c r="I25" s="344">
        <x:v>46279.6046990741</x:v>
      </x:c>
      <x:c r="J25" s="405">
        <x:f>+E25-F25</x:f>
      </x:c>
      <x:c r="K25" s="357">
        <x:f>+I25-D25</x:f>
      </x:c>
      <x:c r="L25" s="358">
        <x:v>0.03</x:v>
      </x:c>
      <x:c r="M25" s="359">
        <x:f>+J25*L25</x:f>
      </x:c>
      <x:c r="N25" s="360"/>
      <x:c r="O25" s="361"/>
    </x:row>
    <x:row r="26" spans="1:22" x14ac:dyDescent="0.3">
      <x:c r="A26" s="334" t="s">
        <x:v>332</x:v>
      </x:c>
      <x:c r="B26" s="334" t="s">
        <x:v>333</x:v>
      </x:c>
      <x:c r="C26" s="353" t="s">
        <x:v>1906</x:v>
      </x:c>
      <x:c r="D26" s="335">
        <x:v>46255</x:v>
      </x:c>
      <x:c r="E26" s="349">
        <x:f>241.28+49.42</x:f>
      </x:c>
      <x:c r="F26" s="349">
        <x:v>49.42</x:v>
      </x:c>
      <x:c r="G26" s="349">
        <x:v>277.47</x:v>
      </x:c>
      <x:c r="H26" s="349">
        <x:v>36.19</x:v>
      </x:c>
      <x:c r="I26" s="344">
        <x:v>46282.3858449074</x:v>
      </x:c>
      <x:c r="J26" s="405">
        <x:f>+E26-F26</x:f>
      </x:c>
      <x:c r="K26" s="357">
        <x:f>+I26-D26</x:f>
      </x:c>
      <x:c r="L26" s="358">
        <x:v>0.035</x:v>
      </x:c>
      <x:c r="M26" s="359">
        <x:f>+J26*L26</x:f>
      </x:c>
      <x:c r="N26" s="360"/>
      <x:c r="O26" s="361"/>
    </x:row>
    <x:row r="27" spans="1:22" x14ac:dyDescent="0.3">
      <x:c r="A27" s="334" t="s">
        <x:v>228</x:v>
      </x:c>
      <x:c r="B27" s="334" t="s">
        <x:v>155</x:v>
      </x:c>
      <x:c r="C27" s="353" t="s">
        <x:v>1907</x:v>
      </x:c>
      <x:c r="D27" s="335">
        <x:v>46255</x:v>
      </x:c>
      <x:c r="E27" s="349">
        <x:f>170.88+42.72</x:f>
      </x:c>
      <x:c r="F27" s="349">
        <x:v>42.72</x:v>
      </x:c>
      <x:c r="G27" s="349">
        <x:v>185.4</x:v>
      </x:c>
      <x:c r="H27" s="349">
        <x:v>25.63</x:v>
      </x:c>
      <x:c r="I27" s="344">
        <x:v>46294.607037037</x:v>
      </x:c>
      <x:c r="J27" s="405">
        <x:f>+E27-F27</x:f>
      </x:c>
      <x:c r="K27" s="357">
        <x:f>+I27-D27</x:f>
      </x:c>
      <x:c r="L27" s="358">
        <x:v>0.03</x:v>
      </x:c>
      <x:c r="M27" s="359">
        <x:f>+J27*L27</x:f>
      </x:c>
      <x:c r="N27" s="360"/>
      <x:c r="O27" s="361"/>
    </x:row>
    <x:row r="28" spans="1:22" x14ac:dyDescent="0.3">
      <x:c r="A28" s="334" t="s">
        <x:v>690</x:v>
      </x:c>
      <x:c r="B28" s="334" t="s">
        <x:v>105</x:v>
      </x:c>
      <x:c r="C28" s="353" t="s">
        <x:v>1908</x:v>
      </x:c>
      <x:c r="D28" s="335">
        <x:v>46265</x:v>
      </x:c>
      <x:c r="E28" s="349">
        <x:f>100.98+17.82</x:f>
      </x:c>
      <x:c r="F28" s="349">
        <x:v>17.82</x:v>
      </x:c>
      <x:c r="G28" s="349">
        <x:v>116.13</x:v>
      </x:c>
      <x:c r="H28" s="349">
        <x:v>15.15</x:v>
      </x:c>
      <x:c r="I28" s="344">
        <x:v>46294.4021180556</x:v>
      </x:c>
      <x:c r="J28" s="405">
        <x:f>+E28-F28</x:f>
      </x:c>
      <x:c r="K28" s="357">
        <x:f>+I28-D28</x:f>
      </x:c>
      <x:c r="L28" s="358">
        <x:v>0.035</x:v>
      </x:c>
      <x:c r="M28" s="359">
        <x:f>+J28*L28</x:f>
      </x:c>
      <x:c r="N28" s="360"/>
      <x:c r="O28" s="361"/>
    </x:row>
    <x:row r="29" spans="1:22" x14ac:dyDescent="0.3">
      <x:c r="A29" s="339" t="s">
        <x:v>625</x:v>
      </x:c>
      <x:c r="B29" s="334" t="s">
        <x:v>105</x:v>
      </x:c>
      <x:c r="C29" s="353" t="s">
        <x:v>1909</x:v>
      </x:c>
      <x:c r="D29" s="335">
        <x:v>46266</x:v>
      </x:c>
      <x:c r="E29" s="349">
        <x:f>226.34+33.82</x:f>
      </x:c>
      <x:c r="F29" s="349">
        <x:v>33.82</x:v>
      </x:c>
      <x:c r="G29" s="349">
        <x:v>260.29</x:v>
      </x:c>
      <x:c r="H29" s="349">
        <x:v>33.95</x:v>
      </x:c>
      <x:c r="I29" s="344">
        <x:v>46274.614212963</x:v>
      </x:c>
      <x:c r="J29" s="405">
        <x:f>+E29-F29</x:f>
      </x:c>
      <x:c r="K29" s="357">
        <x:f>+I29-D29</x:f>
      </x:c>
      <x:c r="L29" s="358">
        <x:v>0.035</x:v>
      </x:c>
      <x:c r="M29" s="359">
        <x:f>+J29*L29</x:f>
      </x:c>
      <x:c r="N29" s="360"/>
      <x:c r="O29" s="361"/>
    </x:row>
    <x:row r="30" spans="1:22" x14ac:dyDescent="0.3">
      <x:c r="A30" s="339" t="s">
        <x:v>625</x:v>
      </x:c>
      <x:c r="B30" s="334" t="s">
        <x:v>105</x:v>
      </x:c>
      <x:c r="C30" s="353" t="s">
        <x:v>1910</x:v>
      </x:c>
      <x:c r="D30" s="335">
        <x:v>46266</x:v>
      </x:c>
      <x:c r="E30" s="349">
        <x:f>40.72+6.08</x:f>
      </x:c>
      <x:c r="F30" s="349">
        <x:v>6.08</x:v>
      </x:c>
      <x:c r="G30" s="349">
        <x:v>46.83</x:v>
      </x:c>
      <x:c r="H30" s="349">
        <x:v>6.11</x:v>
      </x:c>
      <x:c r="I30" s="344">
        <x:v>46274.614212963</x:v>
      </x:c>
      <x:c r="J30" s="405">
        <x:f>+E30-F30</x:f>
      </x:c>
      <x:c r="K30" s="357">
        <x:f>+I30-D30</x:f>
      </x:c>
      <x:c r="L30" s="358">
        <x:v>0.035</x:v>
      </x:c>
      <x:c r="M30" s="359">
        <x:f>+J30*L30</x:f>
      </x:c>
      <x:c r="N30" s="360"/>
      <x:c r="O30" s="361"/>
    </x:row>
    <x:row r="31" spans="1:22" x14ac:dyDescent="0.3">
      <x:c r="A31" s="334" t="s">
        <x:v>225</x:v>
      </x:c>
      <x:c r="B31" s="334" t="s">
        <x:v>105</x:v>
      </x:c>
      <x:c r="C31" s="353" t="s">
        <x:v>1911</x:v>
      </x:c>
      <x:c r="D31" s="335">
        <x:v>46267</x:v>
      </x:c>
      <x:c r="E31" s="349">
        <x:f>936.81+312.27</x:f>
      </x:c>
      <x:c r="F31" s="349">
        <x:v>312.27</x:v>
      </x:c>
      <x:c r="G31" s="349">
        <x:v>1016.43</x:v>
      </x:c>
      <x:c r="H31" s="349">
        <x:v>140.52</x:v>
      </x:c>
      <x:c r="I31" s="344">
        <x:v>46272.6195486111</x:v>
      </x:c>
      <x:c r="J31" s="705">
        <x:f>+E31-F31</x:f>
      </x:c>
      <x:c r="K31" s="468">
        <x:f>+I31-D31</x:f>
      </x:c>
      <x:c r="L31" s="503">
        <x:v>0.035</x:v>
      </x:c>
      <x:c r="M31" s="504">
        <x:f>+J31*L31</x:f>
      </x:c>
      <x:c r="N31" s="431"/>
      <x:c r="O31" s="432"/>
    </x:row>
    <x:row r="32" spans="1:22" x14ac:dyDescent="0.3">
      <x:c r="A32" s="334" t="s">
        <x:v>1550</x:v>
      </x:c>
      <x:c r="B32" s="334" t="s">
        <x:v>26</x:v>
      </x:c>
      <x:c r="C32" s="353" t="s">
        <x:v>1912</x:v>
      </x:c>
      <x:c r="D32" s="335">
        <x:v>46268</x:v>
      </x:c>
      <x:c r="E32" s="349">
        <x:f>571.88+100.92</x:f>
      </x:c>
      <x:c r="F32" s="349">
        <x:v>100.92</x:v>
      </x:c>
      <x:c r="G32" s="349">
        <x:v>620.49</x:v>
      </x:c>
      <x:c r="H32" s="349">
        <x:v>85.78</x:v>
      </x:c>
      <x:c r="I32" s="344">
        <x:v>46288.6310069444</x:v>
      </x:c>
      <x:c r="J32" s="405">
        <x:f>+E32-F32</x:f>
      </x:c>
      <x:c r="K32" s="357">
        <x:f>+I32-D32</x:f>
      </x:c>
      <x:c r="L32" s="358">
        <x:v>0.035</x:v>
      </x:c>
      <x:c r="M32" s="359">
        <x:f>+J32*L32</x:f>
      </x:c>
      <x:c r="N32" s="360"/>
      <x:c r="O32" s="361"/>
    </x:row>
    <x:row r="33" spans="1:22" x14ac:dyDescent="0.3">
      <x:c r="A33" s="334" t="s">
        <x:v>225</x:v>
      </x:c>
      <x:c r="B33" s="334" t="s">
        <x:v>105</x:v>
      </x:c>
      <x:c r="C33" s="353" t="s">
        <x:v>1913</x:v>
      </x:c>
      <x:c r="D33" s="335">
        <x:v>46281</x:v>
      </x:c>
      <x:c r="E33" s="349">
        <x:f>405.9+135.3</x:f>
      </x:c>
      <x:c r="F33" s="349">
        <x:v>135.3</x:v>
      </x:c>
      <x:c r="G33" s="349">
        <x:v>440.41</x:v>
      </x:c>
      <x:c r="H33" s="349">
        <x:v>60.89</x:v>
      </x:c>
      <x:c r="I33" s="344">
        <x:v>46290.3489583333</x:v>
      </x:c>
      <x:c r="J33" s="405">
        <x:f>+E33-F33</x:f>
      </x:c>
      <x:c r="K33" s="357">
        <x:f>+I33-D33</x:f>
      </x:c>
      <x:c r="L33" s="358">
        <x:v>0.035</x:v>
      </x:c>
      <x:c r="M33" s="359">
        <x:f>+J33*L33</x:f>
      </x:c>
      <x:c r="N33" s="360"/>
      <x:c r="O33" s="361"/>
    </x:row>
    <x:row r="34" spans="1:22" x14ac:dyDescent="0.3">
      <x:c r="A34" s="664"/>
      <x:c r="B34" s="670"/>
      <x:c r="C34" s="644"/>
      <x:c r="D34" s="666"/>
      <x:c r="E34" s="665"/>
      <x:c r="F34" s="665"/>
      <x:c r="G34" s="665"/>
      <x:c r="H34" s="665"/>
      <x:c r="I34" s="666"/>
      <x:c r="J34" s="705"/>
      <x:c r="K34" s="468"/>
      <x:c r="L34" s="503"/>
      <x:c r="M34" s="504"/>
      <x:c r="N34" s="431"/>
      <x:c r="O34" s="432"/>
    </x:row>
    <x:row r="35" spans="1:22" ht="15.6" customHeight="1" x14ac:dyDescent="0.3">
      <x:c r="A35" s="606"/>
      <x:c r="B35" s="573"/>
      <x:c r="C35" s="611"/>
      <x:c r="D35" s="607"/>
      <x:c r="E35" s="569"/>
      <x:c r="F35" s="569"/>
      <x:c r="G35" s="466"/>
      <x:c r="H35" s="569"/>
      <x:c r="I35" s="467"/>
      <x:c r="J35" s="705"/>
      <x:c r="K35" s="468"/>
      <x:c r="L35" s="503"/>
      <x:c r="M35" s="504"/>
      <x:c r="N35" s="431"/>
      <x:c r="O35" s="432"/>
    </x:row>
    <x:row r="36" spans="1:22" ht="15.6" customHeight="1" x14ac:dyDescent="0.3">
      <x:c r="A36" s="429"/>
      <x:c r="B36" s="497"/>
      <x:c r="C36" s="497"/>
      <x:c r="D36" s="498"/>
      <x:c r="E36" s="435"/>
      <x:c r="F36" s="435"/>
      <x:c r="G36" s="516">
        <x:f>SUM(G8:G35)</x:f>
      </x:c>
      <x:c r="H36" s="435"/>
      <x:c r="I36" s="498"/>
      <x:c r="J36" s="706">
        <x:f>SUM(J8:J35)</x:f>
      </x:c>
      <x:c r="K36" s="429"/>
      <x:c r="L36" s="429"/>
      <x:c r="M36" s="516">
        <x:f>SUM(M8:M35)</x:f>
      </x:c>
      <x:c r="N36" s="431"/>
      <x:c r="O36" s="432"/>
    </x:row>
    <x:row r="37" spans="1:22" x14ac:dyDescent="0.3">
      <x:c r="A37" s="429"/>
      <x:c r="B37" s="497"/>
      <x:c r="C37" s="497"/>
      <x:c r="D37" s="498"/>
      <x:c r="E37" s="435"/>
      <x:c r="F37" s="435"/>
      <x:c r="G37" s="435"/>
      <x:c r="H37" s="435"/>
      <x:c r="I37" s="498"/>
      <x:c r="J37" s="497"/>
      <x:c r="K37" s="429"/>
      <x:c r="L37" s="429"/>
      <x:c r="M37" s="429"/>
      <x:c r="N37" s="431"/>
      <x:c r="O37" s="432"/>
    </x:row>
    <x:row r="38" spans="1:22" x14ac:dyDescent="0.3">
      <x:c r="A38" s="517" t="s">
        <x:v>30</x:v>
      </x:c>
      <x:c r="B38" s="518" t="s">
        <x:v>31</x:v>
      </x:c>
      <x:c r="C38" s="518" t="s">
        <x:v>32</x:v>
      </x:c>
      <x:c r="D38" s="498"/>
      <x:c r="E38" s="435"/>
      <x:c r="F38" s="435"/>
      <x:c r="G38" s="435"/>
      <x:c r="H38" s="435"/>
      <x:c r="I38" s="498"/>
      <x:c r="J38" s="608"/>
      <x:c r="K38" s="429"/>
      <x:c r="L38" s="429"/>
      <x:c r="M38" s="429"/>
      <x:c r="N38" s="431"/>
      <x:c r="O38" s="432"/>
    </x:row>
    <x:row r="39" spans="1:22" x14ac:dyDescent="0.3">
      <x:c r="A39" s="339" t="s">
        <x:v>136</x:v>
      </x:c>
      <x:c r="B39" s="334" t="s">
        <x:v>1914</x:v>
      </x:c>
      <x:c r="C39" s="353" t="s">
        <x:v>1915</x:v>
      </x:c>
      <x:c r="D39" s="335">
        <x:v>46283</x:v>
      </x:c>
      <x:c r="E39" s="349">
        <x:f>237.15+79.05</x:f>
      </x:c>
      <x:c r="F39" s="349">
        <x:v>79.05</x:v>
      </x:c>
      <x:c r="G39" s="349">
        <x:f>272.72-15.41</x:f>
      </x:c>
      <x:c r="H39" s="349">
        <x:v>35.57</x:v>
      </x:c>
      <x:c r="I39" s="335">
        <x:v>46313</x:v>
      </x:c>
      <x:c r="J39" s="705">
        <x:f>+E39-F39</x:f>
      </x:c>
      <x:c r="K39" s="468">
        <x:f>+I39-D39</x:f>
      </x:c>
      <x:c r="L39" s="469">
        <x:v>0.03</x:v>
      </x:c>
      <x:c r="M39" s="433">
        <x:f>+J39*L39</x:f>
      </x:c>
      <x:c r="N39" s="470"/>
      <x:c r="O39" s="432"/>
    </x:row>
    <x:row r="40" spans="1:22" x14ac:dyDescent="0.3">
      <x:c r="A40" s="339" t="s">
        <x:v>136</x:v>
      </x:c>
      <x:c r="B40" s="334" t="s">
        <x:v>1914</x:v>
      </x:c>
      <x:c r="C40" s="353" t="s">
        <x:v>1916</x:v>
      </x:c>
      <x:c r="D40" s="335">
        <x:v>46283</x:v>
      </x:c>
      <x:c r="E40" s="349">
        <x:f>469.35+156.45</x:f>
      </x:c>
      <x:c r="F40" s="349">
        <x:v>156.45</x:v>
      </x:c>
      <x:c r="G40" s="349">
        <x:f>539.75-30.51</x:f>
      </x:c>
      <x:c r="H40" s="349">
        <x:v>70.4</x:v>
      </x:c>
      <x:c r="I40" s="335">
        <x:v>46313</x:v>
      </x:c>
      <x:c r="J40" s="705">
        <x:f>+E40-F40</x:f>
      </x:c>
      <x:c r="K40" s="468">
        <x:f>+I40-D40</x:f>
      </x:c>
      <x:c r="L40" s="469">
        <x:v>0.03</x:v>
      </x:c>
      <x:c r="M40" s="433">
        <x:f>+J40*L40</x:f>
      </x:c>
      <x:c r="N40" s="470"/>
      <x:c r="O40" s="432"/>
    </x:row>
    <x:row r="41" spans="1:22" x14ac:dyDescent="0.3">
      <x:c r="A41" s="339" t="s">
        <x:v>136</x:v>
      </x:c>
      <x:c r="B41" s="334" t="s">
        <x:v>1917</x:v>
      </x:c>
      <x:c r="C41" s="353" t="s">
        <x:v>1918</x:v>
      </x:c>
      <x:c r="D41" s="335">
        <x:v>46269</x:v>
      </x:c>
      <x:c r="E41" s="349">
        <x:f>454.23+151.41</x:f>
      </x:c>
      <x:c r="F41" s="349">
        <x:v>151.41</x:v>
      </x:c>
      <x:c r="G41" s="349">
        <x:v>492.84</x:v>
      </x:c>
      <x:c r="H41" s="349">
        <x:v>68.13</x:v>
      </x:c>
      <x:c r="I41" s="335">
        <x:v>46299</x:v>
      </x:c>
      <x:c r="J41" s="705">
        <x:f>+E41-F41</x:f>
      </x:c>
      <x:c r="K41" s="468">
        <x:f>+I41-D41</x:f>
      </x:c>
      <x:c r="L41" s="469">
        <x:v>0.03</x:v>
      </x:c>
      <x:c r="M41" s="433">
        <x:f>+J41*L41</x:f>
      </x:c>
      <x:c r="N41" s="470"/>
      <x:c r="O41" s="432"/>
    </x:row>
    <x:row r="42" spans="1:22" x14ac:dyDescent="0.3">
      <x:c r="A42" s="339" t="s">
        <x:v>70</x:v>
      </x:c>
      <x:c r="B42" s="334" t="s">
        <x:v>1919</x:v>
      </x:c>
      <x:c r="C42" s="707" t="s">
        <x:v>1920</x:v>
      </x:c>
      <x:c r="D42" s="335">
        <x:v>46290</x:v>
      </x:c>
      <x:c r="E42" s="349">
        <x:f>683.1+227.7</x:f>
      </x:c>
      <x:c r="F42" s="349">
        <x:v>227.7</x:v>
      </x:c>
      <x:c r="G42" s="349">
        <x:f>785.57-13.66</x:f>
      </x:c>
      <x:c r="H42" s="349">
        <x:v>102.47</x:v>
      </x:c>
      <x:c r="I42" s="335">
        <x:v>46323</x:v>
      </x:c>
      <x:c r="J42" s="705">
        <x:f>+E42-F42</x:f>
      </x:c>
      <x:c r="K42" s="468">
        <x:f>+I42-D42</x:f>
      </x:c>
      <x:c r="L42" s="469">
        <x:v>0.03</x:v>
      </x:c>
      <x:c r="M42" s="433">
        <x:f>+J42*L42</x:f>
      </x:c>
      <x:c r="N42" s="470"/>
      <x:c r="O42" s="432"/>
    </x:row>
    <x:row r="43" spans="1:22" x14ac:dyDescent="0.3">
      <x:c r="A43" s="664"/>
      <x:c r="B43" s="551"/>
      <x:c r="C43" s="644"/>
      <x:c r="D43" s="553"/>
      <x:c r="E43" s="554"/>
      <x:c r="F43" s="554"/>
      <x:c r="G43" s="665"/>
      <x:c r="H43" s="349"/>
      <x:c r="I43" s="335"/>
      <x:c r="J43" s="705"/>
      <x:c r="K43" s="468"/>
      <x:c r="L43" s="503"/>
      <x:c r="M43" s="504"/>
      <x:c r="N43" s="431"/>
      <x:c r="O43" s="432"/>
    </x:row>
    <x:row r="44" spans="1:22" x14ac:dyDescent="0.3">
      <x:c r="A44" s="664"/>
      <x:c r="B44" s="551"/>
      <x:c r="C44" s="644"/>
      <x:c r="D44" s="553"/>
      <x:c r="E44" s="554"/>
      <x:c r="F44" s="554"/>
      <x:c r="G44" s="665"/>
      <x:c r="H44" s="336"/>
      <x:c r="I44" s="335"/>
      <x:c r="J44" s="705"/>
      <x:c r="K44" s="468"/>
      <x:c r="L44" s="503"/>
      <x:c r="M44" s="504"/>
      <x:c r="N44" s="431"/>
      <x:c r="O44" s="432"/>
    </x:row>
    <x:row r="45" spans="1:22" ht="16.2" customHeight="1" x14ac:dyDescent="0.35">
      <x:c r="A45" s="487"/>
      <x:c r="B45" s="462"/>
      <x:c r="C45" s="462"/>
      <x:c r="D45" s="492"/>
      <x:c r="E45" s="490"/>
      <x:c r="F45" s="490"/>
      <x:c r="G45" s="491"/>
      <x:c r="H45" s="490"/>
      <x:c r="I45" s="492"/>
      <x:c r="J45" s="705"/>
      <x:c r="K45" s="468"/>
      <x:c r="L45" s="469"/>
      <x:c r="M45" s="433"/>
      <x:c r="N45" s="470"/>
      <x:c r="O45" s="432"/>
    </x:row>
    <x:row r="46" spans="1:22" ht="16.2" customHeight="1" x14ac:dyDescent="0.35">
      <x:c r="A46" s="493" t="s">
        <x:v>43</x:v>
      </x:c>
      <x:c r="B46" s="493"/>
      <x:c r="C46" s="493"/>
      <x:c r="D46" s="493"/>
      <x:c r="E46" s="493"/>
      <x:c r="F46" s="493"/>
      <x:c r="G46" s="516">
        <x:f>SUM(G36:G45)</x:f>
      </x:c>
      <x:c r="H46" s="435"/>
      <x:c r="I46" s="498"/>
      <x:c r="J46" s="706">
        <x:f>SUM(J36:J45)</x:f>
      </x:c>
      <x:c r="K46" s="429"/>
      <x:c r="L46" s="495"/>
      <x:c r="M46" s="564">
        <x:f>SUM(M36:M45)</x:f>
      </x:c>
      <x:c r="N46" s="431"/>
      <x:c r="O46" s="435"/>
    </x:row>
    <x:row r="47" spans="1:22" ht="15.6" customHeight="1" x14ac:dyDescent="0.3">
      <x:c r="A47" s="520"/>
      <x:c r="B47" s="497"/>
      <x:c r="C47" s="497"/>
      <x:c r="D47" s="498"/>
      <x:c r="E47" s="435"/>
      <x:c r="F47" s="435"/>
      <x:c r="G47" s="435"/>
      <x:c r="H47" s="435"/>
      <x:c r="I47" s="498"/>
      <x:c r="J47" s="497"/>
      <x:c r="K47" s="429"/>
      <x:c r="L47" s="429"/>
      <x:c r="M47" s="429"/>
      <x:c r="N47" s="431"/>
      <x:c r="O47" s="435"/>
    </x:row>
    <x:row r="48" spans="1:22" ht="15.6" customHeight="1" x14ac:dyDescent="0.3">
      <x:c r="A48" s="499"/>
      <x:c r="B48" s="497"/>
      <x:c r="C48" s="497"/>
      <x:c r="D48" s="498"/>
      <x:c r="E48" s="435"/>
      <x:c r="F48" s="435"/>
      <x:c r="G48" s="435"/>
      <x:c r="H48" s="435"/>
      <x:c r="I48" s="498"/>
      <x:c r="J48" s="608"/>
      <x:c r="K48" s="429"/>
      <x:c r="L48" s="429"/>
      <x:c r="M48" s="429"/>
      <x:c r="N48" s="431"/>
      <x:c r="O48" s="435"/>
    </x:row>
    <x:row r="49" spans="1:22" ht="15.6" customHeight="1" x14ac:dyDescent="0.3">
      <x:c r="A49" s="499"/>
      <x:c r="B49" s="497"/>
      <x:c r="C49" s="497"/>
      <x:c r="D49" s="498"/>
      <x:c r="E49" s="435"/>
      <x:c r="F49" s="435"/>
      <x:c r="G49" s="435"/>
      <x:c r="H49" s="435"/>
      <x:c r="I49" s="498"/>
      <x:c r="J49" s="608"/>
      <x:c r="K49" s="429"/>
      <x:c r="L49" s="429"/>
      <x:c r="M49" s="429"/>
      <x:c r="N49" s="431"/>
      <x:c r="O49" s="435"/>
    </x:row>
    <x:row r="50" spans="1:22" ht="15.6" customHeight="1" x14ac:dyDescent="0.3">
      <x:c r="A50" s="499"/>
      <x:c r="B50" s="497"/>
      <x:c r="C50" s="497"/>
      <x:c r="D50" s="498"/>
      <x:c r="E50" s="435"/>
      <x:c r="F50" s="435"/>
      <x:c r="G50" s="435"/>
      <x:c r="H50" s="435"/>
      <x:c r="I50" s="498"/>
      <x:c r="J50" s="608"/>
      <x:c r="K50" s="429"/>
      <x:c r="L50" s="429"/>
      <x:c r="M50" s="429"/>
      <x:c r="N50" s="431"/>
      <x:c r="O50" s="435"/>
    </x:row>
    <x:row r="51" spans="1:22" ht="15.6" customHeight="1" x14ac:dyDescent="0.3">
      <x:c r="A51" s="499"/>
      <x:c r="B51" s="497"/>
      <x:c r="C51" s="497"/>
      <x:c r="D51" s="498"/>
      <x:c r="E51" s="435"/>
      <x:c r="F51" s="435"/>
      <x:c r="G51" s="435"/>
      <x:c r="H51" s="435"/>
      <x:c r="I51" s="498"/>
      <x:c r="J51" s="608"/>
      <x:c r="K51" s="429"/>
      <x:c r="L51" s="429"/>
      <x:c r="M51" s="435"/>
      <x:c r="N51" s="431"/>
      <x:c r="O51" s="435"/>
    </x:row>
    <x:row r="52" spans="1:22" ht="15.6" customHeight="1" x14ac:dyDescent="0.3">
      <x:c r="A52" s="499"/>
      <x:c r="B52" s="497"/>
      <x:c r="C52" s="497"/>
      <x:c r="D52" s="498"/>
      <x:c r="E52" s="435"/>
      <x:c r="F52" s="435"/>
      <x:c r="G52" s="435"/>
      <x:c r="H52" s="435"/>
      <x:c r="I52" s="498"/>
      <x:c r="J52" s="608"/>
      <x:c r="K52" s="429"/>
      <x:c r="L52" s="429"/>
      <x:c r="M52" s="435"/>
      <x:c r="N52" s="431"/>
      <x:c r="O52" s="435"/>
    </x:row>
    <x:row r="53" spans="1:22" x14ac:dyDescent="0.3">
      <x:c r="A53" s="436" t="s">
        <x:v>0</x:v>
      </x:c>
      <x:c r="B53" s="436"/>
      <x:c r="C53" s="436"/>
      <x:c r="D53" s="436"/>
      <x:c r="E53" s="436"/>
      <x:c r="F53" s="436"/>
      <x:c r="G53" s="437"/>
      <x:c r="H53" s="437"/>
      <x:c r="I53" s="617"/>
      <x:c r="J53" s="609"/>
      <x:c r="K53" s="441"/>
      <x:c r="L53" s="442"/>
      <x:c r="M53" s="443"/>
      <x:c r="N53" s="431"/>
      <x:c r="O53" s="435"/>
    </x:row>
    <x:row r="54" spans="1:22" x14ac:dyDescent="0.3">
      <x:c r="A54" s="436" t="s">
        <x:v>1</x:v>
      </x:c>
      <x:c r="B54" s="436"/>
      <x:c r="C54" s="436"/>
      <x:c r="D54" s="436"/>
      <x:c r="E54" s="436"/>
      <x:c r="F54" s="436"/>
      <x:c r="G54" s="437"/>
      <x:c r="H54" s="437"/>
      <x:c r="I54" s="617"/>
      <x:c r="J54" s="609"/>
      <x:c r="K54" s="441"/>
      <x:c r="L54" s="442"/>
      <x:c r="M54" s="443"/>
      <x:c r="N54" s="431"/>
      <x:c r="O54" s="435"/>
    </x:row>
    <x:row r="55" spans="1:22" x14ac:dyDescent="0.3">
      <x:c r="A55" s="436" t="s">
        <x:v>1888</x:v>
      </x:c>
      <x:c r="B55" s="436"/>
      <x:c r="C55" s="436"/>
      <x:c r="D55" s="436"/>
      <x:c r="E55" s="436"/>
      <x:c r="F55" s="436"/>
      <x:c r="G55" s="437"/>
      <x:c r="H55" s="437"/>
      <x:c r="I55" s="617"/>
      <x:c r="J55" s="609"/>
      <x:c r="K55" s="441"/>
      <x:c r="L55" s="442"/>
      <x:c r="M55" s="443"/>
      <x:c r="N55" s="431"/>
      <x:c r="O55" s="435"/>
    </x:row>
    <x:row r="56" spans="1:22" ht="15" customHeight="1" x14ac:dyDescent="0.35">
      <x:c r="A56" s="436" t="s">
        <x:v>1181</x:v>
      </x:c>
      <x:c r="B56" s="436"/>
      <x:c r="C56" s="436"/>
      <x:c r="D56" s="436"/>
      <x:c r="E56" s="436"/>
      <x:c r="F56" s="436"/>
      <x:c r="G56" s="443"/>
      <x:c r="H56" s="437"/>
      <x:c r="I56" s="445"/>
      <x:c r="J56" s="609"/>
      <x:c r="K56" s="441"/>
      <x:c r="L56" s="442"/>
      <x:c r="M56" s="443"/>
      <x:c r="N56" s="431"/>
      <x:c r="O56" s="435"/>
    </x:row>
    <x:row r="57" spans="1:22" x14ac:dyDescent="0.3">
      <x:c r="A57" s="447" t="s">
        <x:v>4</x:v>
      </x:c>
      <x:c r="B57" s="609"/>
      <x:c r="C57" s="609"/>
      <x:c r="D57" s="617"/>
      <x:c r="E57" s="443"/>
      <x:c r="F57" s="443"/>
      <x:c r="G57" s="448" t="s">
        <x:v>5</x:v>
      </x:c>
      <x:c r="H57" s="443"/>
      <x:c r="I57" s="617"/>
      <x:c r="J57" s="449" t="s">
        <x:v>6</x:v>
      </x:c>
      <x:c r="K57" s="450" t="s">
        <x:v>7</x:v>
      </x:c>
      <x:c r="L57" s="451" t="s">
        <x:v>8</x:v>
      </x:c>
      <x:c r="M57" s="449" t="s">
        <x:v>9</x:v>
      </x:c>
      <x:c r="N57" s="431"/>
      <x:c r="O57" s="435"/>
    </x:row>
    <x:row r="58" spans="1:22" x14ac:dyDescent="0.3">
      <x:c r="A58" s="708" t="s">
        <x:v>10</x:v>
      </x:c>
      <x:c r="B58" s="708" t="s">
        <x:v>11</x:v>
      </x:c>
      <x:c r="C58" s="708" t="s">
        <x:v>12</x:v>
      </x:c>
      <x:c r="D58" s="709" t="s">
        <x:v>13</x:v>
      </x:c>
      <x:c r="E58" s="710" t="s">
        <x:v>14</x:v>
      </x:c>
      <x:c r="F58" s="711" t="s">
        <x:v>15</x:v>
      </x:c>
      <x:c r="G58" s="712" t="s">
        <x:v>16</x:v>
      </x:c>
      <x:c r="H58" s="713" t="s">
        <x:v>17</x:v>
      </x:c>
      <x:c r="I58" s="625" t="s">
        <x:v>18</x:v>
      </x:c>
      <x:c r="J58" s="697" t="s">
        <x:v>19</x:v>
      </x:c>
      <x:c r="K58" s="698"/>
      <x:c r="L58" s="699" t="s">
        <x:v>20</x:v>
      </x:c>
      <x:c r="M58" s="697" t="s">
        <x:v>21</x:v>
      </x:c>
      <x:c r="N58" s="700"/>
      <x:c r="O58" s="701"/>
    </x:row>
    <x:row r="59" spans="1:22" x14ac:dyDescent="0.3">
      <x:c r="A59" s="334" t="s">
        <x:v>1261</x:v>
      </x:c>
      <x:c r="B59" s="334" t="s">
        <x:v>1456</x:v>
      </x:c>
      <x:c r="C59" s="334" t="s">
        <x:v>1921</x:v>
      </x:c>
      <x:c r="D59" s="387">
        <x:v>46132</x:v>
      </x:c>
      <x:c r="E59" s="349">
        <x:f>1620+540</x:f>
      </x:c>
      <x:c r="F59" s="349">
        <x:v>540</x:v>
      </x:c>
      <x:c r="G59" s="349">
        <x:v>863</x:v>
      </x:c>
      <x:c r="H59" s="349">
        <x:v>243</x:v>
      </x:c>
      <x:c r="I59" s="335">
        <x:v>46287.4488657407</x:v>
      </x:c>
      <x:c r="J59" s="423">
        <x:f>863/1.15</x:f>
      </x:c>
      <x:c r="K59" s="424">
        <x:f>+I59-D59</x:f>
      </x:c>
      <x:c r="L59" s="420">
        <x:v>0.03</x:v>
      </x:c>
      <x:c r="M59" s="421">
        <x:f>+J59*L59</x:f>
      </x:c>
      <x:c r="N59" s="360"/>
      <x:c r="O59" s="361"/>
    </x:row>
    <x:row r="60" spans="1:22" x14ac:dyDescent="0.3">
      <x:c r="A60" s="334" t="s">
        <x:v>22</x:v>
      </x:c>
      <x:c r="B60" s="334" t="s">
        <x:v>1362</x:v>
      </x:c>
      <x:c r="C60" s="334" t="s">
        <x:v>1922</x:v>
      </x:c>
      <x:c r="D60" s="387">
        <x:v>46174</x:v>
      </x:c>
      <x:c r="E60" s="349">
        <x:f>3320.46+1787.94</x:f>
      </x:c>
      <x:c r="F60" s="349">
        <x:v>1787.94</x:v>
      </x:c>
      <x:c r="G60" s="349">
        <x:v>3602.7</x:v>
      </x:c>
      <x:c r="H60" s="349">
        <x:v>498.07</x:v>
      </x:c>
      <x:c r="I60" s="335">
        <x:v>46293.4832407407</x:v>
      </x:c>
      <x:c r="J60" s="714">
        <x:f>+E60-F60</x:f>
      </x:c>
      <x:c r="K60" s="715">
        <x:f>+I60-D60</x:f>
      </x:c>
      <x:c r="L60" s="469">
        <x:v>0.03</x:v>
      </x:c>
      <x:c r="M60" s="433">
        <x:f>+J60*L60</x:f>
      </x:c>
      <x:c r="N60" s="431"/>
      <x:c r="O60" s="432"/>
    </x:row>
    <x:row r="61" spans="1:22" x14ac:dyDescent="0.3">
      <x:c r="A61" s="334" t="s">
        <x:v>1923</x:v>
      </x:c>
      <x:c r="B61" s="334" t="s">
        <x:v>734</x:v>
      </x:c>
      <x:c r="C61" s="334" t="s">
        <x:v>1924</x:v>
      </x:c>
      <x:c r="D61" s="387">
        <x:v>46189</x:v>
      </x:c>
      <x:c r="E61" s="349">
        <x:f>402.29+70.99</x:f>
      </x:c>
      <x:c r="F61" s="349">
        <x:v>70.99</x:v>
      </x:c>
      <x:c r="G61" s="349">
        <x:v>231.32</x:v>
      </x:c>
      <x:c r="H61" s="349">
        <x:v>60.34</x:v>
      </x:c>
      <x:c r="I61" s="335">
        <x:v>46283.6711342593</x:v>
      </x:c>
      <x:c r="J61" s="423">
        <x:v>201.15</x:v>
      </x:c>
      <x:c r="K61" s="424">
        <x:f>+I61-D61</x:f>
      </x:c>
      <x:c r="L61" s="420">
        <x:v>0.03</x:v>
      </x:c>
      <x:c r="M61" s="421">
        <x:f>+J61*L61</x:f>
      </x:c>
      <x:c r="N61" s="425"/>
      <x:c r="O61" s="426"/>
    </x:row>
    <x:row r="62" spans="1:22" x14ac:dyDescent="0.3">
      <x:c r="A62" s="334" t="s">
        <x:v>1923</x:v>
      </x:c>
      <x:c r="B62" s="334" t="s">
        <x:v>734</x:v>
      </x:c>
      <x:c r="C62" s="334" t="s">
        <x:v>1924</x:v>
      </x:c>
      <x:c r="D62" s="387">
        <x:v>46189</x:v>
      </x:c>
      <x:c r="E62" s="349">
        <x:f>402.29+70.99</x:f>
      </x:c>
      <x:c r="F62" s="349">
        <x:v>70.99</x:v>
      </x:c>
      <x:c r="G62" s="349">
        <x:v>231.32</x:v>
      </x:c>
      <x:c r="H62" s="349">
        <x:v>60.34</x:v>
      </x:c>
      <x:c r="I62" s="335">
        <x:v>46283.6722453704</x:v>
      </x:c>
      <x:c r="J62" s="423">
        <x:v>201.15</x:v>
      </x:c>
      <x:c r="K62" s="424">
        <x:f>+I62-D62</x:f>
      </x:c>
      <x:c r="L62" s="420">
        <x:v>0.03</x:v>
      </x:c>
      <x:c r="M62" s="421">
        <x:f>+J62*L62</x:f>
      </x:c>
      <x:c r="N62" s="425"/>
      <x:c r="O62" s="426"/>
    </x:row>
    <x:row r="63" spans="1:22" x14ac:dyDescent="0.3">
      <x:c r="A63" s="716" t="s">
        <x:v>1925</x:v>
      </x:c>
      <x:c r="B63" s="334" t="s">
        <x:v>1185</x:v>
      </x:c>
      <x:c r="C63" s="334" t="s">
        <x:v>1926</x:v>
      </x:c>
      <x:c r="D63" s="717">
        <x:v>46190</x:v>
      </x:c>
      <x:c r="E63" s="349">
        <x:f>3315.82+1421.06</x:f>
      </x:c>
      <x:c r="F63" s="349">
        <x:v>1421.06</x:v>
      </x:c>
      <x:c r="G63" s="349">
        <x:v>1798.84</x:v>
      </x:c>
      <x:c r="H63" s="349">
        <x:v>497.37</x:v>
      </x:c>
      <x:c r="I63" s="335">
        <x:v>46295</x:v>
      </x:c>
      <x:c r="J63" s="718">
        <x:v>1657.91</x:v>
      </x:c>
      <x:c r="K63" s="698">
        <x:f>+I63-D63</x:f>
      </x:c>
      <x:c r="L63" s="469">
        <x:v>0.03</x:v>
      </x:c>
      <x:c r="M63" s="433">
        <x:f>+J63*L63</x:f>
      </x:c>
      <x:c r="N63" s="431"/>
      <x:c r="O63" s="435">
        <x:f>E69-F69</x:f>
      </x:c>
    </x:row>
    <x:row r="64" spans="1:22" x14ac:dyDescent="0.3">
      <x:c r="A64" s="334" t="s">
        <x:v>1927</x:v>
      </x:c>
      <x:c r="B64" s="334" t="s">
        <x:v>1456</x:v>
      </x:c>
      <x:c r="C64" s="334" t="s">
        <x:v>1928</x:v>
      </x:c>
      <x:c r="D64" s="719">
        <x:v>46230</x:v>
      </x:c>
      <x:c r="E64" s="349">
        <x:v>165.12</x:v>
      </x:c>
      <x:c r="F64" s="349">
        <x:v>0</x:v>
      </x:c>
      <x:c r="G64" s="349">
        <x:v>189.89</x:v>
      </x:c>
      <x:c r="H64" s="349">
        <x:v>24.77</x:v>
      </x:c>
      <x:c r="I64" s="335">
        <x:v>46266</x:v>
      </x:c>
      <x:c r="J64" s="714">
        <x:f>+E64-F64</x:f>
      </x:c>
      <x:c r="K64" s="715">
        <x:f>+I64-D64</x:f>
      </x:c>
      <x:c r="L64" s="469">
        <x:v>0.03</x:v>
      </x:c>
      <x:c r="M64" s="433">
        <x:f>+J64*L64</x:f>
      </x:c>
      <x:c r="N64" s="700"/>
      <x:c r="O64" s="701"/>
    </x:row>
    <x:row r="65" spans="1:22" x14ac:dyDescent="0.3">
      <x:c r="A65" s="334" t="s">
        <x:v>1192</x:v>
      </x:c>
      <x:c r="B65" s="334" t="s">
        <x:v>1190</x:v>
      </x:c>
      <x:c r="C65" s="334" t="s">
        <x:v>1929</x:v>
      </x:c>
      <x:c r="D65" s="387">
        <x:v>46233</x:v>
      </x:c>
      <x:c r="E65" s="349">
        <x:f>739.57+110.51</x:f>
      </x:c>
      <x:c r="F65" s="349">
        <x:v>110.51</x:v>
      </x:c>
      <x:c r="G65" s="349">
        <x:v>450.51</x:v>
      </x:c>
      <x:c r="H65" s="349">
        <x:v>110.94</x:v>
      </x:c>
      <x:c r="I65" s="335">
        <x:v>46267.4734606482</x:v>
      </x:c>
      <x:c r="J65" s="423">
        <x:v>391.75</x:v>
      </x:c>
      <x:c r="K65" s="424">
        <x:f>+I65-D65</x:f>
      </x:c>
      <x:c r="L65" s="420">
        <x:v>0.03</x:v>
      </x:c>
      <x:c r="M65" s="421">
        <x:f>+J65*L65</x:f>
      </x:c>
      <x:c r="N65" s="425"/>
      <x:c r="O65" s="426"/>
    </x:row>
    <x:row r="66" spans="1:22" x14ac:dyDescent="0.3">
      <x:c r="A66" s="334" t="s">
        <x:v>1192</x:v>
      </x:c>
      <x:c r="B66" s="334" t="s">
        <x:v>1190</x:v>
      </x:c>
      <x:c r="C66" s="334" t="s">
        <x:v>1929</x:v>
      </x:c>
      <x:c r="D66" s="387">
        <x:v>46233</x:v>
      </x:c>
      <x:c r="E66" s="349">
        <x:f>739.57+110.51</x:f>
      </x:c>
      <x:c r="F66" s="349">
        <x:v>110.51</x:v>
      </x:c>
      <x:c r="G66" s="349">
        <x:v>400</x:v>
      </x:c>
      <x:c r="H66" s="349">
        <x:v>110.94</x:v>
      </x:c>
      <x:c r="I66" s="335">
        <x:v>46294.6078240741</x:v>
      </x:c>
      <x:c r="J66" s="423">
        <x:v>347.82</x:v>
      </x:c>
      <x:c r="K66" s="424">
        <x:f>+I66-D66</x:f>
      </x:c>
      <x:c r="L66" s="420">
        <x:v>0.03</x:v>
      </x:c>
      <x:c r="M66" s="421">
        <x:f>+J66*L66</x:f>
      </x:c>
      <x:c r="N66" s="425"/>
      <x:c r="O66" s="426"/>
    </x:row>
    <x:row r="67" spans="1:22" x14ac:dyDescent="0.3">
      <x:c r="A67" s="334" t="s">
        <x:v>1930</x:v>
      </x:c>
      <x:c r="B67" s="334" t="s">
        <x:v>1456</x:v>
      </x:c>
      <x:c r="C67" s="334" t="s">
        <x:v>1931</x:v>
      </x:c>
      <x:c r="D67" s="387">
        <x:v>46246</x:v>
      </x:c>
      <x:c r="E67" s="349">
        <x:f>223.94+33.46</x:f>
      </x:c>
      <x:c r="F67" s="349">
        <x:v>33.46</x:v>
      </x:c>
      <x:c r="G67" s="349">
        <x:v>242.97</x:v>
      </x:c>
      <x:c r="H67" s="349">
        <x:v>33.59</x:v>
      </x:c>
      <x:c r="I67" s="335">
        <x:v>46283.6775</x:v>
      </x:c>
      <x:c r="J67" s="423">
        <x:f>+E67-F67</x:f>
      </x:c>
      <x:c r="K67" s="424">
        <x:f>+I67-D67</x:f>
      </x:c>
      <x:c r="L67" s="420">
        <x:v>0.03</x:v>
      </x:c>
      <x:c r="M67" s="421">
        <x:f>+J67*L67</x:f>
      </x:c>
      <x:c r="N67" s="425"/>
      <x:c r="O67" s="426"/>
    </x:row>
    <x:row r="68" spans="1:22" x14ac:dyDescent="0.3">
      <x:c r="A68" s="334" t="s">
        <x:v>1932</x:v>
      </x:c>
      <x:c r="B68" s="334" t="s">
        <x:v>1456</x:v>
      </x:c>
      <x:c r="C68" s="334" t="s">
        <x:v>1933</x:v>
      </x:c>
      <x:c r="D68" s="387">
        <x:v>46246</x:v>
      </x:c>
      <x:c r="E68" s="349">
        <x:f>788.53+161.51</x:f>
      </x:c>
      <x:c r="F68" s="349">
        <x:v>161.51</x:v>
      </x:c>
      <x:c r="G68" s="349">
        <x:v>855.56</x:v>
      </x:c>
      <x:c r="H68" s="349">
        <x:v>118.28</x:v>
      </x:c>
      <x:c r="I68" s="335">
        <x:v>46283.6738888889</x:v>
      </x:c>
      <x:c r="J68" s="423">
        <x:f>+E68-F68</x:f>
      </x:c>
      <x:c r="K68" s="424">
        <x:f>+I68-D68</x:f>
      </x:c>
      <x:c r="L68" s="420">
        <x:v>0.03</x:v>
      </x:c>
      <x:c r="M68" s="421">
        <x:f>+J68*L68</x:f>
      </x:c>
      <x:c r="N68" s="425"/>
      <x:c r="O68" s="426"/>
    </x:row>
    <x:row r="69" spans="1:22" x14ac:dyDescent="0.3">
      <x:c r="A69" s="334" t="s">
        <x:v>1261</x:v>
      </x:c>
      <x:c r="B69" s="334" t="s">
        <x:v>1456</x:v>
      </x:c>
      <x:c r="C69" s="334" t="s">
        <x:v>1934</x:v>
      </x:c>
      <x:c r="D69" s="387">
        <x:v>46251</x:v>
      </x:c>
      <x:c r="E69" s="349">
        <x:f>187.11+62.37</x:f>
      </x:c>
      <x:c r="F69" s="349">
        <x:v>62.37</x:v>
      </x:c>
      <x:c r="G69" s="349">
        <x:v>215.18</x:v>
      </x:c>
      <x:c r="H69" s="349">
        <x:v>28.07</x:v>
      </x:c>
      <x:c r="I69" s="335">
        <x:v>46283.6835648148</x:v>
      </x:c>
      <x:c r="J69" s="714">
        <x:f>+E69-F69</x:f>
      </x:c>
      <x:c r="K69" s="715">
        <x:f>+I69-D69</x:f>
      </x:c>
      <x:c r="L69" s="469">
        <x:v>0.03</x:v>
      </x:c>
      <x:c r="M69" s="433">
        <x:f>+J69*L69</x:f>
      </x:c>
      <x:c r="N69" s="700"/>
      <x:c r="O69" s="701"/>
    </x:row>
    <x:row r="70" spans="1:22" x14ac:dyDescent="0.3">
      <x:c r="A70" s="334" t="s">
        <x:v>1935</x:v>
      </x:c>
      <x:c r="B70" s="334" t="s">
        <x:v>1936</x:v>
      </x:c>
      <x:c r="C70" s="334" t="s">
        <x:v>1937</x:v>
      </x:c>
      <x:c r="D70" s="387">
        <x:v>46258</x:v>
      </x:c>
      <x:c r="E70" s="352">
        <x:f>420.84+62.88</x:f>
      </x:c>
      <x:c r="F70" s="349">
        <x:v>62.88</x:v>
      </x:c>
      <x:c r="G70" s="349">
        <x:v>483.97</x:v>
      </x:c>
      <x:c r="H70" s="349">
        <x:v>63.13</x:v>
      </x:c>
      <x:c r="I70" s="335">
        <x:v>46268.4771759259</x:v>
      </x:c>
      <x:c r="J70" s="714">
        <x:f>+E70-F70</x:f>
      </x:c>
      <x:c r="K70" s="715">
        <x:f>+I70-D70</x:f>
      </x:c>
      <x:c r="L70" s="469">
        <x:v>0.035</x:v>
      </x:c>
      <x:c r="M70" s="433">
        <x:f>+J70*L70</x:f>
      </x:c>
      <x:c r="N70" s="431"/>
      <x:c r="O70" s="432"/>
    </x:row>
    <x:row r="71" spans="1:22" x14ac:dyDescent="0.3">
      <x:c r="A71" s="410" t="s">
        <x:v>1938</x:v>
      </x:c>
      <x:c r="B71" s="410" t="s">
        <x:v>1190</x:v>
      </x:c>
      <x:c r="C71" s="410" t="s">
        <x:v>1939</x:v>
      </x:c>
      <x:c r="D71" s="411">
        <x:v>46266</x:v>
      </x:c>
      <x:c r="E71" s="412">
        <x:v>78.12</x:v>
      </x:c>
      <x:c r="F71" s="412">
        <x:v>0</x:v>
      </x:c>
      <x:c r="G71" s="412">
        <x:v>89.84</x:v>
      </x:c>
      <x:c r="H71" s="412">
        <x:v>11.72</x:v>
      </x:c>
      <x:c r="I71" s="413">
        <x:v>46267.4749421296</x:v>
      </x:c>
      <x:c r="J71" s="720">
        <x:f>+E71-F71</x:f>
      </x:c>
      <x:c r="K71" s="721">
        <x:f>+I71-D71</x:f>
      </x:c>
      <x:c r="L71" s="469">
        <x:v>0.04</x:v>
      </x:c>
      <x:c r="M71" s="433">
        <x:f>+J71*L71</x:f>
      </x:c>
      <x:c r="N71" s="700"/>
      <x:c r="O71" s="701"/>
    </x:row>
    <x:row r="72" spans="1:22" x14ac:dyDescent="0.3">
      <x:c r="A72" s="334" t="s">
        <x:v>1940</x:v>
      </x:c>
      <x:c r="B72" s="334" t="s">
        <x:v>1456</x:v>
      </x:c>
      <x:c r="C72" s="334" t="s">
        <x:v>1941</x:v>
      </x:c>
      <x:c r="D72" s="387">
        <x:v>46283</x:v>
      </x:c>
      <x:c r="E72" s="349">
        <x:f>210.6+23.4</x:f>
      </x:c>
      <x:c r="F72" s="349">
        <x:v>23.4</x:v>
      </x:c>
      <x:c r="G72" s="349">
        <x:v>242.19</x:v>
      </x:c>
      <x:c r="H72" s="349">
        <x:v>31.59</x:v>
      </x:c>
      <x:c r="I72" s="335">
        <x:v>46283.6750578704</x:v>
      </x:c>
      <x:c r="J72" s="722">
        <x:f>+E72-F72</x:f>
      </x:c>
      <x:c r="K72" s="721">
        <x:f>+I72-D72</x:f>
      </x:c>
      <x:c r="L72" s="469">
        <x:v>0.04</x:v>
      </x:c>
      <x:c r="M72" s="433">
        <x:f>+J72*L72</x:f>
      </x:c>
      <x:c r="N72" s="700"/>
      <x:c r="O72" s="701"/>
    </x:row>
    <x:row r="73" spans="1:22" ht="15.6" customHeight="1" x14ac:dyDescent="0.3">
      <x:c r="A73" s="723"/>
      <x:c r="B73" s="724"/>
      <x:c r="C73" s="724"/>
      <x:c r="D73" s="477"/>
      <x:c r="E73" s="476"/>
      <x:c r="F73" s="476"/>
      <x:c r="G73" s="475"/>
      <x:c r="H73" s="476"/>
      <x:c r="I73" s="477"/>
      <x:c r="J73" s="718"/>
      <x:c r="K73" s="698"/>
      <x:c r="L73" s="725"/>
      <x:c r="M73" s="532"/>
      <x:c r="N73" s="431"/>
      <x:c r="O73" s="435"/>
    </x:row>
    <x:row r="74" spans="1:22" ht="15.6" customHeight="1" x14ac:dyDescent="0.3">
      <x:c r="A74" s="524"/>
      <x:c r="B74" s="524"/>
      <x:c r="C74" s="524"/>
      <x:c r="D74" s="529"/>
      <x:c r="E74" s="705"/>
      <x:c r="F74" s="705"/>
      <x:c r="G74" s="726">
        <x:f>SUM(G59:G73)</x:f>
      </x:c>
      <x:c r="H74" s="727"/>
      <x:c r="I74" s="728"/>
      <x:c r="J74" s="729">
        <x:f>SUM(J59:J73)</x:f>
      </x:c>
      <x:c r="K74" s="730"/>
      <x:c r="L74" s="731"/>
      <x:c r="M74" s="732">
        <x:f>SUM(M59:M73)</x:f>
      </x:c>
      <x:c r="N74" s="431"/>
      <x:c r="O74" s="435"/>
    </x:row>
    <x:row r="75" spans="1:22" x14ac:dyDescent="0.3">
      <x:c r="A75" s="483"/>
      <x:c r="B75" s="483"/>
      <x:c r="C75" s="483"/>
      <x:c r="D75" s="484"/>
      <x:c r="E75" s="733"/>
      <x:c r="F75" s="733"/>
      <x:c r="G75" s="432"/>
      <x:c r="H75" s="432"/>
      <x:c r="I75" s="484"/>
      <x:c r="J75" s="483"/>
      <x:c r="K75" s="734"/>
      <x:c r="L75" s="434"/>
      <x:c r="M75" s="434"/>
      <x:c r="N75" s="431"/>
      <x:c r="O75" s="435"/>
    </x:row>
    <x:row r="76" spans="1:22" x14ac:dyDescent="0.3">
      <x:c r="A76" s="483"/>
      <x:c r="B76" s="483"/>
      <x:c r="C76" s="483"/>
      <x:c r="D76" s="484"/>
      <x:c r="E76" s="733"/>
      <x:c r="F76" s="733"/>
      <x:c r="G76" s="432"/>
      <x:c r="H76" s="432"/>
      <x:c r="I76" s="484"/>
      <x:c r="J76" s="733"/>
      <x:c r="K76" s="734"/>
      <x:c r="L76" s="434"/>
      <x:c r="M76" s="432"/>
      <x:c r="N76" s="431"/>
      <x:c r="O76" s="435"/>
    </x:row>
    <x:row r="77" spans="1:22" x14ac:dyDescent="0.3">
      <x:c r="A77" s="530" t="s">
        <x:v>30</x:v>
      </x:c>
      <x:c r="B77" s="524" t="s">
        <x:v>31</x:v>
      </x:c>
      <x:c r="C77" s="524" t="s">
        <x:v>32</x:v>
      </x:c>
      <x:c r="D77" s="529"/>
      <x:c r="E77" s="433"/>
      <x:c r="F77" s="433"/>
      <x:c r="G77" s="433"/>
      <x:c r="H77" s="433"/>
      <x:c r="I77" s="529"/>
      <x:c r="J77" s="524"/>
      <x:c r="K77" s="730"/>
      <x:c r="L77" s="530"/>
      <x:c r="M77" s="530"/>
      <x:c r="N77" s="431"/>
      <x:c r="O77" s="435"/>
    </x:row>
    <x:row r="78" spans="1:22" ht="15" customHeight="1" x14ac:dyDescent="0.35">
      <x:c r="A78" s="716" t="s">
        <x:v>1925</x:v>
      </x:c>
      <x:c r="B78" s="334" t="s">
        <x:v>1942</x:v>
      </x:c>
      <x:c r="C78" s="334" t="s">
        <x:v>1926</x:v>
      </x:c>
      <x:c r="D78" s="717">
        <x:v>46190</x:v>
      </x:c>
      <x:c r="E78" s="349">
        <x:f>3315.82+1421.06</x:f>
      </x:c>
      <x:c r="F78" s="349">
        <x:v>1421.06</x:v>
      </x:c>
      <x:c r="G78" s="349">
        <x:v>1798.84</x:v>
      </x:c>
      <x:c r="H78" s="349">
        <x:v>497.37</x:v>
      </x:c>
      <x:c r="I78" s="335">
        <x:v>46325</x:v>
      </x:c>
      <x:c r="J78" s="705">
        <x:v>1657.91</x:v>
      </x:c>
      <x:c r="K78" s="730">
        <x:f>+I78-D78</x:f>
      </x:c>
      <x:c r="L78" s="469">
        <x:v>0.03</x:v>
      </x:c>
      <x:c r="M78" s="433">
        <x:f>+J78*L78</x:f>
      </x:c>
      <x:c r="N78" s="470"/>
      <x:c r="O78" s="432"/>
    </x:row>
    <x:row r="79" spans="1:22" ht="16.2" customHeight="1" x14ac:dyDescent="0.35">
      <x:c r="A79" s="493" t="s">
        <x:v>43</x:v>
      </x:c>
      <x:c r="B79" s="493"/>
      <x:c r="C79" s="493"/>
      <x:c r="D79" s="735"/>
      <x:c r="E79" s="736"/>
      <x:c r="F79" s="736"/>
      <x:c r="G79" s="516">
        <x:f>SUM(G74:G78)</x:f>
      </x:c>
      <x:c r="H79" s="435"/>
      <x:c r="I79" s="498"/>
      <x:c r="J79" s="737">
        <x:f>SUM(J74:J78)</x:f>
      </x:c>
      <x:c r="K79" s="429"/>
      <x:c r="L79" s="495"/>
      <x:c r="M79" s="496">
        <x:f>SUM(M74:M78)</x:f>
      </x:c>
      <x:c r="N79" s="431"/>
      <x:c r="O79" s="435">
        <x:f>O72/2</x:f>
      </x:c>
    </x:row>
    <x:row r="80" spans="1:22" x14ac:dyDescent="0.3">
      <x:c r="A80" s="497"/>
      <x:c r="B80" s="497"/>
      <x:c r="C80" s="497"/>
      <x:c r="D80" s="498"/>
      <x:c r="E80" s="608"/>
      <x:c r="F80" s="608"/>
      <x:c r="G80" s="435"/>
      <x:c r="H80" s="435"/>
      <x:c r="I80" s="498"/>
      <x:c r="J80" s="497"/>
      <x:c r="K80" s="429"/>
      <x:c r="L80" s="429"/>
      <x:c r="M80" s="429"/>
      <x:c r="N80" s="431"/>
      <x:c r="O80" s="435"/>
    </x:row>
    <x:row r="81" spans="1:22" x14ac:dyDescent="0.3">
      <x:c r="A81" s="334" t="s">
        <x:v>22</x:v>
      </x:c>
      <x:c r="B81" s="334" t="s">
        <x:v>1362</x:v>
      </x:c>
      <x:c r="C81" s="334" t="s">
        <x:v>1943</x:v>
      </x:c>
      <x:c r="D81" s="387">
        <x:v>46287</x:v>
      </x:c>
      <x:c r="E81" s="349">
        <x:v>0</x:v>
      </x:c>
      <x:c r="F81" s="349">
        <x:f>288.48</x:f>
      </x:c>
      <x:c r="G81" s="349">
        <x:v>0</x:v>
      </x:c>
      <x:c r="H81" s="349">
        <x:v>43.27</x:v>
      </x:c>
      <x:c r="I81" s="335">
        <x:v>46287.3818287037</x:v>
      </x:c>
      <x:c r="J81" s="722">
        <x:f>+E81-F81</x:f>
      </x:c>
      <x:c r="K81" s="721">
        <x:f>+I81-D81</x:f>
      </x:c>
      <x:c r="L81" s="469">
        <x:v>0.03</x:v>
      </x:c>
      <x:c r="M81" s="433">
        <x:f>+J81*L81</x:f>
      </x:c>
      <x:c r="N81" s="431"/>
      <x:c r="O81" s="432"/>
    </x:row>
    <x:row r="82" spans="1:22" x14ac:dyDescent="0.3">
      <x:c r="A82" s="429"/>
      <x:c r="B82" s="497"/>
      <x:c r="C82" s="497"/>
      <x:c r="D82" s="498"/>
      <x:c r="E82" s="435"/>
      <x:c r="F82" s="435"/>
      <x:c r="G82" s="435"/>
      <x:c r="H82" s="435"/>
      <x:c r="I82" s="498"/>
      <x:c r="J82" s="608"/>
      <x:c r="K82" s="429"/>
      <x:c r="L82" s="429"/>
      <x:c r="M82" s="429"/>
      <x:c r="N82" s="431"/>
      <x:c r="O82" s="435"/>
    </x:row>
    <x:row r="83" spans="1:22" x14ac:dyDescent="0.3">
      <x:c r="A83" s="429"/>
      <x:c r="B83" s="497"/>
      <x:c r="C83" s="497"/>
      <x:c r="D83" s="498"/>
      <x:c r="E83" s="435"/>
      <x:c r="F83" s="435"/>
      <x:c r="G83" s="435"/>
      <x:c r="H83" s="435">
        <x:f>G78+G72</x:f>
      </x:c>
      <x:c r="I83" s="738">
        <x:f>3315.82</x:f>
      </x:c>
      <x:c r="J83" s="608"/>
      <x:c r="K83" s="429"/>
      <x:c r="L83" s="429"/>
      <x:c r="M83" s="429"/>
      <x:c r="N83" s="431"/>
      <x:c r="O83" s="435"/>
    </x:row>
    <x:row r="84" spans="1:22" x14ac:dyDescent="0.3">
      <x:c r="A84" s="429"/>
      <x:c r="B84" s="497"/>
      <x:c r="C84" s="497"/>
      <x:c r="D84" s="498"/>
      <x:c r="E84" s="435"/>
      <x:c r="F84" s="435"/>
      <x:c r="G84" s="435"/>
      <x:c r="H84" s="435">
        <x:f>I83/H83</x:f>
      </x:c>
      <x:c r="I84" s="498"/>
      <x:c r="J84" s="608">
        <x:f>(J46+J79)*2%</x:f>
      </x:c>
      <x:c r="K84" s="429"/>
      <x:c r="L84" s="429"/>
      <x:c r="M84" s="435">
        <x:f>M79/12</x:f>
      </x:c>
      <x:c r="N84" s="431" t="s">
        <x:v>1199</x:v>
      </x:c>
      <x:c r="O84" s="435"/>
    </x:row>
    <x:row r="85" spans="1:22" x14ac:dyDescent="0.3">
      <x:c r="A85" s="429"/>
      <x:c r="B85" s="497"/>
      <x:c r="C85" s="497"/>
      <x:c r="D85" s="498"/>
      <x:c r="E85" s="435"/>
      <x:c r="F85" s="435"/>
      <x:c r="G85" s="435"/>
      <x:c r="H85" s="435">
        <x:f>G78*H84</x:f>
      </x:c>
      <x:c r="I85" s="498"/>
      <x:c r="J85" s="608">
        <x:f>J84/12</x:f>
      </x:c>
      <x:c r="K85" s="429" t="s">
        <x:v>655</x:v>
      </x:c>
      <x:c r="L85" s="429"/>
      <x:c r="M85" s="435">
        <x:f>M79/24</x:f>
      </x:c>
      <x:c r="N85" s="431" t="s">
        <x:v>1199</x:v>
      </x:c>
      <x:c r="O85" s="435"/>
    </x:row>
    <x:row r="86" spans="1:22" x14ac:dyDescent="0.3">
      <x:c r="A86" s="429"/>
      <x:c r="B86" s="497"/>
      <x:c r="C86" s="497"/>
      <x:c r="D86" s="498"/>
      <x:c r="E86" s="435"/>
      <x:c r="F86" s="435"/>
      <x:c r="G86" s="435"/>
      <x:c r="H86" s="435">
        <x:f>G72*H84</x:f>
      </x:c>
      <x:c r="I86" s="498"/>
      <x:c r="J86" s="608">
        <x:f>J84/24</x:f>
      </x:c>
      <x:c r="K86" s="429" t="s">
        <x:v>655</x:v>
      </x:c>
      <x:c r="L86" s="429"/>
      <x:c r="M86" s="429"/>
      <x:c r="N86" s="431"/>
      <x:c r="O86" s="435"/>
    </x:row>
    <x:row r="87" spans="1:22" x14ac:dyDescent="0.3">
      <x:c r="H87" s="352">
        <x:f>H85+H86</x:f>
      </x:c>
    </x:row>
    <x:row r="88" spans="1:22" x14ac:dyDescent="0.3">
      <x:c r="F88" s="352">
        <x:f>402.29/2</x:f>
      </x:c>
    </x:row>
    <x:row r="89" spans="1:22" x14ac:dyDescent="0.3">
      <x:c r="H89" s="435">
        <x:f>450.51+400</x:f>
      </x:c>
      <x:c r="I89" s="738">
        <x:v>739.57</x:v>
      </x:c>
    </x:row>
    <x:row r="90" spans="1:22" x14ac:dyDescent="0.3">
      <x:c r="H90" s="435">
        <x:f>I89/H89</x:f>
      </x:c>
      <x:c r="I90" s="498"/>
    </x:row>
    <x:row r="91" spans="1:22" x14ac:dyDescent="0.3">
      <x:c r="H91" s="435">
        <x:f>G64*H90</x:f>
      </x:c>
      <x:c r="I91" s="498"/>
    </x:row>
    <x:row r="92" spans="1:22" x14ac:dyDescent="0.3">
      <x:c r="H92" s="435">
        <x:f>G67*H90</x:f>
      </x:c>
      <x:c r="I92" s="498"/>
    </x:row>
    <x:row r="93" spans="1:22" x14ac:dyDescent="0.3">
      <x:c r="H93" s="352">
        <x:f>H91+H92</x:f>
      </x:c>
    </x:row>
  </x:sheetData>
  <x:sortState xmlns:xlrd2="http://schemas.microsoft.com/office/spreadsheetml/2017/richdata2" ref="A8:V33">
    <x:sortCondition ref="C8:C33"/>
  </x:sortState>
  <x:mergeCells count="6">
    <x:mergeCell ref="A3:F3"/>
    <x:mergeCell ref="A46:F46"/>
    <x:mergeCell ref="A53:F53"/>
    <x:mergeCell ref="A54:F54"/>
    <x:mergeCell ref="A55:F55"/>
    <x:mergeCell ref="A56:F56"/>
  </x:mergeCells>
  <x:printOptions horizontalCentered="0" verticalCentered="0" headings="0" gridLines="0"/>
  <x:pageMargins left="0" right="0" top="0" bottom="0" header="0" footer="0"/>
  <x:pageSetup paperSize="9" fitToHeight="0" pageOrder="downThenOver" orientation="landscape" blackAndWhite="0" draft="0" cellComments="none" errors="displayed" r:id="rId1"/>
  <x:headerFooter/>
  <x:tableParts count="0"/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9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5" width="9.424911" style="0" customWidth="1"/>
    <x:col min="6" max="6" width="7.853482" style="0" customWidth="1"/>
    <x:col min="7" max="7" width="9.424911" style="0" customWidth="1"/>
    <x:col min="8" max="8" width="7.853482" style="0" customWidth="1"/>
    <x:col min="9" max="9" width="8.996339" style="0" customWidth="1"/>
    <x:col min="10" max="10" width="9.424911" style="0" customWidth="1"/>
    <x:col min="11" max="11" width="3.996339" style="0" customWidth="1"/>
    <x:col min="12" max="12" width="4.996339" style="0" customWidth="1"/>
    <x:col min="13" max="13" width="6.567768" style="0" customWidth="1"/>
  </x:cols>
  <x:sheetData>
    <x:row r="3" spans="1:13">
      <x:c r="A3" s="739" t="s">
        <x:v>1</x:v>
      </x:c>
      <x:c r="B3" s="739"/>
      <x:c r="C3" s="739"/>
      <x:c r="D3" s="739"/>
      <x:c r="E3" s="739"/>
      <x:c r="F3" s="739"/>
      <x:c r="G3" s="739"/>
      <x:c r="H3" s="739"/>
      <x:c r="I3" s="739"/>
      <x:c r="J3" s="739"/>
      <x:c r="K3" s="739"/>
      <x:c r="L3" s="739"/>
      <x:c r="M3" s="739"/>
    </x:row>
    <x:row r="4" spans="1:13">
      <x:c r="B4" s="0" t="s">
        <x:v>1888</x:v>
      </x:c>
    </x:row>
    <x:row r="5" spans="1:13">
      <x:c r="B5" s="740" t="s">
        <x:v>1944</x:v>
      </x:c>
    </x:row>
    <x:row r="6" spans="1:13">
      <x:c r="G6" s="0" t="s">
        <x:v>5</x:v>
      </x:c>
      <x:c r="J6" s="0" t="s">
        <x:v>6</x:v>
      </x:c>
      <x:c r="K6" s="0" t="s">
        <x:v>7</x:v>
      </x:c>
      <x:c r="L6" s="0" t="s">
        <x:v>8</x:v>
      </x:c>
      <x:c r="M6" s="0" t="s">
        <x:v>9</x:v>
      </x:c>
    </x:row>
    <x:row r="7" spans="1:13" ht="32" customHeight="1">
      <x:c r="A7" s="741" t="s">
        <x:v>1945</x:v>
      </x:c>
      <x:c r="B7" s="741" t="s">
        <x:v>11</x:v>
      </x:c>
      <x:c r="C7" s="741" t="s">
        <x:v>12</x:v>
      </x:c>
      <x:c r="D7" s="741" t="s">
        <x:v>13</x:v>
      </x:c>
      <x:c r="E7" s="741" t="s">
        <x:v>14</x:v>
      </x:c>
      <x:c r="F7" s="741" t="s">
        <x:v>15</x:v>
      </x:c>
      <x:c r="G7" s="741" t="s">
        <x:v>16</x:v>
      </x:c>
      <x:c r="H7" s="741" t="s">
        <x:v>17</x:v>
      </x:c>
      <x:c r="I7" s="741" t="s">
        <x:v>18</x:v>
      </x:c>
      <x:c r="J7" s="741" t="s">
        <x:v>19</x:v>
      </x:c>
      <x:c r="K7" s="741" t="s">
        <x:v>7</x:v>
      </x:c>
      <x:c r="L7" s="741" t="s">
        <x:v>20</x:v>
      </x:c>
      <x:c r="M7" s="741" t="s">
        <x:v>21</x:v>
      </x:c>
    </x:row>
    <x:row r="8" spans="1:13">
      <x:c r="A8" s="742" t="s">
        <x:v>400</x:v>
      </x:c>
      <x:c r="B8" s="742" t="s">
        <x:v>401</x:v>
      </x:c>
      <x:c r="C8" s="742" t="s">
        <x:v>1893</x:v>
      </x:c>
      <x:c r="D8" s="743">
        <x:v>46183</x:v>
      </x:c>
      <x:c r="E8" s="744">
        <x:f>115.056+F8</x:f>
      </x:c>
      <x:c r="F8" s="744">
        <x:v>20.304</x:v>
      </x:c>
      <x:c r="G8" s="744">
        <x:v>132.32</x:v>
      </x:c>
      <x:c r="H8" s="744">
        <x:v>17.26</x:v>
      </x:c>
      <x:c r="I8" s="743">
        <x:v>46268.5951388889</x:v>
      </x:c>
      <x:c r="J8" s="744">
        <x:f>E8-F8</x:f>
      </x:c>
      <x:c r="K8" s="745">
        <x:f>ROUND(I8-D8,0)</x:f>
      </x:c>
      <x:c r="L8" s="746">
        <x:v>0.03</x:v>
      </x:c>
      <x:c r="M8" s="744">
        <x:f>J8*L8</x:f>
      </x:c>
    </x:row>
    <x:row r="9" spans="1:13">
      <x:c r="A9" s="742" t="s">
        <x:v>164</x:v>
      </x:c>
      <x:c r="B9" s="742" t="s">
        <x:v>26</x:v>
      </x:c>
      <x:c r="C9" s="742" t="s">
        <x:v>1864</x:v>
      </x:c>
      <x:c r="D9" s="743">
        <x:v>46223</x:v>
      </x:c>
      <x:c r="E9" s="744">
        <x:f>258.162+F9</x:f>
      </x:c>
      <x:c r="F9" s="744">
        <x:v>45.558</x:v>
      </x:c>
      <x:c r="G9" s="744">
        <x:v>296.88</x:v>
      </x:c>
      <x:c r="H9" s="744">
        <x:v>38.72</x:v>
      </x:c>
      <x:c r="I9" s="743">
        <x:v>46269.4923611111</x:v>
      </x:c>
      <x:c r="J9" s="744">
        <x:f>E9-F9</x:f>
      </x:c>
      <x:c r="K9" s="745">
        <x:f>ROUND(I9-D9,0)</x:f>
      </x:c>
      <x:c r="L9" s="746">
        <x:v>0.03</x:v>
      </x:c>
      <x:c r="M9" s="744">
        <x:f>J9*L9</x:f>
      </x:c>
    </x:row>
    <x:row r="10" spans="1:13">
      <x:c r="A10" s="742" t="s">
        <x:v>101</x:v>
      </x:c>
      <x:c r="B10" s="742" t="s">
        <x:v>26</x:v>
      </x:c>
      <x:c r="C10" s="742" t="s">
        <x:v>1874</x:v>
      </x:c>
      <x:c r="D10" s="743">
        <x:v>46205</x:v>
      </x:c>
      <x:c r="E10" s="744">
        <x:f>116.688+F10</x:f>
      </x:c>
      <x:c r="F10" s="744">
        <x:v>20.592</x:v>
      </x:c>
      <x:c r="G10" s="744">
        <x:v>126.61</x:v>
      </x:c>
      <x:c r="H10" s="744">
        <x:v>17.5</x:v>
      </x:c>
      <x:c r="I10" s="743">
        <x:v>46269.4951388889</x:v>
      </x:c>
      <x:c r="J10" s="744">
        <x:f>E10-F10</x:f>
      </x:c>
      <x:c r="K10" s="745">
        <x:f>ROUND(I10-D10,0)</x:f>
      </x:c>
      <x:c r="L10" s="746">
        <x:v>0.03</x:v>
      </x:c>
      <x:c r="M10" s="744">
        <x:f>J10*L10</x:f>
      </x:c>
    </x:row>
    <x:row r="11" spans="1:13">
      <x:c r="A11" s="742" t="s">
        <x:v>101</x:v>
      </x:c>
      <x:c r="B11" s="742" t="s">
        <x:v>26</x:v>
      </x:c>
      <x:c r="C11" s="742" t="s">
        <x:v>1875</x:v>
      </x:c>
      <x:c r="D11" s="743">
        <x:v>46210</x:v>
      </x:c>
      <x:c r="E11" s="744">
        <x:f>140.25+F11</x:f>
      </x:c>
      <x:c r="F11" s="744">
        <x:v>24.75</x:v>
      </x:c>
      <x:c r="G11" s="744">
        <x:v>152.17</x:v>
      </x:c>
      <x:c r="H11" s="744">
        <x:v>21.04</x:v>
      </x:c>
      <x:c r="I11" s="743">
        <x:v>46269.4951388889</x:v>
      </x:c>
      <x:c r="J11" s="744">
        <x:f>E11-F11</x:f>
      </x:c>
      <x:c r="K11" s="745">
        <x:f>ROUND(I11-D11,0)</x:f>
      </x:c>
      <x:c r="L11" s="746">
        <x:v>0.03</x:v>
      </x:c>
      <x:c r="M11" s="744">
        <x:f>J11*L11</x:f>
      </x:c>
    </x:row>
    <x:row r="12" spans="1:13">
      <x:c r="A12" s="742" t="s">
        <x:v>101</x:v>
      </x:c>
      <x:c r="B12" s="742" t="s">
        <x:v>26</x:v>
      </x:c>
      <x:c r="C12" s="742" t="s">
        <x:v>1876</x:v>
      </x:c>
      <x:c r="D12" s="743">
        <x:v>46212</x:v>
      </x:c>
      <x:c r="E12" s="744">
        <x:f>69.36+F12</x:f>
      </x:c>
      <x:c r="F12" s="744">
        <x:v>12.24</x:v>
      </x:c>
      <x:c r="G12" s="744">
        <x:v>75.25</x:v>
      </x:c>
      <x:c r="H12" s="744">
        <x:v>10.4</x:v>
      </x:c>
      <x:c r="I12" s="743">
        <x:v>46269.4951388889</x:v>
      </x:c>
      <x:c r="J12" s="744">
        <x:f>E12-F12</x:f>
      </x:c>
      <x:c r="K12" s="745">
        <x:f>ROUND(I12-D12,0)</x:f>
      </x:c>
      <x:c r="L12" s="746">
        <x:v>0.03</x:v>
      </x:c>
      <x:c r="M12" s="744">
        <x:f>J12*L12</x:f>
      </x:c>
    </x:row>
    <x:row r="13" spans="1:13">
      <x:c r="A13" s="742" t="s">
        <x:v>625</x:v>
      </x:c>
      <x:c r="B13" s="742" t="s">
        <x:v>105</x:v>
      </x:c>
      <x:c r="C13" s="742" t="s">
        <x:v>1909</x:v>
      </x:c>
      <x:c r="D13" s="743">
        <x:v>46266</x:v>
      </x:c>
      <x:c r="E13" s="744">
        <x:f>226.3392+F13</x:f>
      </x:c>
      <x:c r="F13" s="744">
        <x:v>33.8208</x:v>
      </x:c>
      <x:c r="G13" s="744">
        <x:v>0</x:v>
      </x:c>
      <x:c r="H13" s="744">
        <x:v>33.95</x:v>
      </x:c>
      <x:c r="I13" s="743">
        <x:v>46272.3736111111</x:v>
      </x:c>
      <x:c r="J13" s="744">
        <x:f>E13-F13</x:f>
      </x:c>
      <x:c r="K13" s="745">
        <x:f>ROUND(I13-D13,0)</x:f>
      </x:c>
      <x:c r="L13" s="746">
        <x:v>0.035</x:v>
      </x:c>
      <x:c r="M13" s="744">
        <x:f>J13*L13</x:f>
      </x:c>
    </x:row>
    <x:row r="14" spans="1:13">
      <x:c r="A14" s="742" t="s">
        <x:v>118</x:v>
      </x:c>
      <x:c r="B14" s="742" t="s">
        <x:v>26</x:v>
      </x:c>
      <x:c r="C14" s="742" t="s">
        <x:v>1946</x:v>
      </x:c>
      <x:c r="D14" s="743">
        <x:v>46262</x:v>
      </x:c>
      <x:c r="E14" s="744">
        <x:f>18.252+F14</x:f>
      </x:c>
      <x:c r="F14" s="744">
        <x:v>5.148</x:v>
      </x:c>
      <x:c r="G14" s="744">
        <x:v>0</x:v>
      </x:c>
      <x:c r="H14" s="744">
        <x:v>2.74</x:v>
      </x:c>
      <x:c r="I14" s="743">
        <x:v>46272.375</x:v>
      </x:c>
      <x:c r="J14" s="744">
        <x:f>E14-F14</x:f>
      </x:c>
      <x:c r="K14" s="745">
        <x:f>ROUND(I14-D14,0)</x:f>
      </x:c>
      <x:c r="L14" s="746">
        <x:v>0.035</x:v>
      </x:c>
      <x:c r="M14" s="744">
        <x:f>J14*L14</x:f>
      </x:c>
    </x:row>
    <x:row r="15" spans="1:13">
      <x:c r="A15" s="742" t="s">
        <x:v>625</x:v>
      </x:c>
      <x:c r="B15" s="742" t="s">
        <x:v>105</x:v>
      </x:c>
      <x:c r="C15" s="742" t="s">
        <x:v>1910</x:v>
      </x:c>
      <x:c r="D15" s="743">
        <x:v>46266</x:v>
      </x:c>
      <x:c r="E15" s="744">
        <x:f>40.716+F15</x:f>
      </x:c>
      <x:c r="F15" s="744">
        <x:v>6.084</x:v>
      </x:c>
      <x:c r="G15" s="744">
        <x:v>0</x:v>
      </x:c>
      <x:c r="H15" s="744">
        <x:v>6.11</x:v>
      </x:c>
      <x:c r="I15" s="743">
        <x:v>46272.3805555556</x:v>
      </x:c>
      <x:c r="J15" s="744">
        <x:f>E15-F15</x:f>
      </x:c>
      <x:c r="K15" s="745">
        <x:f>ROUND(I15-D15,0)</x:f>
      </x:c>
      <x:c r="L15" s="746">
        <x:v>0.035</x:v>
      </x:c>
      <x:c r="M15" s="744">
        <x:f>J15*L15</x:f>
      </x:c>
    </x:row>
    <x:row r="16" spans="1:13">
      <x:c r="A16" s="742" t="s">
        <x:v>477</x:v>
      </x:c>
      <x:c r="B16" s="742" t="s">
        <x:v>478</x:v>
      </x:c>
      <x:c r="C16" s="742" t="s">
        <x:v>1947</x:v>
      </x:c>
      <x:c r="D16" s="743">
        <x:v>46267</x:v>
      </x:c>
      <x:c r="E16" s="744">
        <x:f>190.08+F16</x:f>
      </x:c>
      <x:c r="F16" s="744">
        <x:v>47.52</x:v>
      </x:c>
      <x:c r="G16" s="744">
        <x:v>0</x:v>
      </x:c>
      <x:c r="H16" s="744">
        <x:v>28.51</x:v>
      </x:c>
      <x:c r="I16" s="743">
        <x:v>46272.3826388889</x:v>
      </x:c>
      <x:c r="J16" s="744">
        <x:f>E16-F16</x:f>
      </x:c>
      <x:c r="K16" s="745">
        <x:f>ROUND(I16-D16,0)</x:f>
      </x:c>
      <x:c r="L16" s="746">
        <x:v>0.035</x:v>
      </x:c>
      <x:c r="M16" s="744">
        <x:f>J16*L16</x:f>
      </x:c>
    </x:row>
    <x:row r="17" spans="1:13">
      <x:c r="A17" s="742" t="s">
        <x:v>136</x:v>
      </x:c>
      <x:c r="B17" s="742" t="s">
        <x:v>26</x:v>
      </x:c>
      <x:c r="C17" s="742" t="s">
        <x:v>1918</x:v>
      </x:c>
      <x:c r="D17" s="743">
        <x:v>46269</x:v>
      </x:c>
      <x:c r="E17" s="744">
        <x:f>454.23+F17</x:f>
      </x:c>
      <x:c r="F17" s="744">
        <x:v>151.41</x:v>
      </x:c>
      <x:c r="G17" s="744">
        <x:v>0</x:v>
      </x:c>
      <x:c r="H17" s="744">
        <x:v>68.13</x:v>
      </x:c>
      <x:c r="I17" s="743">
        <x:v>46272.3951388889</x:v>
      </x:c>
      <x:c r="J17" s="744">
        <x:f>E17-F17</x:f>
      </x:c>
      <x:c r="K17" s="745">
        <x:f>ROUND(I17-D17,0)</x:f>
      </x:c>
      <x:c r="L17" s="746">
        <x:v>0.035</x:v>
      </x:c>
      <x:c r="M17" s="744">
        <x:f>J17*L17</x:f>
      </x:c>
    </x:row>
    <x:row r="18" spans="1:13">
      <x:c r="A18" s="742" t="s">
        <x:v>101</x:v>
      </x:c>
      <x:c r="B18" s="742" t="s">
        <x:v>26</x:v>
      </x:c>
      <x:c r="C18" s="742" t="s">
        <x:v>1856</x:v>
      </x:c>
      <x:c r="D18" s="743">
        <x:v>46217</x:v>
      </x:c>
      <x:c r="E18" s="744">
        <x:f>104.04+F18</x:f>
      </x:c>
      <x:c r="F18" s="744">
        <x:v>18.36</x:v>
      </x:c>
      <x:c r="G18" s="744">
        <x:v>112.89</x:v>
      </x:c>
      <x:c r="H18" s="744">
        <x:v>15.61</x:v>
      </x:c>
      <x:c r="I18" s="743">
        <x:v>46272.5875</x:v>
      </x:c>
      <x:c r="J18" s="744">
        <x:f>E18-F18</x:f>
      </x:c>
      <x:c r="K18" s="745">
        <x:f>ROUND(I18-D18,0)</x:f>
      </x:c>
      <x:c r="L18" s="746">
        <x:v>0.03</x:v>
      </x:c>
      <x:c r="M18" s="744">
        <x:f>J18*L18</x:f>
      </x:c>
    </x:row>
    <x:row r="19" spans="1:13">
      <x:c r="A19" s="742" t="s">
        <x:v>101</x:v>
      </x:c>
      <x:c r="B19" s="742" t="s">
        <x:v>26</x:v>
      </x:c>
      <x:c r="C19" s="742" t="s">
        <x:v>1857</x:v>
      </x:c>
      <x:c r="D19" s="743">
        <x:v>46219</x:v>
      </x:c>
      <x:c r="E19" s="744">
        <x:f>73.44+F19</x:f>
      </x:c>
      <x:c r="F19" s="744">
        <x:v>12.96</x:v>
      </x:c>
      <x:c r="G19" s="744">
        <x:v>79.68</x:v>
      </x:c>
      <x:c r="H19" s="744">
        <x:v>11.02</x:v>
      </x:c>
      <x:c r="I19" s="743">
        <x:v>46272.5875</x:v>
      </x:c>
      <x:c r="J19" s="744">
        <x:f>E19-F19</x:f>
      </x:c>
      <x:c r="K19" s="745">
        <x:f>ROUND(I19-D19,0)</x:f>
      </x:c>
      <x:c r="L19" s="746">
        <x:v>0.03</x:v>
      </x:c>
      <x:c r="M19" s="744">
        <x:f>J19*L19</x:f>
      </x:c>
    </x:row>
    <x:row r="20" spans="1:13">
      <x:c r="A20" s="742" t="s">
        <x:v>136</x:v>
      </x:c>
      <x:c r="B20" s="742" t="s">
        <x:v>26</x:v>
      </x:c>
      <x:c r="C20" s="742" t="s">
        <x:v>1854</x:v>
      </x:c>
      <x:c r="D20" s="743">
        <x:v>46240</x:v>
      </x:c>
      <x:c r="E20" s="744">
        <x:f>317.52+F20</x:f>
      </x:c>
      <x:c r="F20" s="744">
        <x:v>105.84</x:v>
      </x:c>
      <x:c r="G20" s="744">
        <x:v>344.51</x:v>
      </x:c>
      <x:c r="H20" s="744">
        <x:v>47.63</x:v>
      </x:c>
      <x:c r="I20" s="743">
        <x:v>46272.5895833333</x:v>
      </x:c>
      <x:c r="J20" s="744">
        <x:f>E20-F20</x:f>
      </x:c>
      <x:c r="K20" s="745">
        <x:f>ROUND(I20-D20,0)</x:f>
      </x:c>
      <x:c r="L20" s="746">
        <x:v>0.03</x:v>
      </x:c>
      <x:c r="M20" s="744">
        <x:f>J20*L20</x:f>
      </x:c>
    </x:row>
    <x:row r="21" spans="1:13">
      <x:c r="A21" s="742" t="s">
        <x:v>1044</x:v>
      </x:c>
      <x:c r="B21" s="742" t="s">
        <x:v>26</x:v>
      </x:c>
      <x:c r="C21" s="742" t="s">
        <x:v>1896</x:v>
      </x:c>
      <x:c r="D21" s="743">
        <x:v>46204</x:v>
      </x:c>
      <x:c r="E21" s="744">
        <x:f>568.8+F21</x:f>
      </x:c>
      <x:c r="F21" s="744">
        <x:v>189.6</x:v>
      </x:c>
      <x:c r="G21" s="744">
        <x:v>617.15</x:v>
      </x:c>
      <x:c r="H21" s="744">
        <x:v>85.32</x:v>
      </x:c>
      <x:c r="I21" s="743">
        <x:v>46275.4833333333</x:v>
      </x:c>
      <x:c r="J21" s="744">
        <x:f>E21-F21</x:f>
      </x:c>
      <x:c r="K21" s="745">
        <x:f>ROUND(I21-D21,0)</x:f>
      </x:c>
      <x:c r="L21" s="746">
        <x:v>0.03</x:v>
      </x:c>
      <x:c r="M21" s="744">
        <x:f>J21*L21</x:f>
      </x:c>
    </x:row>
    <x:row r="22" spans="1:13">
      <x:c r="A22" s="742" t="s">
        <x:v>1044</x:v>
      </x:c>
      <x:c r="B22" s="742" t="s">
        <x:v>26</x:v>
      </x:c>
      <x:c r="C22" s="742" t="s">
        <x:v>1897</x:v>
      </x:c>
      <x:c r="D22" s="743">
        <x:v>46204</x:v>
      </x:c>
      <x:c r="E22" s="744">
        <x:f>3175.584+F22</x:f>
      </x:c>
      <x:c r="F22" s="744">
        <x:v>793.896</x:v>
      </x:c>
      <x:c r="G22" s="744">
        <x:v>3445.5</x:v>
      </x:c>
      <x:c r="H22" s="744">
        <x:v>476.34</x:v>
      </x:c>
      <x:c r="I22" s="743">
        <x:v>46275.4833333333</x:v>
      </x:c>
      <x:c r="J22" s="744">
        <x:f>E22-F22</x:f>
      </x:c>
      <x:c r="K22" s="745">
        <x:f>ROUND(I22-D22,0)</x:f>
      </x:c>
      <x:c r="L22" s="746">
        <x:v>0.03</x:v>
      </x:c>
      <x:c r="M22" s="744">
        <x:f>J22*L22</x:f>
      </x:c>
    </x:row>
    <x:row r="23" spans="1:13">
      <x:c r="A23" s="742" t="s">
        <x:v>629</x:v>
      </x:c>
      <x:c r="B23" s="742" t="s">
        <x:v>105</x:v>
      </x:c>
      <x:c r="C23" s="742" t="s">
        <x:v>1891</x:v>
      </x:c>
      <x:c r="D23" s="743">
        <x:v>46176</x:v>
      </x:c>
      <x:c r="E23" s="744">
        <x:f>131.274+F23</x:f>
      </x:c>
      <x:c r="F23" s="744">
        <x:v>23.166</x:v>
      </x:c>
      <x:c r="G23" s="744">
        <x:v>150.96</x:v>
      </x:c>
      <x:c r="H23" s="744">
        <x:v>19.69</x:v>
      </x:c>
      <x:c r="I23" s="743">
        <x:v>46276.4486111111</x:v>
      </x:c>
      <x:c r="J23" s="744">
        <x:f>E23-F23</x:f>
      </x:c>
      <x:c r="K23" s="745">
        <x:f>ROUND(I23-D23,0)</x:f>
      </x:c>
      <x:c r="L23" s="746">
        <x:v>0.03</x:v>
      </x:c>
      <x:c r="M23" s="744">
        <x:f>J23*L23</x:f>
      </x:c>
    </x:row>
    <x:row r="24" spans="1:13">
      <x:c r="A24" s="742" t="s">
        <x:v>101</x:v>
      </x:c>
      <x:c r="B24" s="742" t="s">
        <x:v>26</x:v>
      </x:c>
      <x:c r="C24" s="742" t="s">
        <x:v>1859</x:v>
      </x:c>
      <x:c r="D24" s="743">
        <x:v>46230</x:v>
      </x:c>
      <x:c r="E24" s="744">
        <x:f>245.004+F24</x:f>
      </x:c>
      <x:c r="F24" s="744">
        <x:v>43.236</x:v>
      </x:c>
      <x:c r="G24" s="744">
        <x:v>265.82</x:v>
      </x:c>
      <x:c r="H24" s="744">
        <x:v>36.75</x:v>
      </x:c>
      <x:c r="I24" s="743">
        <x:v>46276.4618055556</x:v>
      </x:c>
      <x:c r="J24" s="744">
        <x:f>E24-F24</x:f>
      </x:c>
      <x:c r="K24" s="745">
        <x:f>ROUND(I24-D24,0)</x:f>
      </x:c>
      <x:c r="L24" s="746">
        <x:v>0.03</x:v>
      </x:c>
      <x:c r="M24" s="744">
        <x:f>J24*L24</x:f>
      </x:c>
    </x:row>
    <x:row r="25" spans="1:13">
      <x:c r="A25" s="742" t="s">
        <x:v>101</x:v>
      </x:c>
      <x:c r="B25" s="742" t="s">
        <x:v>26</x:v>
      </x:c>
      <x:c r="C25" s="742" t="s">
        <x:v>1860</x:v>
      </x:c>
      <x:c r="D25" s="743">
        <x:v>46230</x:v>
      </x:c>
      <x:c r="E25" s="744">
        <x:f>17.34+F25</x:f>
      </x:c>
      <x:c r="F25" s="744">
        <x:v>3.06</x:v>
      </x:c>
      <x:c r="G25" s="744">
        <x:v>18.81</x:v>
      </x:c>
      <x:c r="H25" s="744">
        <x:v>2.6</x:v>
      </x:c>
      <x:c r="I25" s="743">
        <x:v>46276.4618055556</x:v>
      </x:c>
      <x:c r="J25" s="744">
        <x:f>E25-F25</x:f>
      </x:c>
      <x:c r="K25" s="745">
        <x:f>ROUND(I25-D25,0)</x:f>
      </x:c>
      <x:c r="L25" s="746">
        <x:v>0.03</x:v>
      </x:c>
      <x:c r="M25" s="744">
        <x:f>J25*L25</x:f>
      </x:c>
    </x:row>
    <x:row r="26" spans="1:13">
      <x:c r="A26" s="742" t="s">
        <x:v>114</x:v>
      </x:c>
      <x:c r="B26" s="742" t="s">
        <x:v>26</x:v>
      </x:c>
      <x:c r="C26" s="742" t="s">
        <x:v>1898</x:v>
      </x:c>
      <x:c r="D26" s="743">
        <x:v>46212</x:v>
      </x:c>
      <x:c r="E26" s="744">
        <x:f>237.12+F26</x:f>
      </x:c>
      <x:c r="F26" s="744">
        <x:v>59.28</x:v>
      </x:c>
      <x:c r="G26" s="744">
        <x:v>257.28</x:v>
      </x:c>
      <x:c r="H26" s="744">
        <x:v>35.57</x:v>
      </x:c>
      <x:c r="I26" s="743">
        <x:v>46276.6</x:v>
      </x:c>
      <x:c r="J26" s="744">
        <x:f>E26-F26</x:f>
      </x:c>
      <x:c r="K26" s="745">
        <x:f>ROUND(I26-D26,0)</x:f>
      </x:c>
      <x:c r="L26" s="746">
        <x:v>0.03</x:v>
      </x:c>
      <x:c r="M26" s="744">
        <x:f>J26*L26</x:f>
      </x:c>
    </x:row>
    <x:row r="27" spans="1:13">
      <x:c r="A27" s="742" t="s">
        <x:v>114</x:v>
      </x:c>
      <x:c r="B27" s="742" t="s">
        <x:v>26</x:v>
      </x:c>
      <x:c r="C27" s="742" t="s">
        <x:v>1900</x:v>
      </x:c>
      <x:c r="D27" s="743">
        <x:v>46223</x:v>
      </x:c>
      <x:c r="E27" s="744">
        <x:f>368.928+F27</x:f>
      </x:c>
      <x:c r="F27" s="744">
        <x:v>92.232</x:v>
      </x:c>
      <x:c r="G27" s="744">
        <x:v>400.29</x:v>
      </x:c>
      <x:c r="H27" s="744">
        <x:v>55.34</x:v>
      </x:c>
      <x:c r="I27" s="743">
        <x:v>46276.6</x:v>
      </x:c>
      <x:c r="J27" s="744">
        <x:f>E27-F27</x:f>
      </x:c>
      <x:c r="K27" s="745">
        <x:f>ROUND(I27-D27,0)</x:f>
      </x:c>
      <x:c r="L27" s="746">
        <x:v>0.03</x:v>
      </x:c>
      <x:c r="M27" s="744">
        <x:f>J27*L27</x:f>
      </x:c>
    </x:row>
    <x:row r="28" spans="1:13">
      <x:c r="A28" s="742" t="s">
        <x:v>67</x:v>
      </x:c>
      <x:c r="B28" s="742" t="s">
        <x:v>26</x:v>
      </x:c>
      <x:c r="C28" s="742" t="s">
        <x:v>1892</x:v>
      </x:c>
      <x:c r="D28" s="743">
        <x:v>46177</x:v>
      </x:c>
      <x:c r="E28" s="744">
        <x:f>324.288+F28</x:f>
      </x:c>
      <x:c r="F28" s="744">
        <x:v>81.072</x:v>
      </x:c>
      <x:c r="G28" s="744">
        <x:v>372.93</x:v>
      </x:c>
      <x:c r="H28" s="744">
        <x:v>48.64</x:v>
      </x:c>
      <x:c r="I28" s="743">
        <x:v>46276.6027777778</x:v>
      </x:c>
      <x:c r="J28" s="744">
        <x:f>E28-F28</x:f>
      </x:c>
      <x:c r="K28" s="745">
        <x:f>ROUND(I28-D28,0)</x:f>
      </x:c>
      <x:c r="L28" s="746">
        <x:v>0.03</x:v>
      </x:c>
      <x:c r="M28" s="744">
        <x:f>J28*L28</x:f>
      </x:c>
    </x:row>
    <x:row r="29" spans="1:13">
      <x:c r="A29" s="742" t="s">
        <x:v>690</x:v>
      </x:c>
      <x:c r="B29" s="742" t="s">
        <x:v>105</x:v>
      </x:c>
      <x:c r="C29" s="742" t="s">
        <x:v>1905</x:v>
      </x:c>
      <x:c r="D29" s="743">
        <x:v>46245</x:v>
      </x:c>
      <x:c r="E29" s="744">
        <x:f>138.822+F29</x:f>
      </x:c>
      <x:c r="F29" s="744">
        <x:v>24.498</x:v>
      </x:c>
      <x:c r="G29" s="744">
        <x:v>159.64</x:v>
      </x:c>
      <x:c r="H29" s="744">
        <x:v>20.82</x:v>
      </x:c>
      <x:c r="I29" s="743">
        <x:v>46279.6041666667</x:v>
      </x:c>
      <x:c r="J29" s="744">
        <x:f>E29-F29</x:f>
      </x:c>
      <x:c r="K29" s="745">
        <x:f>ROUND(I29-D29,0)</x:f>
      </x:c>
      <x:c r="L29" s="746">
        <x:v>0.03</x:v>
      </x:c>
      <x:c r="M29" s="744">
        <x:f>J29*L29</x:f>
      </x:c>
    </x:row>
    <x:row r="30" spans="1:13">
      <x:c r="A30" s="742" t="s">
        <x:v>225</x:v>
      </x:c>
      <x:c r="B30" s="742" t="s">
        <x:v>105</x:v>
      </x:c>
      <x:c r="C30" s="742" t="s">
        <x:v>1911</x:v>
      </x:c>
      <x:c r="D30" s="743">
        <x:v>46267</x:v>
      </x:c>
      <x:c r="E30" s="744">
        <x:f>936.81+F30</x:f>
      </x:c>
      <x:c r="F30" s="744">
        <x:v>312.27</x:v>
      </x:c>
      <x:c r="G30" s="744">
        <x:v>0</x:v>
      </x:c>
      <x:c r="H30" s="744">
        <x:v>140.52</x:v>
      </x:c>
      <x:c r="I30" s="743">
        <x:v>46280.4722222222</x:v>
      </x:c>
      <x:c r="J30" s="744">
        <x:f>E30-F30</x:f>
      </x:c>
      <x:c r="K30" s="745">
        <x:f>ROUND(I30-D30,0)</x:f>
      </x:c>
      <x:c r="L30" s="746">
        <x:v>0.035</x:v>
      </x:c>
      <x:c r="M30" s="744">
        <x:f>J30*L30</x:f>
      </x:c>
    </x:row>
    <x:row r="31" spans="1:13">
      <x:c r="A31" s="742" t="s">
        <x:v>1218</x:v>
      </x:c>
      <x:c r="B31" s="742" t="s">
        <x:v>53</x:v>
      </x:c>
      <x:c r="C31" s="742" t="s">
        <x:v>1902</x:v>
      </x:c>
      <x:c r="D31" s="743">
        <x:v>46231</x:v>
      </x:c>
      <x:c r="E31" s="744">
        <x:f>325.278+F31</x:f>
      </x:c>
      <x:c r="F31" s="744">
        <x:v>57.402</x:v>
      </x:c>
      <x:c r="G31" s="744">
        <x:v>374.07</x:v>
      </x:c>
      <x:c r="H31" s="744">
        <x:v>48.79</x:v>
      </x:c>
      <x:c r="I31" s="743">
        <x:v>46280.6833333333</x:v>
      </x:c>
      <x:c r="J31" s="744">
        <x:f>E31-F31</x:f>
      </x:c>
      <x:c r="K31" s="745">
        <x:f>ROUND(I31-D31,0)</x:f>
      </x:c>
      <x:c r="L31" s="746">
        <x:v>0.03</x:v>
      </x:c>
      <x:c r="M31" s="744">
        <x:f>J31*L31</x:f>
      </x:c>
    </x:row>
    <x:row r="32" spans="1:13">
      <x:c r="A32" s="742" t="s">
        <x:v>822</x:v>
      </x:c>
      <x:c r="B32" s="742" t="s">
        <x:v>26</x:v>
      </x:c>
      <x:c r="C32" s="742" t="s">
        <x:v>1948</x:v>
      </x:c>
      <x:c r="D32" s="743">
        <x:v>46273</x:v>
      </x:c>
      <x:c r="E32" s="744">
        <x:f>138.72+F32</x:f>
      </x:c>
      <x:c r="F32" s="744">
        <x:v>24.48</x:v>
      </x:c>
      <x:c r="G32" s="744">
        <x:v>0</x:v>
      </x:c>
      <x:c r="H32" s="744">
        <x:v>20.81</x:v>
      </x:c>
      <x:c r="I32" s="743">
        <x:v>46281.4805555556</x:v>
      </x:c>
      <x:c r="J32" s="744">
        <x:f>E32-F32</x:f>
      </x:c>
      <x:c r="K32" s="745">
        <x:f>ROUND(I32-D32,0)</x:f>
      </x:c>
      <x:c r="L32" s="746">
        <x:v>0.035</x:v>
      </x:c>
      <x:c r="M32" s="744">
        <x:f>J32*L32</x:f>
      </x:c>
    </x:row>
    <x:row r="33" spans="1:13">
      <x:c r="A33" s="742" t="s">
        <x:v>179</x:v>
      </x:c>
      <x:c r="B33" s="742" t="s">
        <x:v>320</x:v>
      </x:c>
      <x:c r="C33" s="742" t="s">
        <x:v>1949</x:v>
      </x:c>
      <x:c r="D33" s="743">
        <x:v>46273</x:v>
      </x:c>
      <x:c r="E33" s="744">
        <x:f>1292.85+F33</x:f>
      </x:c>
      <x:c r="F33" s="744">
        <x:v>228.15</x:v>
      </x:c>
      <x:c r="G33" s="744">
        <x:v>0</x:v>
      </x:c>
      <x:c r="H33" s="744">
        <x:v>193.93</x:v>
      </x:c>
      <x:c r="I33" s="743">
        <x:v>46281.4819444444</x:v>
      </x:c>
      <x:c r="J33" s="744">
        <x:f>E33-F33</x:f>
      </x:c>
      <x:c r="K33" s="745">
        <x:f>ROUND(I33-D33,0)</x:f>
      </x:c>
      <x:c r="L33" s="746">
        <x:v>0.035</x:v>
      </x:c>
      <x:c r="M33" s="744">
        <x:f>J33*L33</x:f>
      </x:c>
    </x:row>
    <x:row r="34" spans="1:13">
      <x:c r="A34" s="742" t="s">
        <x:v>25</x:v>
      </x:c>
      <x:c r="B34" s="742" t="s">
        <x:v>26</x:v>
      </x:c>
      <x:c r="C34" s="742" t="s">
        <x:v>1950</x:v>
      </x:c>
      <x:c r="D34" s="743">
        <x:v>46273</x:v>
      </x:c>
      <x:c r="E34" s="744">
        <x:f>489.6+F34</x:f>
      </x:c>
      <x:c r="F34" s="744">
        <x:v>122.4</x:v>
      </x:c>
      <x:c r="G34" s="744">
        <x:v>0</x:v>
      </x:c>
      <x:c r="H34" s="744">
        <x:v>73.44</x:v>
      </x:c>
      <x:c r="I34" s="743">
        <x:v>46281.4826388889</x:v>
      </x:c>
      <x:c r="J34" s="744">
        <x:f>E34-F34</x:f>
      </x:c>
      <x:c r="K34" s="745">
        <x:f>ROUND(I34-D34,0)</x:f>
      </x:c>
      <x:c r="L34" s="746">
        <x:v>0.035</x:v>
      </x:c>
      <x:c r="M34" s="744">
        <x:f>J34*L34</x:f>
      </x:c>
    </x:row>
    <x:row r="35" spans="1:13">
      <x:c r="A35" s="742" t="s">
        <x:v>697</x:v>
      </x:c>
      <x:c r="B35" s="742" t="s">
        <x:v>53</x:v>
      </x:c>
      <x:c r="C35" s="742" t="s">
        <x:v>1951</x:v>
      </x:c>
      <x:c r="D35" s="743">
        <x:v>46274</x:v>
      </x:c>
      <x:c r="E35" s="744">
        <x:f>1400.94+F35</x:f>
      </x:c>
      <x:c r="F35" s="744">
        <x:v>466.98</x:v>
      </x:c>
      <x:c r="G35" s="744">
        <x:v>0</x:v>
      </x:c>
      <x:c r="H35" s="744">
        <x:v>210.14</x:v>
      </x:c>
      <x:c r="I35" s="743">
        <x:v>46281.4840277778</x:v>
      </x:c>
      <x:c r="J35" s="744">
        <x:f>E35-F35</x:f>
      </x:c>
      <x:c r="K35" s="745">
        <x:f>ROUND(I35-D35,0)</x:f>
      </x:c>
      <x:c r="L35" s="746">
        <x:v>0.035</x:v>
      </x:c>
      <x:c r="M35" s="744">
        <x:f>J35*L35</x:f>
      </x:c>
    </x:row>
    <x:row r="36" spans="1:13">
      <x:c r="A36" s="742" t="s">
        <x:v>675</x:v>
      </x:c>
      <x:c r="B36" s="742" t="s">
        <x:v>1238</x:v>
      </x:c>
      <x:c r="C36" s="742" t="s">
        <x:v>1952</x:v>
      </x:c>
      <x:c r="D36" s="743">
        <x:v>46274</x:v>
      </x:c>
      <x:c r="E36" s="744">
        <x:f>516.78+F36</x:f>
      </x:c>
      <x:c r="F36" s="744">
        <x:v>172.26</x:v>
      </x:c>
      <x:c r="G36" s="744">
        <x:v>0</x:v>
      </x:c>
      <x:c r="H36" s="744">
        <x:v>77.52</x:v>
      </x:c>
      <x:c r="I36" s="743">
        <x:v>46281.4854166667</x:v>
      </x:c>
      <x:c r="J36" s="744">
        <x:f>E36-F36</x:f>
      </x:c>
      <x:c r="K36" s="745">
        <x:f>ROUND(I36-D36,0)</x:f>
      </x:c>
      <x:c r="L36" s="746">
        <x:v>0.035</x:v>
      </x:c>
      <x:c r="M36" s="744">
        <x:f>J36*L36</x:f>
      </x:c>
    </x:row>
    <x:row r="37" spans="1:13">
      <x:c r="A37" s="742" t="s">
        <x:v>114</x:v>
      </x:c>
      <x:c r="B37" s="742" t="s">
        <x:v>26</x:v>
      </x:c>
      <x:c r="C37" s="742" t="s">
        <x:v>1953</x:v>
      </x:c>
      <x:c r="D37" s="743">
        <x:v>46276</x:v>
      </x:c>
      <x:c r="E37" s="744">
        <x:f>145.44+F37</x:f>
      </x:c>
      <x:c r="F37" s="744">
        <x:v>36.36</x:v>
      </x:c>
      <x:c r="G37" s="744">
        <x:v>0</x:v>
      </x:c>
      <x:c r="H37" s="744">
        <x:v>21.82</x:v>
      </x:c>
      <x:c r="I37" s="743">
        <x:v>46281.4868055556</x:v>
      </x:c>
      <x:c r="J37" s="744">
        <x:f>E37-F37</x:f>
      </x:c>
      <x:c r="K37" s="745">
        <x:f>ROUND(I37-D37,0)</x:f>
      </x:c>
      <x:c r="L37" s="746">
        <x:v>0.035</x:v>
      </x:c>
      <x:c r="M37" s="744">
        <x:f>J37*L37</x:f>
      </x:c>
    </x:row>
    <x:row r="38" spans="1:13">
      <x:c r="A38" s="742" t="s">
        <x:v>52</x:v>
      </x:c>
      <x:c r="B38" s="742" t="s">
        <x:v>53</x:v>
      </x:c>
      <x:c r="C38" s="742" t="s">
        <x:v>1954</x:v>
      </x:c>
      <x:c r="D38" s="743">
        <x:v>46272</x:v>
      </x:c>
      <x:c r="E38" s="744">
        <x:f>159.3+F38</x:f>
      </x:c>
      <x:c r="F38" s="744">
        <x:v>53.1</x:v>
      </x:c>
      <x:c r="G38" s="744">
        <x:v>0</x:v>
      </x:c>
      <x:c r="H38" s="744">
        <x:v>23.9</x:v>
      </x:c>
      <x:c r="I38" s="743">
        <x:v>46281.4895833333</x:v>
      </x:c>
      <x:c r="J38" s="744">
        <x:f>E38-F38</x:f>
      </x:c>
      <x:c r="K38" s="745">
        <x:f>ROUND(I38-D38,0)</x:f>
      </x:c>
      <x:c r="L38" s="746">
        <x:v>0.035</x:v>
      </x:c>
      <x:c r="M38" s="744">
        <x:f>J38*L38</x:f>
      </x:c>
    </x:row>
    <x:row r="39" spans="1:13">
      <x:c r="A39" s="742" t="s">
        <x:v>697</x:v>
      </x:c>
      <x:c r="B39" s="742" t="s">
        <x:v>53</x:v>
      </x:c>
      <x:c r="C39" s="742" t="s">
        <x:v>1904</x:v>
      </x:c>
      <x:c r="D39" s="743">
        <x:v>46240</x:v>
      </x:c>
      <x:c r="E39" s="744">
        <x:f>1419.39+F39</x:f>
      </x:c>
      <x:c r="F39" s="744">
        <x:v>473.13</x:v>
      </x:c>
      <x:c r="G39" s="744">
        <x:v>1540.04</x:v>
      </x:c>
      <x:c r="H39" s="744">
        <x:v>212.91</x:v>
      </x:c>
      <x:c r="I39" s="743">
        <x:v>46282.3666666667</x:v>
      </x:c>
      <x:c r="J39" s="744">
        <x:f>E39-F39</x:f>
      </x:c>
      <x:c r="K39" s="745">
        <x:f>ROUND(I39-D39,0)</x:f>
      </x:c>
      <x:c r="L39" s="746">
        <x:v>0.03</x:v>
      </x:c>
      <x:c r="M39" s="744">
        <x:f>J39*L39</x:f>
      </x:c>
    </x:row>
    <x:row r="40" spans="1:13">
      <x:c r="A40" s="742" t="s">
        <x:v>332</x:v>
      </x:c>
      <x:c r="B40" s="742" t="s">
        <x:v>333</x:v>
      </x:c>
      <x:c r="C40" s="742" t="s">
        <x:v>1906</x:v>
      </x:c>
      <x:c r="D40" s="743">
        <x:v>46255</x:v>
      </x:c>
      <x:c r="E40" s="744">
        <x:f>241.281+F40</x:f>
      </x:c>
      <x:c r="F40" s="744">
        <x:v>49.419</x:v>
      </x:c>
      <x:c r="G40" s="744">
        <x:v>177.47</x:v>
      </x:c>
      <x:c r="H40" s="744">
        <x:v>36.19</x:v>
      </x:c>
      <x:c r="I40" s="743">
        <x:v>46282.3854166667</x:v>
      </x:c>
      <x:c r="J40" s="744">
        <x:f>E40-F40</x:f>
      </x:c>
      <x:c r="K40" s="745">
        <x:f>ROUND(I40-D40,0)</x:f>
      </x:c>
      <x:c r="L40" s="746">
        <x:v>0.035</x:v>
      </x:c>
      <x:c r="M40" s="744">
        <x:f>J40*L40</x:f>
      </x:c>
    </x:row>
    <x:row r="41" spans="1:13">
      <x:c r="A41" s="742" t="s">
        <x:v>70</x:v>
      </x:c>
      <x:c r="B41" s="742" t="s">
        <x:v>873</x:v>
      </x:c>
      <x:c r="C41" s="742" t="s">
        <x:v>1862</x:v>
      </x:c>
      <x:c r="D41" s="743">
        <x:v>46251</x:v>
      </x:c>
      <x:c r="E41" s="744">
        <x:f>242.88+F41</x:f>
      </x:c>
      <x:c r="F41" s="744">
        <x:v>60.72</x:v>
      </x:c>
      <x:c r="G41" s="744">
        <x:v>274.45</x:v>
      </x:c>
      <x:c r="H41" s="744">
        <x:v>36.43</x:v>
      </x:c>
      <x:c r="I41" s="743">
        <x:v>46282.4381944444</x:v>
      </x:c>
      <x:c r="J41" s="744">
        <x:f>E41-F41</x:f>
      </x:c>
      <x:c r="K41" s="745">
        <x:f>ROUND(I41-D41,0)</x:f>
      </x:c>
      <x:c r="L41" s="746">
        <x:v>0.03</x:v>
      </x:c>
      <x:c r="M41" s="744">
        <x:f>J41*L41</x:f>
      </x:c>
    </x:row>
    <x:row r="42" spans="1:13">
      <x:c r="A42" s="742" t="s">
        <x:v>36</x:v>
      </x:c>
      <x:c r="B42" s="742" t="s">
        <x:v>26</x:v>
      </x:c>
      <x:c r="C42" s="742" t="s">
        <x:v>1868</x:v>
      </x:c>
      <x:c r="D42" s="743">
        <x:v>46219</x:v>
      </x:c>
      <x:c r="E42" s="744">
        <x:f>367.2+F42</x:f>
      </x:c>
      <x:c r="F42" s="744">
        <x:v>122.4</x:v>
      </x:c>
      <x:c r="G42" s="744">
        <x:v>398.42</x:v>
      </x:c>
      <x:c r="H42" s="744">
        <x:v>55.08</x:v>
      </x:c>
      <x:c r="I42" s="743">
        <x:v>46283.6111111111</x:v>
      </x:c>
      <x:c r="J42" s="744">
        <x:f>E42-F42</x:f>
      </x:c>
      <x:c r="K42" s="745">
        <x:f>ROUND(I42-D42,0)</x:f>
      </x:c>
      <x:c r="L42" s="746">
        <x:v>0.03</x:v>
      </x:c>
      <x:c r="M42" s="744">
        <x:f>J42*L42</x:f>
      </x:c>
    </x:row>
    <x:row r="43" spans="1:13">
      <x:c r="A43" s="742" t="s">
        <x:v>101</x:v>
      </x:c>
      <x:c r="B43" s="742" t="s">
        <x:v>26</x:v>
      </x:c>
      <x:c r="C43" s="742" t="s">
        <x:v>1878</x:v>
      </x:c>
      <x:c r="D43" s="743">
        <x:v>46238</x:v>
      </x:c>
      <x:c r="E43" s="744">
        <x:f>146.778+F43</x:f>
      </x:c>
      <x:c r="F43" s="744">
        <x:v>25.902</x:v>
      </x:c>
      <x:c r="G43" s="744">
        <x:v>159.25</x:v>
      </x:c>
      <x:c r="H43" s="744">
        <x:v>22.02</x:v>
      </x:c>
      <x:c r="I43" s="743">
        <x:v>46283.6131944444</x:v>
      </x:c>
      <x:c r="J43" s="744">
        <x:f>E43-F43</x:f>
      </x:c>
      <x:c r="K43" s="745">
        <x:f>ROUND(I43-D43,0)</x:f>
      </x:c>
      <x:c r="L43" s="746">
        <x:v>0.03</x:v>
      </x:c>
      <x:c r="M43" s="744">
        <x:f>J43*L43</x:f>
      </x:c>
    </x:row>
    <x:row r="44" spans="1:13">
      <x:c r="A44" s="742" t="s">
        <x:v>179</x:v>
      </x:c>
      <x:c r="B44" s="742" t="s">
        <x:v>320</x:v>
      </x:c>
      <x:c r="C44" s="742" t="s">
        <x:v>1805</x:v>
      </x:c>
      <x:c r="D44" s="743">
        <x:v>46146</x:v>
      </x:c>
      <x:c r="E44" s="744">
        <x:f>632.91+F44</x:f>
      </x:c>
      <x:c r="F44" s="744">
        <x:v>111.69</x:v>
      </x:c>
      <x:c r="G44" s="744">
        <x:v>686.71</x:v>
      </x:c>
      <x:c r="H44" s="744">
        <x:v>94.94</x:v>
      </x:c>
      <x:c r="I44" s="743">
        <x:v>46283.6152777778</x:v>
      </x:c>
      <x:c r="J44" s="744">
        <x:f>E44-F44</x:f>
      </x:c>
      <x:c r="K44" s="745">
        <x:f>ROUND(I44-D44,0)</x:f>
      </x:c>
      <x:c r="L44" s="746">
        <x:v>0.03</x:v>
      </x:c>
      <x:c r="M44" s="744">
        <x:f>J44*L44</x:f>
      </x:c>
    </x:row>
    <x:row r="45" spans="1:13">
      <x:c r="A45" s="742" t="s">
        <x:v>491</x:v>
      </x:c>
      <x:c r="B45" s="742" t="s">
        <x:v>1508</x:v>
      </x:c>
      <x:c r="C45" s="742" t="s">
        <x:v>1894</x:v>
      </x:c>
      <x:c r="D45" s="743">
        <x:v>46202</x:v>
      </x:c>
      <x:c r="E45" s="744">
        <x:f>3358.62+F45</x:f>
      </x:c>
      <x:c r="F45" s="744">
        <x:v>1119.54</x:v>
      </x:c>
      <x:c r="G45" s="744">
        <x:v>500</x:v>
      </x:c>
      <x:c r="H45" s="744">
        <x:v>503.79</x:v>
      </x:c>
      <x:c r="I45" s="743">
        <x:v>46283.6986111111</x:v>
      </x:c>
      <x:c r="J45" s="744">
        <x:f>E45-F45</x:f>
      </x:c>
      <x:c r="K45" s="745">
        <x:f>ROUND(I45-D45,0)</x:f>
      </x:c>
      <x:c r="L45" s="746">
        <x:v>0.03</x:v>
      </x:c>
      <x:c r="M45" s="744">
        <x:f>J45*L45</x:f>
      </x:c>
    </x:row>
    <x:row r="46" spans="1:13">
      <x:c r="A46" s="742" t="s">
        <x:v>267</x:v>
      </x:c>
      <x:c r="B46" s="742" t="s">
        <x:v>26</x:v>
      </x:c>
      <x:c r="C46" s="742" t="s">
        <x:v>1887</x:v>
      </x:c>
      <x:c r="D46" s="743">
        <x:v>46265</x:v>
      </x:c>
      <x:c r="E46" s="744">
        <x:f>70.992+F46</x:f>
      </x:c>
      <x:c r="F46" s="744">
        <x:v>10.608</x:v>
      </x:c>
      <x:c r="G46" s="744">
        <x:v>77.02</x:v>
      </x:c>
      <x:c r="H46" s="744">
        <x:v>10.65</x:v>
      </x:c>
      <x:c r="I46" s="743">
        <x:v>46286.4090277778</x:v>
      </x:c>
      <x:c r="J46" s="744">
        <x:f>E46-F46</x:f>
      </x:c>
      <x:c r="K46" s="745">
        <x:f>ROUND(I46-D46,0)</x:f>
      </x:c>
      <x:c r="L46" s="746">
        <x:v>0.035</x:v>
      </x:c>
      <x:c r="M46" s="744">
        <x:f>J46*L46</x:f>
      </x:c>
    </x:row>
    <x:row r="47" spans="1:13">
      <x:c r="A47" s="742" t="s">
        <x:v>542</x:v>
      </x:c>
      <x:c r="B47" s="742" t="s">
        <x:v>320</x:v>
      </x:c>
      <x:c r="C47" s="742" t="s">
        <x:v>1784</x:v>
      </x:c>
      <x:c r="D47" s="743">
        <x:v>46139</x:v>
      </x:c>
      <x:c r="E47" s="744">
        <x:f>182.733+F47</x:f>
      </x:c>
      <x:c r="F47" s="744">
        <x:v>32.247</x:v>
      </x:c>
      <x:c r="G47" s="744">
        <x:v>110.15</x:v>
      </x:c>
      <x:c r="H47" s="744">
        <x:v>27.41</x:v>
      </x:c>
      <x:c r="I47" s="743">
        <x:v>46286.6048611111</x:v>
      </x:c>
      <x:c r="J47" s="744">
        <x:f>E47-F47</x:f>
      </x:c>
      <x:c r="K47" s="745">
        <x:f>ROUND(I47-D47,0)</x:f>
      </x:c>
      <x:c r="L47" s="746">
        <x:v>0.03</x:v>
      </x:c>
      <x:c r="M47" s="744">
        <x:f>J47*L47</x:f>
      </x:c>
    </x:row>
    <x:row r="48" spans="1:13">
      <x:c r="A48" s="742" t="s">
        <x:v>1231</x:v>
      </x:c>
      <x:c r="B48" s="742" t="s">
        <x:v>320</x:v>
      </x:c>
      <x:c r="C48" s="742" t="s">
        <x:v>1899</x:v>
      </x:c>
      <x:c r="D48" s="743">
        <x:v>46216</x:v>
      </x:c>
      <x:c r="E48" s="744">
        <x:f>189.108+F48</x:f>
      </x:c>
      <x:c r="F48" s="744">
        <x:v>33.372</x:v>
      </x:c>
      <x:c r="G48" s="744">
        <x:v>205.19</x:v>
      </x:c>
      <x:c r="H48" s="744">
        <x:v>28.37</x:v>
      </x:c>
      <x:c r="I48" s="743">
        <x:v>46286.6451388889</x:v>
      </x:c>
      <x:c r="J48" s="744">
        <x:f>E48-F48</x:f>
      </x:c>
      <x:c r="K48" s="745">
        <x:f>ROUND(I48-D48,0)</x:f>
      </x:c>
      <x:c r="L48" s="746">
        <x:v>0.03</x:v>
      </x:c>
      <x:c r="M48" s="744">
        <x:f>J48*L48</x:f>
      </x:c>
    </x:row>
    <x:row r="49" spans="1:13">
      <x:c r="A49" s="742" t="s">
        <x:v>1231</x:v>
      </x:c>
      <x:c r="B49" s="742" t="s">
        <x:v>320</x:v>
      </x:c>
      <x:c r="C49" s="742" t="s">
        <x:v>1903</x:v>
      </x:c>
      <x:c r="D49" s="743">
        <x:v>46233</x:v>
      </x:c>
      <x:c r="E49" s="744">
        <x:f>237.048+F49</x:f>
      </x:c>
      <x:c r="F49" s="744">
        <x:v>41.832</x:v>
      </x:c>
      <x:c r="G49" s="744">
        <x:v>257.2</x:v>
      </x:c>
      <x:c r="H49" s="744">
        <x:v>35.56</x:v>
      </x:c>
      <x:c r="I49" s="743">
        <x:v>46286.6451388889</x:v>
      </x:c>
      <x:c r="J49" s="744">
        <x:f>E49-F49</x:f>
      </x:c>
      <x:c r="K49" s="745">
        <x:f>ROUND(I49-D49,0)</x:f>
      </x:c>
      <x:c r="L49" s="746">
        <x:v>0.03</x:v>
      </x:c>
      <x:c r="M49" s="744">
        <x:f>J49*L49</x:f>
      </x:c>
    </x:row>
    <x:row r="50" spans="1:13">
      <x:c r="A50" s="742" t="s">
        <x:v>57</x:v>
      </x:c>
      <x:c r="B50" s="742" t="s">
        <x:v>26</x:v>
      </x:c>
      <x:c r="C50" s="742" t="s">
        <x:v>1889</x:v>
      </x:c>
      <x:c r="D50" s="743">
        <x:v>46149</x:v>
      </x:c>
      <x:c r="E50" s="744">
        <x:f>400.32+F50</x:f>
      </x:c>
      <x:c r="F50" s="744">
        <x:v>100.08</x:v>
      </x:c>
      <x:c r="G50" s="744">
        <x:v>434.35</x:v>
      </x:c>
      <x:c r="H50" s="744">
        <x:v>60.05</x:v>
      </x:c>
      <x:c r="I50" s="743">
        <x:v>46287.45</x:v>
      </x:c>
      <x:c r="J50" s="744">
        <x:f>E50-F50</x:f>
      </x:c>
      <x:c r="K50" s="745">
        <x:f>ROUND(I50-D50,0)</x:f>
      </x:c>
      <x:c r="L50" s="746">
        <x:v>0.03</x:v>
      </x:c>
      <x:c r="M50" s="744">
        <x:f>J50*L50</x:f>
      </x:c>
    </x:row>
    <x:row r="51" spans="1:13">
      <x:c r="A51" s="742" t="s">
        <x:v>57</x:v>
      </x:c>
      <x:c r="B51" s="742" t="s">
        <x:v>26</x:v>
      </x:c>
      <x:c r="C51" s="742" t="s">
        <x:v>1890</x:v>
      </x:c>
      <x:c r="D51" s="743">
        <x:v>46156</x:v>
      </x:c>
      <x:c r="E51" s="744">
        <x:f>388.512+F51</x:f>
      </x:c>
      <x:c r="F51" s="744">
        <x:v>97.128</x:v>
      </x:c>
      <x:c r="G51" s="744">
        <x:v>421.53</x:v>
      </x:c>
      <x:c r="H51" s="744">
        <x:v>58.28</x:v>
      </x:c>
      <x:c r="I51" s="743">
        <x:v>46287.45</x:v>
      </x:c>
      <x:c r="J51" s="744">
        <x:f>E51-F51</x:f>
      </x:c>
      <x:c r="K51" s="745">
        <x:f>ROUND(I51-D51,0)</x:f>
      </x:c>
      <x:c r="L51" s="746">
        <x:v>0.03</x:v>
      </x:c>
      <x:c r="M51" s="744">
        <x:f>J51*L51</x:f>
      </x:c>
    </x:row>
    <x:row r="52" spans="1:13">
      <x:c r="A52" s="742" t="s">
        <x:v>1550</x:v>
      </x:c>
      <x:c r="B52" s="742" t="s">
        <x:v>26</x:v>
      </x:c>
      <x:c r="C52" s="742" t="s">
        <x:v>1912</x:v>
      </x:c>
      <x:c r="D52" s="743">
        <x:v>46268</x:v>
      </x:c>
      <x:c r="E52" s="744">
        <x:f>571.88+F52</x:f>
      </x:c>
      <x:c r="F52" s="744">
        <x:v>100.92</x:v>
      </x:c>
      <x:c r="G52" s="744">
        <x:v>620.49</x:v>
      </x:c>
      <x:c r="H52" s="744">
        <x:v>85.78</x:v>
      </x:c>
      <x:c r="I52" s="743">
        <x:v>46288.6305555556</x:v>
      </x:c>
      <x:c r="J52" s="744">
        <x:f>E52-F52</x:f>
      </x:c>
      <x:c r="K52" s="745">
        <x:f>ROUND(I52-D52,0)</x:f>
      </x:c>
      <x:c r="L52" s="746">
        <x:v>0.035</x:v>
      </x:c>
      <x:c r="M52" s="744">
        <x:f>J52*L52</x:f>
      </x:c>
    </x:row>
    <x:row r="53" spans="1:13">
      <x:c r="A53" s="742" t="s">
        <x:v>225</x:v>
      </x:c>
      <x:c r="B53" s="742" t="s">
        <x:v>105</x:v>
      </x:c>
      <x:c r="C53" s="742" t="s">
        <x:v>1913</x:v>
      </x:c>
      <x:c r="D53" s="743">
        <x:v>46281</x:v>
      </x:c>
      <x:c r="E53" s="744">
        <x:f>405.9+F53</x:f>
      </x:c>
      <x:c r="F53" s="744">
        <x:v>135.3</x:v>
      </x:c>
      <x:c r="G53" s="744">
        <x:v>440.41</x:v>
      </x:c>
      <x:c r="H53" s="744">
        <x:v>60.89</x:v>
      </x:c>
      <x:c r="I53" s="743">
        <x:v>46290.3486111111</x:v>
      </x:c>
      <x:c r="J53" s="744">
        <x:f>E53-F53</x:f>
      </x:c>
      <x:c r="K53" s="745">
        <x:f>ROUND(I53-D53,0)</x:f>
      </x:c>
      <x:c r="L53" s="746">
        <x:v>0.035</x:v>
      </x:c>
      <x:c r="M53" s="744">
        <x:f>J53*L53</x:f>
      </x:c>
    </x:row>
    <x:row r="54" spans="1:13">
      <x:c r="A54" s="742" t="s">
        <x:v>101</x:v>
      </x:c>
      <x:c r="B54" s="742" t="s">
        <x:v>26</x:v>
      </x:c>
      <x:c r="C54" s="742" t="s">
        <x:v>1880</x:v>
      </x:c>
      <x:c r="D54" s="743">
        <x:v>46245</x:v>
      </x:c>
      <x:c r="E54" s="744">
        <x:f>123.42+F54</x:f>
      </x:c>
      <x:c r="F54" s="744">
        <x:v>21.78</x:v>
      </x:c>
      <x:c r="G54" s="744">
        <x:v>133.91</x:v>
      </x:c>
      <x:c r="H54" s="744">
        <x:v>18.51</x:v>
      </x:c>
      <x:c r="I54" s="743">
        <x:v>46290.4430555556</x:v>
      </x:c>
      <x:c r="J54" s="744">
        <x:f>E54-F54</x:f>
      </x:c>
      <x:c r="K54" s="745">
        <x:f>ROUND(I54-D54,0)</x:f>
      </x:c>
      <x:c r="L54" s="746">
        <x:v>0.03</x:v>
      </x:c>
      <x:c r="M54" s="744">
        <x:f>J54*L54</x:f>
      </x:c>
    </x:row>
    <x:row r="55" spans="1:13">
      <x:c r="A55" s="742" t="s">
        <x:v>136</x:v>
      </x:c>
      <x:c r="B55" s="742" t="s">
        <x:v>26</x:v>
      </x:c>
      <x:c r="C55" s="742" t="s">
        <x:v>1885</x:v>
      </x:c>
      <x:c r="D55" s="743">
        <x:v>46262</x:v>
      </x:c>
      <x:c r="E55" s="744">
        <x:f>1025.1+F55</x:f>
      </x:c>
      <x:c r="F55" s="744">
        <x:v>341.7</x:v>
      </x:c>
      <x:c r="G55" s="744">
        <x:v>1112.24</x:v>
      </x:c>
      <x:c r="H55" s="744">
        <x:v>153.77</x:v>
      </x:c>
      <x:c r="I55" s="743">
        <x:v>46293.4513888889</x:v>
      </x:c>
      <x:c r="J55" s="744">
        <x:f>E55-F55</x:f>
      </x:c>
      <x:c r="K55" s="745">
        <x:f>ROUND(I55-D55,0)</x:f>
      </x:c>
      <x:c r="L55" s="746">
        <x:v>0.03</x:v>
      </x:c>
      <x:c r="M55" s="744">
        <x:f>J55*L55</x:f>
      </x:c>
    </x:row>
    <x:row r="56" spans="1:13">
      <x:c r="A56" s="742" t="s">
        <x:v>84</x:v>
      </x:c>
      <x:c r="B56" s="742" t="s">
        <x:v>26</x:v>
      </x:c>
      <x:c r="C56" s="742" t="s">
        <x:v>1895</x:v>
      </x:c>
      <x:c r="D56" s="743">
        <x:v>46203</x:v>
      </x:c>
      <x:c r="E56" s="744">
        <x:f>392.04+F56</x:f>
      </x:c>
      <x:c r="F56" s="744">
        <x:v>130.68</x:v>
      </x:c>
      <x:c r="G56" s="744">
        <x:v>425.37</x:v>
      </x:c>
      <x:c r="H56" s="744">
        <x:v>58.81</x:v>
      </x:c>
      <x:c r="I56" s="743">
        <x:v>46294.3993055556</x:v>
      </x:c>
      <x:c r="J56" s="744">
        <x:f>E56-F56</x:f>
      </x:c>
      <x:c r="K56" s="745">
        <x:f>ROUND(I56-D56,0)</x:f>
      </x:c>
      <x:c r="L56" s="746">
        <x:v>0.03</x:v>
      </x:c>
      <x:c r="M56" s="744">
        <x:f>J56*L56</x:f>
      </x:c>
    </x:row>
    <x:row r="57" spans="1:13">
      <x:c r="A57" s="742" t="s">
        <x:v>690</x:v>
      </x:c>
      <x:c r="B57" s="742" t="s">
        <x:v>105</x:v>
      </x:c>
      <x:c r="C57" s="742" t="s">
        <x:v>1908</x:v>
      </x:c>
      <x:c r="D57" s="743">
        <x:v>46260</x:v>
      </x:c>
      <x:c r="E57" s="744">
        <x:f>100.98+F57</x:f>
      </x:c>
      <x:c r="F57" s="744">
        <x:v>17.82</x:v>
      </x:c>
      <x:c r="G57" s="744">
        <x:v>116.13</x:v>
      </x:c>
      <x:c r="H57" s="744">
        <x:v>15.15</x:v>
      </x:c>
      <x:c r="I57" s="743">
        <x:v>46294.4020833333</x:v>
      </x:c>
      <x:c r="J57" s="744">
        <x:f>E57-F57</x:f>
      </x:c>
      <x:c r="K57" s="745">
        <x:f>ROUND(I57-D57,0)</x:f>
      </x:c>
      <x:c r="L57" s="746">
        <x:v>0.03</x:v>
      </x:c>
      <x:c r="M57" s="744">
        <x:f>J57*L57</x:f>
      </x:c>
    </x:row>
    <x:row r="58" spans="1:13">
      <x:c r="A58" s="742" t="s">
        <x:v>109</x:v>
      </x:c>
      <x:c r="B58" s="742" t="s">
        <x:v>110</x:v>
      </x:c>
      <x:c r="C58" s="742" t="s">
        <x:v>1901</x:v>
      </x:c>
      <x:c r="D58" s="743">
        <x:v>46231</x:v>
      </x:c>
      <x:c r="E58" s="744">
        <x:f>87.516+F58</x:f>
      </x:c>
      <x:c r="F58" s="744">
        <x:v>15.444</x:v>
      </x:c>
      <x:c r="G58" s="744">
        <x:v>94.96</x:v>
      </x:c>
      <x:c r="H58" s="744">
        <x:v>13.13</x:v>
      </x:c>
      <x:c r="I58" s="743">
        <x:v>46294.5909722222</x:v>
      </x:c>
      <x:c r="J58" s="744">
        <x:f>E58-F58</x:f>
      </x:c>
      <x:c r="K58" s="745">
        <x:f>ROUND(I58-D58,0)</x:f>
      </x:c>
      <x:c r="L58" s="746">
        <x:v>0.03</x:v>
      </x:c>
      <x:c r="M58" s="744">
        <x:f>J58*L58</x:f>
      </x:c>
    </x:row>
    <x:row r="59" spans="1:13">
      <x:c r="A59" s="747" t="s">
        <x:v>1955</x:v>
      </x:c>
      <x:c r="B59" s="747"/>
      <x:c r="C59" s="747"/>
      <x:c r="D59" s="747"/>
      <x:c r="E59" s="747">
        <x:f>SUM(E8:E58)</x:f>
      </x:c>
      <x:c r="F59" s="747">
        <x:f>SUM(F8:F58)</x:f>
      </x:c>
      <x:c r="G59" s="747">
        <x:f>SUM(G8:G58)</x:f>
      </x:c>
      <x:c r="H59" s="747">
        <x:f>SUM(H8:H58)</x:f>
      </x:c>
      <x:c r="I59" s="747"/>
      <x:c r="J59" s="747">
        <x:f>SUM(J8:J58)</x:f>
      </x:c>
      <x:c r="K59" s="747"/>
      <x:c r="L59" s="747"/>
      <x:c r="M59" s="747">
        <x:f>SUM(M8:M58)</x:f>
      </x:c>
    </x:row>
  </x:sheetData>
  <x:autoFilter ref="A7:M58"/>
  <x:mergeCells count="1">
    <x:mergeCell ref="A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5" width="9.424911" style="0" customWidth="1"/>
    <x:col min="6" max="7" width="5.567768" style="0" customWidth="1"/>
    <x:col min="8" max="8" width="7.853482" style="0" customWidth="1"/>
    <x:col min="9" max="9" width="8.996339" style="0" customWidth="1"/>
    <x:col min="10" max="10" width="9.424911" style="0" customWidth="1"/>
    <x:col min="11" max="11" width="2.996339" style="0" customWidth="1"/>
    <x:col min="12" max="12" width="4.996339" style="0" customWidth="1"/>
    <x:col min="13" max="13" width="8.853482" style="0" customWidth="1"/>
  </x:cols>
  <x:sheetData>
    <x:row r="3" spans="1:13">
      <x:c r="A3" s="739" t="s">
        <x:v>1</x:v>
      </x:c>
      <x:c r="B3" s="739"/>
      <x:c r="C3" s="739"/>
      <x:c r="D3" s="739"/>
      <x:c r="E3" s="739"/>
      <x:c r="F3" s="739"/>
      <x:c r="G3" s="739"/>
      <x:c r="H3" s="739"/>
      <x:c r="I3" s="739"/>
      <x:c r="J3" s="739"/>
      <x:c r="K3" s="739"/>
      <x:c r="L3" s="739"/>
      <x:c r="M3" s="739"/>
    </x:row>
    <x:row r="4" spans="1:13">
      <x:c r="B4" s="0" t="s">
        <x:v>1888</x:v>
      </x:c>
    </x:row>
    <x:row r="5" spans="1:13">
      <x:c r="B5" s="740" t="s">
        <x:v>1956</x:v>
      </x:c>
    </x:row>
    <x:row r="6" spans="1:13">
      <x:c r="G6" s="0" t="s">
        <x:v>5</x:v>
      </x:c>
      <x:c r="J6" s="0" t="s">
        <x:v>6</x:v>
      </x:c>
      <x:c r="K6" s="0" t="s">
        <x:v>7</x:v>
      </x:c>
      <x:c r="L6" s="0" t="s">
        <x:v>8</x:v>
      </x:c>
      <x:c r="M6" s="0" t="s">
        <x:v>9</x:v>
      </x:c>
    </x:row>
    <x:row r="7" spans="1:13" ht="32" customHeight="1">
      <x:c r="A7" s="741" t="s">
        <x:v>1945</x:v>
      </x:c>
      <x:c r="B7" s="741" t="s">
        <x:v>11</x:v>
      </x:c>
      <x:c r="C7" s="741" t="s">
        <x:v>12</x:v>
      </x:c>
      <x:c r="D7" s="741" t="s">
        <x:v>13</x:v>
      </x:c>
      <x:c r="E7" s="741" t="s">
        <x:v>14</x:v>
      </x:c>
      <x:c r="F7" s="741" t="s">
        <x:v>15</x:v>
      </x:c>
      <x:c r="G7" s="741" t="s">
        <x:v>16</x:v>
      </x:c>
      <x:c r="H7" s="741" t="s">
        <x:v>17</x:v>
      </x:c>
      <x:c r="I7" s="741" t="s">
        <x:v>18</x:v>
      </x:c>
      <x:c r="J7" s="741" t="s">
        <x:v>19</x:v>
      </x:c>
      <x:c r="K7" s="741" t="s">
        <x:v>7</x:v>
      </x:c>
      <x:c r="L7" s="741" t="s">
        <x:v>20</x:v>
      </x:c>
      <x:c r="M7" s="741" t="s">
        <x:v>21</x:v>
      </x:c>
    </x:row>
    <x:row r="8" spans="1:13">
      <x:c r="A8" s="742" t="s">
        <x:v>1957</x:v>
      </x:c>
      <x:c r="B8" s="742" t="s">
        <x:v>1958</x:v>
      </x:c>
      <x:c r="C8" s="742" t="s">
        <x:v>1959</x:v>
      </x:c>
      <x:c r="D8" s="743">
        <x:v>46266</x:v>
      </x:c>
      <x:c r="E8" s="744">
        <x:f>1531.25+F8</x:f>
      </x:c>
      <x:c r="F8" s="744">
        <x:v>0</x:v>
      </x:c>
      <x:c r="G8" s="744">
        <x:v>0</x:v>
      </x:c>
      <x:c r="H8" s="744">
        <x:v>229.69</x:v>
      </x:c>
      <x:c r="I8" s="743">
        <x:v>46272.3798611111</x:v>
      </x:c>
      <x:c r="J8" s="744">
        <x:f>E8-F8</x:f>
      </x:c>
      <x:c r="K8" s="745">
        <x:f>ROUND(I8-D8,0)</x:f>
      </x:c>
      <x:c r="L8" s="746">
        <x:v>0.035</x:v>
      </x:c>
      <x:c r="M8" s="744">
        <x:f>J8*L8</x:f>
      </x:c>
    </x:row>
    <x:row r="9" spans="1:13">
      <x:c r="A9" s="742" t="s">
        <x:v>1960</x:v>
      </x:c>
      <x:c r="B9" s="742" t="s">
        <x:v>1958</x:v>
      </x:c>
      <x:c r="C9" s="742" t="s">
        <x:v>1961</x:v>
      </x:c>
      <x:c r="D9" s="743">
        <x:v>46262</x:v>
      </x:c>
      <x:c r="E9" s="744">
        <x:f>81.96+F9</x:f>
      </x:c>
      <x:c r="F9" s="744">
        <x:v>0</x:v>
      </x:c>
      <x:c r="G9" s="744">
        <x:v>0</x:v>
      </x:c>
      <x:c r="H9" s="744">
        <x:v>12.29</x:v>
      </x:c>
      <x:c r="I9" s="743">
        <x:v>46290.4895833333</x:v>
      </x:c>
      <x:c r="J9" s="744">
        <x:f>E9-F9</x:f>
      </x:c>
      <x:c r="K9" s="745">
        <x:f>ROUND(I9-D9,0)</x:f>
      </x:c>
      <x:c r="L9" s="746">
        <x:v>0.035</x:v>
      </x:c>
      <x:c r="M9" s="744">
        <x:f>J9*L9</x:f>
      </x:c>
    </x:row>
    <x:row r="10" spans="1:13">
      <x:c r="A10" s="747" t="s">
        <x:v>1955</x:v>
      </x:c>
      <x:c r="B10" s="747"/>
      <x:c r="C10" s="747"/>
      <x:c r="D10" s="747"/>
      <x:c r="E10" s="747">
        <x:f>SUM(E8:E9)</x:f>
      </x:c>
      <x:c r="F10" s="747">
        <x:f>SUM(F8:F9)</x:f>
      </x:c>
      <x:c r="G10" s="747">
        <x:f>SUM(G8:G9)</x:f>
      </x:c>
      <x:c r="H10" s="747">
        <x:f>SUM(H8:H9)</x:f>
      </x:c>
      <x:c r="I10" s="747"/>
      <x:c r="J10" s="747">
        <x:f>SUM(J8:J9)</x:f>
      </x:c>
      <x:c r="K10" s="747"/>
      <x:c r="L10" s="747"/>
      <x:c r="M10" s="747">
        <x:f>SUM(M8:M9)</x:f>
      </x:c>
    </x:row>
  </x:sheetData>
  <x:autoFilter ref="A7:M9"/>
  <x:mergeCells count="1">
    <x:mergeCell ref="A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7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5" width="9.424911" style="0" customWidth="1"/>
    <x:col min="6" max="6" width="9.853482" style="0" customWidth="1"/>
    <x:col min="7" max="7" width="9.424911" style="0" customWidth="1"/>
    <x:col min="8" max="8" width="7.853482" style="0" customWidth="1"/>
    <x:col min="9" max="9" width="8.996339" style="0" customWidth="1"/>
    <x:col min="10" max="10" width="9.853482" style="0" customWidth="1"/>
    <x:col min="11" max="11" width="3.996339" style="0" customWidth="1"/>
    <x:col min="12" max="12" width="4.996339" style="0" customWidth="1"/>
    <x:col min="13" max="13" width="10.853482" style="0" customWidth="1"/>
  </x:cols>
  <x:sheetData>
    <x:row r="3" spans="1:13">
      <x:c r="A3" s="739" t="s">
        <x:v>1</x:v>
      </x:c>
      <x:c r="B3" s="739"/>
      <x:c r="C3" s="739"/>
      <x:c r="D3" s="739"/>
      <x:c r="E3" s="739"/>
      <x:c r="F3" s="739"/>
      <x:c r="G3" s="739"/>
      <x:c r="H3" s="739"/>
      <x:c r="I3" s="739"/>
      <x:c r="J3" s="739"/>
      <x:c r="K3" s="739"/>
      <x:c r="L3" s="739"/>
      <x:c r="M3" s="739"/>
    </x:row>
    <x:row r="4" spans="1:13">
      <x:c r="B4" s="0" t="s">
        <x:v>1888</x:v>
      </x:c>
    </x:row>
    <x:row r="5" spans="1:13">
      <x:c r="B5" s="740" t="s">
        <x:v>1962</x:v>
      </x:c>
    </x:row>
    <x:row r="6" spans="1:13">
      <x:c r="G6" s="0" t="s">
        <x:v>5</x:v>
      </x:c>
      <x:c r="J6" s="0" t="s">
        <x:v>6</x:v>
      </x:c>
      <x:c r="K6" s="0" t="s">
        <x:v>7</x:v>
      </x:c>
      <x:c r="L6" s="0" t="s">
        <x:v>8</x:v>
      </x:c>
      <x:c r="M6" s="0" t="s">
        <x:v>9</x:v>
      </x:c>
    </x:row>
    <x:row r="7" spans="1:13" ht="32" customHeight="1">
      <x:c r="A7" s="741" t="s">
        <x:v>1945</x:v>
      </x:c>
      <x:c r="B7" s="741" t="s">
        <x:v>11</x:v>
      </x:c>
      <x:c r="C7" s="741" t="s">
        <x:v>12</x:v>
      </x:c>
      <x:c r="D7" s="741" t="s">
        <x:v>13</x:v>
      </x:c>
      <x:c r="E7" s="741" t="s">
        <x:v>14</x:v>
      </x:c>
      <x:c r="F7" s="741" t="s">
        <x:v>15</x:v>
      </x:c>
      <x:c r="G7" s="741" t="s">
        <x:v>16</x:v>
      </x:c>
      <x:c r="H7" s="741" t="s">
        <x:v>17</x:v>
      </x:c>
      <x:c r="I7" s="741" t="s">
        <x:v>18</x:v>
      </x:c>
      <x:c r="J7" s="741" t="s">
        <x:v>19</x:v>
      </x:c>
      <x:c r="K7" s="741" t="s">
        <x:v>7</x:v>
      </x:c>
      <x:c r="L7" s="741" t="s">
        <x:v>20</x:v>
      </x:c>
      <x:c r="M7" s="741" t="s">
        <x:v>21</x:v>
      </x:c>
    </x:row>
    <x:row r="8" spans="1:13">
      <x:c r="A8" s="742" t="s">
        <x:v>1935</x:v>
      </x:c>
      <x:c r="B8" s="742" t="s">
        <x:v>1936</x:v>
      </x:c>
      <x:c r="C8" s="742" t="s">
        <x:v>1937</x:v>
      </x:c>
      <x:c r="D8" s="743">
        <x:v>46258</x:v>
      </x:c>
      <x:c r="E8" s="744">
        <x:f>420.8364+F8</x:f>
      </x:c>
      <x:c r="F8" s="744">
        <x:v>62.8836</x:v>
      </x:c>
      <x:c r="G8" s="744">
        <x:v>483.97</x:v>
      </x:c>
      <x:c r="H8" s="744">
        <x:v>63.13</x:v>
      </x:c>
      <x:c r="I8" s="743">
        <x:v>46268.4770833333</x:v>
      </x:c>
      <x:c r="J8" s="744">
        <x:f>E8-F8</x:f>
      </x:c>
      <x:c r="K8" s="745">
        <x:f>ROUND(I8-D8,0)</x:f>
      </x:c>
      <x:c r="L8" s="746">
        <x:v>0.035</x:v>
      </x:c>
      <x:c r="M8" s="744">
        <x:f>J8*L8</x:f>
      </x:c>
    </x:row>
    <x:row r="9" spans="1:13">
      <x:c r="A9" s="742" t="s">
        <x:v>79</x:v>
      </x:c>
      <x:c r="B9" s="742" t="s">
        <x:v>1456</x:v>
      </x:c>
      <x:c r="C9" s="742" t="s">
        <x:v>1963</x:v>
      </x:c>
      <x:c r="D9" s="743">
        <x:v>46267</x:v>
      </x:c>
      <x:c r="E9" s="744">
        <x:f>291.456+F9</x:f>
      </x:c>
      <x:c r="F9" s="744">
        <x:v>72.864</x:v>
      </x:c>
      <x:c r="G9" s="744">
        <x:v>0</x:v>
      </x:c>
      <x:c r="H9" s="744">
        <x:v>43.72</x:v>
      </x:c>
      <x:c r="I9" s="743">
        <x:v>46272.3965277778</x:v>
      </x:c>
      <x:c r="J9" s="744">
        <x:f>E9-F9</x:f>
      </x:c>
      <x:c r="K9" s="745">
        <x:f>ROUND(I9-D9,0)</x:f>
      </x:c>
      <x:c r="L9" s="746">
        <x:v>0.035</x:v>
      </x:c>
      <x:c r="M9" s="744">
        <x:f>J9*L9</x:f>
      </x:c>
    </x:row>
    <x:row r="10" spans="1:13">
      <x:c r="A10" s="742" t="s">
        <x:v>82</x:v>
      </x:c>
      <x:c r="B10" s="742" t="s">
        <x:v>1456</x:v>
      </x:c>
      <x:c r="C10" s="742" t="s">
        <x:v>1964</x:v>
      </x:c>
      <x:c r="D10" s="743">
        <x:v>46273</x:v>
      </x:c>
      <x:c r="E10" s="744">
        <x:f>111.078+F10</x:f>
      </x:c>
      <x:c r="F10" s="744">
        <x:v>19.602</x:v>
      </x:c>
      <x:c r="G10" s="744">
        <x:v>0</x:v>
      </x:c>
      <x:c r="H10" s="744">
        <x:v>16.66</x:v>
      </x:c>
      <x:c r="I10" s="743">
        <x:v>46281.4902777778</x:v>
      </x:c>
      <x:c r="J10" s="744">
        <x:f>E10-F10</x:f>
      </x:c>
      <x:c r="K10" s="745">
        <x:f>ROUND(I10-D10,0)</x:f>
      </x:c>
      <x:c r="L10" s="746">
        <x:v>0.035</x:v>
      </x:c>
      <x:c r="M10" s="744">
        <x:f>J10*L10</x:f>
      </x:c>
    </x:row>
    <x:row r="11" spans="1:13">
      <x:c r="A11" s="742" t="s">
        <x:v>1923</x:v>
      </x:c>
      <x:c r="B11" s="742" t="s">
        <x:v>734</x:v>
      </x:c>
      <x:c r="C11" s="742" t="s">
        <x:v>1924</x:v>
      </x:c>
      <x:c r="D11" s="743">
        <x:v>46189</x:v>
      </x:c>
      <x:c r="E11" s="744">
        <x:f>402.288+F11</x:f>
      </x:c>
      <x:c r="F11" s="744">
        <x:v>70.992</x:v>
      </x:c>
      <x:c r="G11" s="744">
        <x:v>462.64</x:v>
      </x:c>
      <x:c r="H11" s="744">
        <x:v>60.34</x:v>
      </x:c>
      <x:c r="I11" s="743">
        <x:v>46283.6722222222</x:v>
      </x:c>
      <x:c r="J11" s="744">
        <x:f>E11-F11</x:f>
      </x:c>
      <x:c r="K11" s="745">
        <x:f>ROUND(I11-D11,0)</x:f>
      </x:c>
      <x:c r="L11" s="746">
        <x:v>0.03</x:v>
      </x:c>
      <x:c r="M11" s="744">
        <x:f>J11*L11</x:f>
      </x:c>
    </x:row>
    <x:row r="12" spans="1:13">
      <x:c r="A12" s="742" t="s">
        <x:v>1932</x:v>
      </x:c>
      <x:c r="B12" s="742" t="s">
        <x:v>1456</x:v>
      </x:c>
      <x:c r="C12" s="742" t="s">
        <x:v>1933</x:v>
      </x:c>
      <x:c r="D12" s="743">
        <x:v>46246</x:v>
      </x:c>
      <x:c r="E12" s="744">
        <x:f>788.5332+F12</x:f>
      </x:c>
      <x:c r="F12" s="744">
        <x:v>161.5068</x:v>
      </x:c>
      <x:c r="G12" s="744">
        <x:v>855.56</x:v>
      </x:c>
      <x:c r="H12" s="744">
        <x:v>118.28</x:v>
      </x:c>
      <x:c r="I12" s="743">
        <x:v>46283.6736111111</x:v>
      </x:c>
      <x:c r="J12" s="744">
        <x:f>E12-F12</x:f>
      </x:c>
      <x:c r="K12" s="745">
        <x:f>ROUND(I12-D12,0)</x:f>
      </x:c>
      <x:c r="L12" s="746">
        <x:v>0.03</x:v>
      </x:c>
      <x:c r="M12" s="744">
        <x:f>J12*L12</x:f>
      </x:c>
    </x:row>
    <x:row r="13" spans="1:13">
      <x:c r="A13" s="742" t="s">
        <x:v>1930</x:v>
      </x:c>
      <x:c r="B13" s="742" t="s">
        <x:v>1456</x:v>
      </x:c>
      <x:c r="C13" s="742" t="s">
        <x:v>1931</x:v>
      </x:c>
      <x:c r="D13" s="743">
        <x:v>46246</x:v>
      </x:c>
      <x:c r="E13" s="744">
        <x:f>223.938+F13</x:f>
      </x:c>
      <x:c r="F13" s="744">
        <x:v>33.462</x:v>
      </x:c>
      <x:c r="G13" s="744">
        <x:v>242.97</x:v>
      </x:c>
      <x:c r="H13" s="744">
        <x:v>33.59</x:v>
      </x:c>
      <x:c r="I13" s="743">
        <x:v>46283.6770833333</x:v>
      </x:c>
      <x:c r="J13" s="744">
        <x:f>E13-F13</x:f>
      </x:c>
      <x:c r="K13" s="745">
        <x:f>ROUND(I13-D13,0)</x:f>
      </x:c>
      <x:c r="L13" s="746">
        <x:v>0.03</x:v>
      </x:c>
      <x:c r="M13" s="744">
        <x:f>J13*L13</x:f>
      </x:c>
    </x:row>
    <x:row r="14" spans="1:13">
      <x:c r="A14" s="742" t="s">
        <x:v>1261</x:v>
      </x:c>
      <x:c r="B14" s="742" t="s">
        <x:v>1456</x:v>
      </x:c>
      <x:c r="C14" s="742" t="s">
        <x:v>1934</x:v>
      </x:c>
      <x:c r="D14" s="743">
        <x:v>46251</x:v>
      </x:c>
      <x:c r="E14" s="744">
        <x:f>187.11+F14</x:f>
      </x:c>
      <x:c r="F14" s="744">
        <x:v>62.37</x:v>
      </x:c>
      <x:c r="G14" s="744">
        <x:v>215.18</x:v>
      </x:c>
      <x:c r="H14" s="744">
        <x:v>28.07</x:v>
      </x:c>
      <x:c r="I14" s="743">
        <x:v>46283.6833333333</x:v>
      </x:c>
      <x:c r="J14" s="744">
        <x:f>E14-F14</x:f>
      </x:c>
      <x:c r="K14" s="745">
        <x:f>ROUND(I14-D14,0)</x:f>
      </x:c>
      <x:c r="L14" s="746">
        <x:v>0.03</x:v>
      </x:c>
      <x:c r="M14" s="744">
        <x:f>J14*L14</x:f>
      </x:c>
    </x:row>
    <x:row r="15" spans="1:13">
      <x:c r="A15" s="742" t="s">
        <x:v>22</x:v>
      </x:c>
      <x:c r="B15" s="742" t="s">
        <x:v>1362</x:v>
      </x:c>
      <x:c r="C15" s="742" t="s">
        <x:v>1922</x:v>
      </x:c>
      <x:c r="D15" s="743">
        <x:v>46174</x:v>
      </x:c>
      <x:c r="E15" s="744">
        <x:f>3320.46+F15</x:f>
      </x:c>
      <x:c r="F15" s="744">
        <x:v>1787.94</x:v>
      </x:c>
      <x:c r="G15" s="744">
        <x:v>3602.7</x:v>
      </x:c>
      <x:c r="H15" s="744">
        <x:v>498.07</x:v>
      </x:c>
      <x:c r="I15" s="743">
        <x:v>46293.4826388889</x:v>
      </x:c>
      <x:c r="J15" s="744">
        <x:f>E15-F15</x:f>
      </x:c>
      <x:c r="K15" s="745">
        <x:f>ROUND(I15-D15,0)</x:f>
      </x:c>
      <x:c r="L15" s="746">
        <x:v>0.03</x:v>
      </x:c>
      <x:c r="M15" s="744">
        <x:f>J15*L15</x:f>
      </x:c>
    </x:row>
    <x:row r="16" spans="1:13">
      <x:c r="A16" s="742" t="s">
        <x:v>1192</x:v>
      </x:c>
      <x:c r="B16" s="742" t="s">
        <x:v>1190</x:v>
      </x:c>
      <x:c r="C16" s="742" t="s">
        <x:v>1929</x:v>
      </x:c>
      <x:c r="D16" s="743">
        <x:v>46233</x:v>
      </x:c>
      <x:c r="E16" s="744">
        <x:f>739.5696+F16</x:f>
      </x:c>
      <x:c r="F16" s="744">
        <x:v>110.5104</x:v>
      </x:c>
      <x:c r="G16" s="744">
        <x:v>850.51</x:v>
      </x:c>
      <x:c r="H16" s="744">
        <x:v>110.94</x:v>
      </x:c>
      <x:c r="I16" s="743">
        <x:v>46294.6076388889</x:v>
      </x:c>
      <x:c r="J16" s="744">
        <x:f>E16-F16</x:f>
      </x:c>
      <x:c r="K16" s="745">
        <x:f>ROUND(I16-D16,0)</x:f>
      </x:c>
      <x:c r="L16" s="746">
        <x:v>0.03</x:v>
      </x:c>
      <x:c r="M16" s="744">
        <x:f>J16*L16</x:f>
      </x:c>
    </x:row>
    <x:row r="17" spans="1:13">
      <x:c r="A17" s="747" t="s">
        <x:v>1955</x:v>
      </x:c>
      <x:c r="B17" s="747"/>
      <x:c r="C17" s="747"/>
      <x:c r="D17" s="747"/>
      <x:c r="E17" s="747">
        <x:f>SUM(E8:E16)</x:f>
      </x:c>
      <x:c r="F17" s="747">
        <x:f>SUM(F8:F16)</x:f>
      </x:c>
      <x:c r="G17" s="747">
        <x:f>SUM(G8:G16)</x:f>
      </x:c>
      <x:c r="H17" s="747">
        <x:f>SUM(H8:H16)</x:f>
      </x:c>
      <x:c r="I17" s="747"/>
      <x:c r="J17" s="747">
        <x:f>SUM(J8:J16)</x:f>
      </x:c>
      <x:c r="K17" s="747"/>
      <x:c r="L17" s="747"/>
      <x:c r="M17" s="747">
        <x:f>SUM(M8:M16)</x:f>
      </x:c>
    </x:row>
  </x:sheetData>
  <x:autoFilter ref="A7:M16"/>
  <x:mergeCells count="1">
    <x:mergeCell ref="A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5" width="9.424911" style="0" customWidth="1"/>
    <x:col min="6" max="6" width="7.853482" style="0" customWidth="1"/>
    <x:col min="7" max="7" width="9.424911" style="0" customWidth="1"/>
    <x:col min="8" max="8" width="7.853482" style="0" customWidth="1"/>
    <x:col min="9" max="9" width="8.996339" style="0" customWidth="1"/>
    <x:col min="10" max="10" width="9.424911" style="0" customWidth="1"/>
    <x:col min="11" max="11" width="3.996339" style="0" customWidth="1"/>
    <x:col min="12" max="12" width="4.996339" style="0" customWidth="1"/>
    <x:col min="13" max="13" width="8.853482" style="0" customWidth="1"/>
  </x:cols>
  <x:sheetData>
    <x:row r="3" spans="1:13">
      <x:c r="A3" s="739" t="s">
        <x:v>1</x:v>
      </x:c>
      <x:c r="B3" s="739"/>
      <x:c r="C3" s="739"/>
      <x:c r="D3" s="739"/>
      <x:c r="E3" s="739"/>
      <x:c r="F3" s="739"/>
      <x:c r="G3" s="739"/>
      <x:c r="H3" s="739"/>
      <x:c r="I3" s="739"/>
      <x:c r="J3" s="739"/>
      <x:c r="K3" s="739"/>
      <x:c r="L3" s="739"/>
      <x:c r="M3" s="739"/>
    </x:row>
    <x:row r="4" spans="1:13">
      <x:c r="B4" s="0" t="s">
        <x:v>1965</x:v>
      </x:c>
    </x:row>
    <x:row r="5" spans="1:13">
      <x:c r="B5" s="740" t="s">
        <x:v>1944</x:v>
      </x:c>
    </x:row>
    <x:row r="6" spans="1:13">
      <x:c r="G6" s="0" t="s">
        <x:v>5</x:v>
      </x:c>
      <x:c r="J6" s="0" t="s">
        <x:v>6</x:v>
      </x:c>
      <x:c r="K6" s="0" t="s">
        <x:v>7</x:v>
      </x:c>
      <x:c r="L6" s="0" t="s">
        <x:v>8</x:v>
      </x:c>
      <x:c r="M6" s="0" t="s">
        <x:v>9</x:v>
      </x:c>
    </x:row>
    <x:row r="7" spans="1:13" ht="32" customHeight="1">
      <x:c r="A7" s="741" t="s">
        <x:v>1945</x:v>
      </x:c>
      <x:c r="B7" s="741" t="s">
        <x:v>11</x:v>
      </x:c>
      <x:c r="C7" s="741" t="s">
        <x:v>12</x:v>
      </x:c>
      <x:c r="D7" s="741" t="s">
        <x:v>13</x:v>
      </x:c>
      <x:c r="E7" s="741" t="s">
        <x:v>14</x:v>
      </x:c>
      <x:c r="F7" s="741" t="s">
        <x:v>15</x:v>
      </x:c>
      <x:c r="G7" s="741" t="s">
        <x:v>16</x:v>
      </x:c>
      <x:c r="H7" s="741" t="s">
        <x:v>17</x:v>
      </x:c>
      <x:c r="I7" s="741" t="s">
        <x:v>18</x:v>
      </x:c>
      <x:c r="J7" s="741" t="s">
        <x:v>19</x:v>
      </x:c>
      <x:c r="K7" s="741" t="s">
        <x:v>7</x:v>
      </x:c>
      <x:c r="L7" s="741" t="s">
        <x:v>20</x:v>
      </x:c>
      <x:c r="M7" s="741" t="s">
        <x:v>21</x:v>
      </x:c>
    </x:row>
    <x:row r="8" spans="1:13">
      <x:c r="A8" s="742" t="s">
        <x:v>494</x:v>
      </x:c>
      <x:c r="B8" s="742" t="s">
        <x:v>110</x:v>
      </x:c>
      <x:c r="C8" s="742" t="s">
        <x:v>1808</x:v>
      </x:c>
      <x:c r="D8" s="743">
        <x:v>46160</x:v>
      </x:c>
      <x:c r="E8" s="744">
        <x:f>1257.864+F8</x:f>
      </x:c>
      <x:c r="F8" s="744">
        <x:v>221.976</x:v>
      </x:c>
      <x:c r="G8" s="744">
        <x:v>1421.38</x:v>
      </x:c>
      <x:c r="H8" s="744">
        <x:v>188.68</x:v>
      </x:c>
      <x:c r="I8" s="743">
        <x:v>46296.3756944444</x:v>
      </x:c>
      <x:c r="J8" s="744">
        <x:f>E8-F8</x:f>
      </x:c>
      <x:c r="K8" s="745">
        <x:f>ROUND(I8-D8,0)</x:f>
      </x:c>
      <x:c r="L8" s="746">
        <x:v>0.03</x:v>
      </x:c>
      <x:c r="M8" s="744">
        <x:f>J8*L8</x:f>
      </x:c>
    </x:row>
    <x:row r="9" spans="1:13">
      <x:c r="A9" s="742" t="s">
        <x:v>686</x:v>
      </x:c>
      <x:c r="B9" s="742" t="s">
        <x:v>105</x:v>
      </x:c>
      <x:c r="C9" s="742" t="s">
        <x:v>1966</x:v>
      </x:c>
      <x:c r="D9" s="743">
        <x:v>46170</x:v>
      </x:c>
      <x:c r="E9" s="744">
        <x:f>345.27+F9</x:f>
      </x:c>
      <x:c r="F9" s="744">
        <x:v>60.93</x:v>
      </x:c>
      <x:c r="G9" s="744">
        <x:v>397.06</x:v>
      </x:c>
      <x:c r="H9" s="744">
        <x:v>51.79</x:v>
      </x:c>
      <x:c r="I9" s="743">
        <x:v>46296.5680555556</x:v>
      </x:c>
      <x:c r="J9" s="744">
        <x:f>E9-F9</x:f>
      </x:c>
      <x:c r="K9" s="745">
        <x:f>ROUND(I9-D9,0)</x:f>
      </x:c>
      <x:c r="L9" s="746">
        <x:v>0.03</x:v>
      </x:c>
      <x:c r="M9" s="744">
        <x:f>J9*L9</x:f>
      </x:c>
    </x:row>
    <x:row r="10" spans="1:13">
      <x:c r="A10" s="742" t="s">
        <x:v>686</x:v>
      </x:c>
      <x:c r="B10" s="742" t="s">
        <x:v>105</x:v>
      </x:c>
      <x:c r="C10" s="742" t="s">
        <x:v>1967</x:v>
      </x:c>
      <x:c r="D10" s="743">
        <x:v>46198</x:v>
      </x:c>
      <x:c r="E10" s="744">
        <x:f>148.665+F10</x:f>
      </x:c>
      <x:c r="F10" s="744">
        <x:v>26.235</x:v>
      </x:c>
      <x:c r="G10" s="744">
        <x:v>170.97</x:v>
      </x:c>
      <x:c r="H10" s="744">
        <x:v>22.3</x:v>
      </x:c>
      <x:c r="I10" s="743">
        <x:v>46296.5680555556</x:v>
      </x:c>
      <x:c r="J10" s="744">
        <x:f>E10-F10</x:f>
      </x:c>
      <x:c r="K10" s="745">
        <x:f>ROUND(I10-D10,0)</x:f>
      </x:c>
      <x:c r="L10" s="746">
        <x:v>0.03</x:v>
      </x:c>
      <x:c r="M10" s="744">
        <x:f>J10*L10</x:f>
      </x:c>
    </x:row>
    <x:row r="11" spans="1:13">
      <x:c r="A11" s="747" t="s">
        <x:v>1955</x:v>
      </x:c>
      <x:c r="B11" s="747"/>
      <x:c r="C11" s="747"/>
      <x:c r="D11" s="747"/>
      <x:c r="E11" s="747">
        <x:f>SUM(E8:E10)</x:f>
      </x:c>
      <x:c r="F11" s="747">
        <x:f>SUM(F8:F10)</x:f>
      </x:c>
      <x:c r="G11" s="747">
        <x:f>SUM(G8:G10)</x:f>
      </x:c>
      <x:c r="H11" s="747">
        <x:f>SUM(H8:H10)</x:f>
      </x:c>
      <x:c r="I11" s="747"/>
      <x:c r="J11" s="747">
        <x:f>SUM(J8:J10)</x:f>
      </x:c>
      <x:c r="K11" s="747"/>
      <x:c r="L11" s="747"/>
      <x:c r="M11" s="747">
        <x:f>SUM(M8:M10)</x:f>
      </x:c>
    </x:row>
  </x:sheetData>
  <x:autoFilter ref="A7:M10"/>
  <x:mergeCells count="1">
    <x:mergeCell ref="A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7" width="9.424911" style="0" customWidth="1"/>
    <x:col min="8" max="8" width="7.853482" style="0" customWidth="1"/>
    <x:col min="9" max="9" width="8.996339" style="0" customWidth="1"/>
    <x:col min="10" max="10" width="9.424911" style="0" customWidth="1"/>
    <x:col min="11" max="11" width="3.996339" style="0" customWidth="1"/>
    <x:col min="12" max="12" width="4.996339" style="0" customWidth="1"/>
    <x:col min="13" max="13" width="9.853482" style="0" customWidth="1"/>
  </x:cols>
  <x:sheetData>
    <x:row r="3" spans="1:13">
      <x:c r="A3" s="739" t="s">
        <x:v>1</x:v>
      </x:c>
      <x:c r="B3" s="739"/>
      <x:c r="C3" s="739"/>
      <x:c r="D3" s="739"/>
      <x:c r="E3" s="739"/>
      <x:c r="F3" s="739"/>
      <x:c r="G3" s="739"/>
      <x:c r="H3" s="739"/>
      <x:c r="I3" s="739"/>
      <x:c r="J3" s="739"/>
      <x:c r="K3" s="739"/>
      <x:c r="L3" s="739"/>
      <x:c r="M3" s="739"/>
    </x:row>
    <x:row r="4" spans="1:13">
      <x:c r="B4" s="0" t="s">
        <x:v>1965</x:v>
      </x:c>
    </x:row>
    <x:row r="5" spans="1:13">
      <x:c r="B5" s="740" t="s">
        <x:v>1962</x:v>
      </x:c>
    </x:row>
    <x:row r="6" spans="1:13">
      <x:c r="G6" s="0" t="s">
        <x:v>5</x:v>
      </x:c>
      <x:c r="J6" s="0" t="s">
        <x:v>6</x:v>
      </x:c>
      <x:c r="K6" s="0" t="s">
        <x:v>7</x:v>
      </x:c>
      <x:c r="L6" s="0" t="s">
        <x:v>8</x:v>
      </x:c>
      <x:c r="M6" s="0" t="s">
        <x:v>9</x:v>
      </x:c>
    </x:row>
    <x:row r="7" spans="1:13" ht="32" customHeight="1">
      <x:c r="A7" s="741" t="s">
        <x:v>1945</x:v>
      </x:c>
      <x:c r="B7" s="741" t="s">
        <x:v>11</x:v>
      </x:c>
      <x:c r="C7" s="741" t="s">
        <x:v>12</x:v>
      </x:c>
      <x:c r="D7" s="741" t="s">
        <x:v>13</x:v>
      </x:c>
      <x:c r="E7" s="741" t="s">
        <x:v>14</x:v>
      </x:c>
      <x:c r="F7" s="741" t="s">
        <x:v>15</x:v>
      </x:c>
      <x:c r="G7" s="741" t="s">
        <x:v>16</x:v>
      </x:c>
      <x:c r="H7" s="741" t="s">
        <x:v>17</x:v>
      </x:c>
      <x:c r="I7" s="741" t="s">
        <x:v>18</x:v>
      </x:c>
      <x:c r="J7" s="741" t="s">
        <x:v>19</x:v>
      </x:c>
      <x:c r="K7" s="741" t="s">
        <x:v>7</x:v>
      </x:c>
      <x:c r="L7" s="741" t="s">
        <x:v>20</x:v>
      </x:c>
      <x:c r="M7" s="741" t="s">
        <x:v>21</x:v>
      </x:c>
    </x:row>
    <x:row r="8" spans="1:13">
      <x:c r="A8" s="742" t="s">
        <x:v>1925</x:v>
      </x:c>
      <x:c r="B8" s="742" t="s">
        <x:v>1185</x:v>
      </x:c>
      <x:c r="C8" s="742" t="s">
        <x:v>1926</x:v>
      </x:c>
      <x:c r="D8" s="743">
        <x:v>46190</x:v>
      </x:c>
      <x:c r="E8" s="744">
        <x:f>3315.816+F8</x:f>
      </x:c>
      <x:c r="F8" s="744">
        <x:v>1421.064</x:v>
      </x:c>
      <x:c r="G8" s="744">
        <x:v>1798.83</x:v>
      </x:c>
      <x:c r="H8" s="744">
        <x:v>497.37</x:v>
      </x:c>
      <x:c r="I8" s="743">
        <x:v>46296.3770833333</x:v>
      </x:c>
      <x:c r="J8" s="744">
        <x:f>E8-F8</x:f>
      </x:c>
      <x:c r="K8" s="745">
        <x:f>ROUND(I8-D8,0)</x:f>
      </x:c>
      <x:c r="L8" s="746">
        <x:v>0.03</x:v>
      </x:c>
      <x:c r="M8" s="744">
        <x:f>J8*L8</x:f>
      </x:c>
    </x:row>
    <x:row r="9" spans="1:13">
      <x:c r="A9" s="742" t="s">
        <x:v>1261</x:v>
      </x:c>
      <x:c r="B9" s="742" t="s">
        <x:v>1456</x:v>
      </x:c>
      <x:c r="C9" s="742" t="s">
        <x:v>1921</x:v>
      </x:c>
      <x:c r="D9" s="743">
        <x:v>46132</x:v>
      </x:c>
      <x:c r="E9" s="744">
        <x:f>1620+F9</x:f>
      </x:c>
      <x:c r="F9" s="744">
        <x:v>540</x:v>
      </x:c>
      <x:c r="G9" s="744">
        <x:v>1863</x:v>
      </x:c>
      <x:c r="H9" s="744">
        <x:v>243</x:v>
      </x:c>
      <x:c r="I9" s="743">
        <x:v>46296.3965277778</x:v>
      </x:c>
      <x:c r="J9" s="744">
        <x:f>E9-F9</x:f>
      </x:c>
      <x:c r="K9" s="745">
        <x:f>ROUND(I9-D9,0)</x:f>
      </x:c>
      <x:c r="L9" s="746">
        <x:v>0.03</x:v>
      </x:c>
      <x:c r="M9" s="744">
        <x:f>J9*L9</x:f>
      </x:c>
    </x:row>
    <x:row r="10" spans="1:13">
      <x:c r="A10" s="747" t="s">
        <x:v>1955</x:v>
      </x:c>
      <x:c r="B10" s="747"/>
      <x:c r="C10" s="747"/>
      <x:c r="D10" s="747"/>
      <x:c r="E10" s="747">
        <x:f>SUM(E8:E9)</x:f>
      </x:c>
      <x:c r="F10" s="747">
        <x:f>SUM(F8:F9)</x:f>
      </x:c>
      <x:c r="G10" s="747">
        <x:f>SUM(G8:G9)</x:f>
      </x:c>
      <x:c r="H10" s="747">
        <x:f>SUM(H8:H9)</x:f>
      </x:c>
      <x:c r="I10" s="747"/>
      <x:c r="J10" s="747">
        <x:f>SUM(J8:J9)</x:f>
      </x:c>
      <x:c r="K10" s="747"/>
      <x:c r="L10" s="747"/>
      <x:c r="M10" s="747">
        <x:f>SUM(M8:M9)</x:f>
      </x:c>
    </x:row>
  </x:sheetData>
  <x:autoFilter ref="A7:M9"/>
  <x:mergeCells count="1">
    <x:mergeCell ref="A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39</vt:i4>
      </vt:variant>
      <vt:variant>
        <vt:lpstr>Named Ranges</vt:lpstr>
      </vt:variant>
      <vt:variant>
        <vt:i4>86</vt:i4>
      </vt:variant>
    </vt:vector>
  </ap:HeadingPairs>
  <ap:TitlesOfParts>
    <vt:vector baseType="lpstr" size="125">
      <vt:lpstr>COM.DIC.2023</vt:lpstr>
      <vt:lpstr>COM.ENE.2024</vt:lpstr>
      <vt:lpstr>COM.FEB.2024</vt:lpstr>
      <vt:lpstr>COM.MAR.2024</vt:lpstr>
      <vt:lpstr>COM.ABR.2024</vt:lpstr>
      <vt:lpstr>COM.MAY.2024</vt:lpstr>
      <vt:lpstr>COM.JUN.2024</vt:lpstr>
      <vt:lpstr>COM.JUL.2024</vt:lpstr>
      <vt:lpstr>COM.AGO.2024</vt:lpstr>
      <vt:lpstr>COM.SEP.2024</vt:lpstr>
      <vt:lpstr>COM.OCT.2024</vt:lpstr>
      <vt:lpstr>COM.NOV.2024</vt:lpstr>
      <vt:lpstr>COM.DIC.2024</vt:lpstr>
      <vt:lpstr>COM.ENE.2025</vt:lpstr>
      <vt:lpstr>COM.FEB.2025</vt:lpstr>
      <vt:lpstr>COM.MAR.2025</vt:lpstr>
      <vt:lpstr>COM.ABR.2025</vt:lpstr>
      <vt:lpstr>COM.MAY.2025</vt:lpstr>
      <vt:lpstr>COM.JUN.2025</vt:lpstr>
      <vt:lpstr>COM.JUL.2025</vt:lpstr>
      <vt:lpstr>COM.AGO.2025</vt:lpstr>
      <vt:lpstr>COM.SEP.2025</vt:lpstr>
      <vt:lpstr>COM.OCT.2025</vt:lpstr>
      <vt:lpstr>COM.NOV,2025</vt:lpstr>
      <vt:lpstr>COM.DIC.2025</vt:lpstr>
      <vt:lpstr>COM.ENE.2026</vt:lpstr>
      <vt:lpstr>COM.FEB.2026</vt:lpstr>
      <vt:lpstr>COM.MAR.2026</vt:lpstr>
      <vt:lpstr>COM.ABR.2026</vt:lpstr>
      <vt:lpstr>COM.MAY.2026</vt:lpstr>
      <vt:lpstr>COM.JUN.2026</vt:lpstr>
      <vt:lpstr>COM.JUL.2026</vt:lpstr>
      <vt:lpstr>COM.AGO.2026</vt:lpstr>
      <vt:lpstr>COM.SEPT.2026</vt:lpstr>
      <vt:lpstr>COM.SEPT.2026 CONSTANTE DOMINGU</vt:lpstr>
      <vt:lpstr>COM.SEPT.2026 IVETTE ANAHY CASC</vt:lpstr>
      <vt:lpstr>COM.SEPT.2026 MARCO FABRE BONIL</vt:lpstr>
      <vt:lpstr>COM.OCT.2026</vt:lpstr>
      <vt:lpstr>COM.OCT.2026 MARCO FABRE BONILL</vt:lpstr>
      <vt:lpstr>COM.DIC.2023!Print_Area</vt:lpstr>
      <vt:lpstr>COM.DIC.2023!Print_Titles</vt:lpstr>
      <vt:lpstr>COM.ENE.2024!Print_Area</vt:lpstr>
      <vt:lpstr>COM.ENE.2024!Print_Titles</vt:lpstr>
      <vt:lpstr>COM.FEB.2024!Print_Area</vt:lpstr>
      <vt:lpstr>COM.FEB.2024!Print_Titles</vt:lpstr>
      <vt:lpstr>COM.MAR.2024!Print_Area</vt:lpstr>
      <vt:lpstr>COM.MAR.2024!Print_Titles</vt:lpstr>
      <vt:lpstr>COM.ABR.2024!Print_Area</vt:lpstr>
      <vt:lpstr>COM.ABR.2024!Print_Titles</vt:lpstr>
      <vt:lpstr>COM.MAY.2024!Print_Area</vt:lpstr>
      <vt:lpstr>COM.MAY.2024!Print_Titles</vt:lpstr>
      <vt:lpstr>COM.JUN.2024!Print_Area</vt:lpstr>
      <vt:lpstr>COM.JUN.2024!Print_Titles</vt:lpstr>
      <vt:lpstr>COM.JUL.2024!Print_Area</vt:lpstr>
      <vt:lpstr>COM.JUL.2024!Print_Titles</vt:lpstr>
      <vt:lpstr>COM.AGO.2024!Print_Area</vt:lpstr>
      <vt:lpstr>COM.AGO.2024!Print_Titles</vt:lpstr>
      <vt:lpstr>COM.SEP.2024!Print_Area</vt:lpstr>
      <vt:lpstr>COM.SEP.2024!Print_Titles</vt:lpstr>
      <vt:lpstr>COM.OCT.2024!Print_Area</vt:lpstr>
      <vt:lpstr>COM.OCT.2024!Print_Titles</vt:lpstr>
      <vt:lpstr>COM.NOV.2024!Print_Area</vt:lpstr>
      <vt:lpstr>COM.NOV.2024!Print_Titles</vt:lpstr>
      <vt:lpstr>COM.DIC.2024!Print_Area</vt:lpstr>
      <vt:lpstr>COM.DIC.2024!Print_Titles</vt:lpstr>
      <vt:lpstr>COM.ENE.2025!Print_Area</vt:lpstr>
      <vt:lpstr>COM.ENE.2025!Print_Titles</vt:lpstr>
      <vt:lpstr>COM.FEB.2025!Print_Area</vt:lpstr>
      <vt:lpstr>COM.FEB.2025!Print_Titles</vt:lpstr>
      <vt:lpstr>COM.MAR.2025!Print_Area</vt:lpstr>
      <vt:lpstr>COM.MAR.2025!Print_Titles</vt:lpstr>
      <vt:lpstr>COM.ABR.2025!Print_Area</vt:lpstr>
      <vt:lpstr>COM.ABR.2025!Print_Titles</vt:lpstr>
      <vt:lpstr>COM.MAY.2025!Print_Area</vt:lpstr>
      <vt:lpstr>COM.MAY.2025!Print_Titles</vt:lpstr>
      <vt:lpstr>COM.JUN.2025!Print_Area</vt:lpstr>
      <vt:lpstr>COM.JUN.2025!Print_Titles</vt:lpstr>
      <vt:lpstr>COM.JUL.2025!Print_Area</vt:lpstr>
      <vt:lpstr>COM.JUL.2025!Print_Titles</vt:lpstr>
      <vt:lpstr>COM.AGO.2025!Print_Area</vt:lpstr>
      <vt:lpstr>COM.AGO.2025!Print_Titles</vt:lpstr>
      <vt:lpstr>COM.SEP.2025!Print_Area</vt:lpstr>
      <vt:lpstr>COM.SEP.2025!Print_Titles</vt:lpstr>
      <vt:lpstr>COM.OCT.2025!Print_Area</vt:lpstr>
      <vt:lpstr>COM.OCT.2025!Print_Titles</vt:lpstr>
      <vt:lpstr>COM.NOV,2025!Print_Area</vt:lpstr>
      <vt:lpstr>COM.NOV,2025!Print_Titles</vt:lpstr>
      <vt:lpstr>COM.DIC.2025!_xlnm._FilterDatabase</vt:lpstr>
      <vt:lpstr>COM.DIC.2025!Print_Area</vt:lpstr>
      <vt:lpstr>COM.DIC.2025!Print_Titles</vt:lpstr>
      <vt:lpstr>COM.ENE.2026!_xlnm._FilterDatabase</vt:lpstr>
      <vt:lpstr>COM.ENE.2026!Print_Area</vt:lpstr>
      <vt:lpstr>COM.ENE.2026!Print_Titles</vt:lpstr>
      <vt:lpstr>COM.FEB.2026!Print_Area</vt:lpstr>
      <vt:lpstr>COM.FEB.2026!Print_Titles</vt:lpstr>
      <vt:lpstr>COM.MAR.2026!Print_Area</vt:lpstr>
      <vt:lpstr>COM.MAR.2026!Print_Titles</vt:lpstr>
      <vt:lpstr>COM.ABR.2026!_xlnm._FilterDatabase</vt:lpstr>
      <vt:lpstr>COM.ABR.2026!Print_Area</vt:lpstr>
      <vt:lpstr>COM.ABR.2026!Print_Titles</vt:lpstr>
      <vt:lpstr>COM.MAY.2026!_xlnm._FilterDatabase</vt:lpstr>
      <vt:lpstr>COM.MAY.2026!Print_Area</vt:lpstr>
      <vt:lpstr>COM.MAY.2026!Print_Titles</vt:lpstr>
      <vt:lpstr>COM.JUN.2026!_xlnm._FilterDatabase</vt:lpstr>
      <vt:lpstr>COM.JUN.2026!Print_Area</vt:lpstr>
      <vt:lpstr>COM.JUN.2026!Print_Titles</vt:lpstr>
      <vt:lpstr>COM.JUL.2026!_xlnm._FilterDatabase</vt:lpstr>
      <vt:lpstr>COM.JUL.2026!Print_Area</vt:lpstr>
      <vt:lpstr>COM.JUL.2026!Print_Titles</vt:lpstr>
      <vt:lpstr>COM.AGO.2026!_xlnm._FilterDatabase</vt:lpstr>
      <vt:lpstr>COM.AGO.2026!Print_Area</vt:lpstr>
      <vt:lpstr>COM.AGO.2026!Print_Titles</vt:lpstr>
      <vt:lpstr>COM.SEPT.2026!_xlnm._FilterDatabase</vt:lpstr>
      <vt:lpstr>COM.SEPT.2026!Print_Area</vt:lpstr>
      <vt:lpstr>COM.SEPT.2026!Print_Titles</vt:lpstr>
      <vt:lpstr>COM.SEPT.2026 CONSTANTE DOMINGU!Print_Area</vt:lpstr>
      <vt:lpstr>COM.SEPT.2026 CONSTANTE DOMINGU!Print_Titles</vt:lpstr>
      <vt:lpstr>COM.SEPT.2026 IVETTE ANAHY CASC!Print_Area</vt:lpstr>
      <vt:lpstr>COM.SEPT.2026 IVETTE ANAHY CASC!Print_Titles</vt:lpstr>
      <vt:lpstr>COM.SEPT.2026 MARCO FABRE BONIL!Print_Area</vt:lpstr>
      <vt:lpstr>COM.SEPT.2026 MARCO FABRE BONIL!Print_Titles</vt:lpstr>
      <vt:lpstr>COM.OCT.2026!Print_Area</vt:lpstr>
      <vt:lpstr>COM.OCT.2026!Print_Titles</vt:lpstr>
      <vt:lpstr>COM.OCT.2026 MARCO FABRE BONILL!Print_Area</vt:lpstr>
      <vt:lpstr>COM.OCT.2026 MARCO FABRE BONILL!Print_Titles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osaka</dc:creator>
  <lastModifiedBy>ivette cascante</lastModifiedBy>
  <lastPrinted>2026-09-30T20:08:32.0000000Z</lastPrinted>
  <dcterms:created xsi:type="dcterms:W3CDTF">2020-12-10T19:51:18.0000000Z</dcterms:created>
  <dcterms:modified xsi:type="dcterms:W3CDTF">2026-09-30T20:10:43.0000000Z</dcterms:modified>
</coreProperties>
</file>