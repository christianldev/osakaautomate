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ntas-Adtvo\Downloads\"/>
    </mc:Choice>
  </mc:AlternateContent>
  <xr:revisionPtr revIDLastSave="0" documentId="13_ncr:1_{D6019AB5-4298-495B-BA2C-A513A1977FE5}" xr6:coauthVersionLast="47" xr6:coauthVersionMax="47" xr10:uidLastSave="{00000000-0000-0000-0000-000000000000}"/>
  <bookViews>
    <workbookView xWindow="-108" yWindow="-108" windowWidth="23256" windowHeight="13896" firstSheet="32" activeTab="33" xr2:uid="{00000000-000D-0000-FFFF-FFFF00000000}"/>
  </bookViews>
  <sheets>
    <sheet name="COM.DIC.2023" sheetId="52" r:id="rId1"/>
    <sheet name="COM.ENE.2024" sheetId="53" r:id="rId2"/>
    <sheet name="COM.FEB.2024" sheetId="54" r:id="rId3"/>
    <sheet name="COM.MAR.2024" sheetId="55" r:id="rId4"/>
    <sheet name="COM.ABR.2024" sheetId="41" r:id="rId5"/>
    <sheet name="COM.MAY.2024" sheetId="56" r:id="rId6"/>
    <sheet name="COM.JUN.2024" sheetId="57" r:id="rId7"/>
    <sheet name="COM.JUL.2024" sheetId="58" r:id="rId8"/>
    <sheet name="COM.AGO.2024" sheetId="59" r:id="rId9"/>
    <sheet name="COM.SEP.2024" sheetId="60" r:id="rId10"/>
    <sheet name="COM.OCT.2024" sheetId="61" r:id="rId11"/>
    <sheet name="COM.NOV.2024" sheetId="62" r:id="rId12"/>
    <sheet name="COM.DIC.2024" sheetId="64" r:id="rId13"/>
    <sheet name="COM.ENE.2025" sheetId="65" r:id="rId14"/>
    <sheet name="COM.FEB.2025" sheetId="66" r:id="rId15"/>
    <sheet name="COM.MAR.2025" sheetId="67" r:id="rId16"/>
    <sheet name="COM.ABR.2025" sheetId="68" r:id="rId17"/>
    <sheet name="COM.MAY.2025" sheetId="69" r:id="rId18"/>
    <sheet name="COM.JUN.2025" sheetId="70" r:id="rId19"/>
    <sheet name="COM.JUL.2025" sheetId="71" r:id="rId20"/>
    <sheet name="COM.AGO.2025" sheetId="72" r:id="rId21"/>
    <sheet name="COM.SEP.2025" sheetId="73" r:id="rId22"/>
    <sheet name="COM.OCT.2025" sheetId="74" r:id="rId23"/>
    <sheet name="COM.NOV,2025" sheetId="75" r:id="rId24"/>
    <sheet name="COM.DIC.2025" sheetId="76" r:id="rId25"/>
    <sheet name="COM.ENE.2026" sheetId="77" r:id="rId26"/>
    <sheet name="COM.FEB.2026" sheetId="78" r:id="rId27"/>
    <sheet name="COM.MAR.2026" sheetId="79" r:id="rId28"/>
    <sheet name="COM.ABR.2026" sheetId="80" r:id="rId29"/>
    <sheet name="COM.MAY.2026" sheetId="81" r:id="rId30"/>
    <sheet name="COM.JUN.2026" sheetId="82" r:id="rId31"/>
    <sheet name="COM.JUL.2026" sheetId="83" r:id="rId32"/>
    <sheet name="COM.AGO.2026" sheetId="84" r:id="rId33"/>
    <sheet name="COM.SEPT.2026" sheetId="87" r:id="rId34"/>
  </sheets>
  <definedNames>
    <definedName name="_xlnm._FilterDatabase" localSheetId="28" hidden="1">'COM.ABR.2026'!$A$1:$P$78</definedName>
    <definedName name="_xlnm._FilterDatabase" localSheetId="32" hidden="1">'COM.AGO.2026'!$C$1:$C$93</definedName>
    <definedName name="_xlnm._FilterDatabase" localSheetId="24" hidden="1">'COM.DIC.2025'!$A$3:$N$46</definedName>
    <definedName name="_xlnm._FilterDatabase" localSheetId="25" hidden="1">'COM.ENE.2026'!$A$1:$P$83</definedName>
    <definedName name="_xlnm._FilterDatabase" localSheetId="31" hidden="1">'COM.JUL.2026'!$A$3:$M$38</definedName>
    <definedName name="_xlnm._FilterDatabase" localSheetId="30" hidden="1">'COM.JUN.2026'!$C$1:$C$94</definedName>
    <definedName name="_xlnm._FilterDatabase" localSheetId="29" hidden="1">'COM.MAY.2026'!$C$1:$C$126</definedName>
    <definedName name="_xlnm._FilterDatabase" localSheetId="33" hidden="1">'COM.SEPT.2026'!$A$3:$M$33</definedName>
    <definedName name="_xlnm.Print_Titles" localSheetId="5">'COM.MAY.2024'!$33:$37</definedName>
    <definedName name="_xlnm.Print_Titles" localSheetId="9">'COM.SEP.2024'!$38:$42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4" i="87" l="1"/>
  <c r="G36" i="87"/>
  <c r="I83" i="87"/>
  <c r="H83" i="87"/>
  <c r="H89" i="87"/>
  <c r="H84" i="87"/>
  <c r="H85" i="87" s="1"/>
  <c r="H90" i="87"/>
  <c r="F88" i="87"/>
  <c r="J59" i="87"/>
  <c r="F81" i="87"/>
  <c r="J81" i="87" s="1"/>
  <c r="G74" i="87"/>
  <c r="G79" i="87" s="1"/>
  <c r="K78" i="87"/>
  <c r="K63" i="87"/>
  <c r="K62" i="87"/>
  <c r="K61" i="87"/>
  <c r="K69" i="87"/>
  <c r="K67" i="87"/>
  <c r="K72" i="87"/>
  <c r="K68" i="87"/>
  <c r="K65" i="87"/>
  <c r="K66" i="87"/>
  <c r="K71" i="87"/>
  <c r="K70" i="87"/>
  <c r="K60" i="87"/>
  <c r="K81" i="87"/>
  <c r="K59" i="87"/>
  <c r="K64" i="87"/>
  <c r="J71" i="87"/>
  <c r="M71" i="87" s="1"/>
  <c r="J64" i="87"/>
  <c r="M64" i="87" s="1"/>
  <c r="J8" i="87"/>
  <c r="E63" i="87"/>
  <c r="M63" i="87" s="1"/>
  <c r="E78" i="87"/>
  <c r="E59" i="87"/>
  <c r="E60" i="87"/>
  <c r="J60" i="87" s="1"/>
  <c r="M60" i="87" s="1"/>
  <c r="E70" i="87"/>
  <c r="J70" i="87" s="1"/>
  <c r="M70" i="87" s="1"/>
  <c r="E66" i="87"/>
  <c r="M66" i="87" s="1"/>
  <c r="E65" i="87"/>
  <c r="E68" i="87"/>
  <c r="J68" i="87" s="1"/>
  <c r="M68" i="87" s="1"/>
  <c r="E72" i="87"/>
  <c r="J72" i="87" s="1"/>
  <c r="M72" i="87" s="1"/>
  <c r="E67" i="87"/>
  <c r="J67" i="87" s="1"/>
  <c r="M67" i="87" s="1"/>
  <c r="E69" i="87"/>
  <c r="J69" i="87" s="1"/>
  <c r="M69" i="87" s="1"/>
  <c r="E61" i="87"/>
  <c r="M61" i="87" s="1"/>
  <c r="E62" i="87"/>
  <c r="M62" i="87" s="1"/>
  <c r="J14" i="87"/>
  <c r="M14" i="87" s="1"/>
  <c r="E14" i="87"/>
  <c r="E8" i="87"/>
  <c r="J9" i="84"/>
  <c r="J10" i="84"/>
  <c r="J11" i="84"/>
  <c r="J12" i="84"/>
  <c r="J13" i="84"/>
  <c r="J14" i="84"/>
  <c r="J15" i="84"/>
  <c r="J16" i="84"/>
  <c r="J17" i="84"/>
  <c r="J18" i="84"/>
  <c r="J19" i="84"/>
  <c r="J20" i="84"/>
  <c r="J21" i="84"/>
  <c r="J22" i="84"/>
  <c r="J23" i="84"/>
  <c r="J24" i="84"/>
  <c r="J25" i="84"/>
  <c r="J26" i="84"/>
  <c r="J27" i="84"/>
  <c r="J28" i="84"/>
  <c r="J29" i="84"/>
  <c r="M13" i="84"/>
  <c r="M27" i="84"/>
  <c r="J8" i="84"/>
  <c r="K12" i="87"/>
  <c r="K18" i="87"/>
  <c r="K20" i="87"/>
  <c r="K16" i="87"/>
  <c r="K17" i="87"/>
  <c r="K30" i="87"/>
  <c r="K29" i="87"/>
  <c r="K11" i="87"/>
  <c r="K22" i="87"/>
  <c r="K25" i="87"/>
  <c r="K28" i="87"/>
  <c r="K21" i="87"/>
  <c r="K27" i="87"/>
  <c r="K32" i="87"/>
  <c r="G42" i="87"/>
  <c r="G40" i="87"/>
  <c r="G39" i="87"/>
  <c r="E42" i="87"/>
  <c r="J42" i="87" s="1"/>
  <c r="M42" i="87" s="1"/>
  <c r="E41" i="87"/>
  <c r="J41" i="87" s="1"/>
  <c r="M41" i="87" s="1"/>
  <c r="E40" i="87"/>
  <c r="J40" i="87" s="1"/>
  <c r="M40" i="87" s="1"/>
  <c r="E39" i="87"/>
  <c r="J39" i="87" s="1"/>
  <c r="M39" i="87" s="1"/>
  <c r="E32" i="87"/>
  <c r="J32" i="87" s="1"/>
  <c r="M32" i="87" s="1"/>
  <c r="E27" i="87"/>
  <c r="J27" i="87" s="1"/>
  <c r="M27" i="87" s="1"/>
  <c r="E21" i="87"/>
  <c r="J21" i="87" s="1"/>
  <c r="M21" i="87" s="1"/>
  <c r="E28" i="87"/>
  <c r="J28" i="87" s="1"/>
  <c r="M28" i="87" s="1"/>
  <c r="E25" i="87"/>
  <c r="J25" i="87" s="1"/>
  <c r="M25" i="87" s="1"/>
  <c r="E22" i="87"/>
  <c r="J22" i="87" s="1"/>
  <c r="M22" i="87" s="1"/>
  <c r="E11" i="87"/>
  <c r="J11" i="87" s="1"/>
  <c r="M11" i="87" s="1"/>
  <c r="E29" i="87"/>
  <c r="J29" i="87" s="1"/>
  <c r="M29" i="87" s="1"/>
  <c r="E30" i="87"/>
  <c r="J30" i="87" s="1"/>
  <c r="E17" i="87"/>
  <c r="J17" i="87" s="1"/>
  <c r="M17" i="87" s="1"/>
  <c r="E16" i="87"/>
  <c r="J16" i="87" s="1"/>
  <c r="M16" i="87" s="1"/>
  <c r="E20" i="87"/>
  <c r="J20" i="87" s="1"/>
  <c r="M20" i="87" s="1"/>
  <c r="E18" i="87"/>
  <c r="J18" i="87" s="1"/>
  <c r="M18" i="87" s="1"/>
  <c r="E12" i="87"/>
  <c r="J12" i="87" s="1"/>
  <c r="M12" i="87" s="1"/>
  <c r="E31" i="87"/>
  <c r="J31" i="87" s="1"/>
  <c r="M31" i="87" s="1"/>
  <c r="E13" i="87"/>
  <c r="J13" i="87" s="1"/>
  <c r="M13" i="87" s="1"/>
  <c r="E15" i="87"/>
  <c r="J15" i="87" s="1"/>
  <c r="M15" i="87" s="1"/>
  <c r="E33" i="87"/>
  <c r="J33" i="87" s="1"/>
  <c r="M33" i="87" s="1"/>
  <c r="E23" i="87"/>
  <c r="J23" i="87" s="1"/>
  <c r="M23" i="87" s="1"/>
  <c r="E19" i="87"/>
  <c r="J19" i="87" s="1"/>
  <c r="M19" i="87" s="1"/>
  <c r="E10" i="87"/>
  <c r="J10" i="87" s="1"/>
  <c r="M10" i="87" s="1"/>
  <c r="E9" i="87"/>
  <c r="J9" i="87" s="1"/>
  <c r="M9" i="87" s="1"/>
  <c r="E26" i="87"/>
  <c r="J26" i="87" s="1"/>
  <c r="M26" i="87" s="1"/>
  <c r="E24" i="87"/>
  <c r="J24" i="87" s="1"/>
  <c r="M24" i="87" s="1"/>
  <c r="K42" i="87"/>
  <c r="K41" i="87"/>
  <c r="K40" i="87"/>
  <c r="K39" i="87"/>
  <c r="K31" i="87"/>
  <c r="K13" i="87"/>
  <c r="K15" i="87"/>
  <c r="K33" i="87"/>
  <c r="K23" i="87"/>
  <c r="K19" i="87"/>
  <c r="K8" i="87"/>
  <c r="K10" i="87"/>
  <c r="K9" i="87"/>
  <c r="K26" i="87"/>
  <c r="K24" i="87"/>
  <c r="K14" i="87"/>
  <c r="J54" i="84"/>
  <c r="M54" i="84" s="1"/>
  <c r="J53" i="84"/>
  <c r="J52" i="84"/>
  <c r="J51" i="84"/>
  <c r="J50" i="84"/>
  <c r="J49" i="84"/>
  <c r="J48" i="84"/>
  <c r="J47" i="84"/>
  <c r="J46" i="84"/>
  <c r="J45" i="84"/>
  <c r="J44" i="84"/>
  <c r="J43" i="84"/>
  <c r="J42" i="84"/>
  <c r="J41" i="84"/>
  <c r="J40" i="84"/>
  <c r="J39" i="84"/>
  <c r="M39" i="84" s="1"/>
  <c r="J38" i="84"/>
  <c r="J37" i="84"/>
  <c r="J35" i="84"/>
  <c r="G52" i="84"/>
  <c r="G51" i="84"/>
  <c r="G48" i="84"/>
  <c r="G47" i="84"/>
  <c r="G46" i="84"/>
  <c r="G39" i="84"/>
  <c r="G38" i="84"/>
  <c r="G37" i="84"/>
  <c r="G36" i="84"/>
  <c r="K43" i="84"/>
  <c r="K42" i="84"/>
  <c r="K41" i="84"/>
  <c r="K48" i="84"/>
  <c r="K47" i="84"/>
  <c r="K46" i="84"/>
  <c r="K45" i="84"/>
  <c r="K44" i="84"/>
  <c r="K40" i="84"/>
  <c r="K52" i="84"/>
  <c r="K51" i="84"/>
  <c r="K50" i="84"/>
  <c r="K49" i="84"/>
  <c r="G80" i="84"/>
  <c r="G86" i="84" s="1"/>
  <c r="K54" i="84"/>
  <c r="K53" i="84"/>
  <c r="K39" i="84"/>
  <c r="K38" i="84"/>
  <c r="M38" i="84"/>
  <c r="K37" i="84"/>
  <c r="K36" i="84"/>
  <c r="J36" i="84"/>
  <c r="K35" i="84"/>
  <c r="M35" i="84"/>
  <c r="G32" i="84"/>
  <c r="K10" i="84"/>
  <c r="K20" i="84"/>
  <c r="K19" i="84"/>
  <c r="K26" i="84"/>
  <c r="K22" i="84"/>
  <c r="K14" i="84"/>
  <c r="K17" i="84"/>
  <c r="K25" i="84"/>
  <c r="K15" i="84"/>
  <c r="K29" i="84"/>
  <c r="K28" i="84"/>
  <c r="K21" i="84"/>
  <c r="K24" i="84"/>
  <c r="K23" i="84"/>
  <c r="K18" i="84"/>
  <c r="K11" i="84"/>
  <c r="K8" i="84"/>
  <c r="K9" i="84"/>
  <c r="K16" i="84"/>
  <c r="K12" i="84"/>
  <c r="K27" i="84"/>
  <c r="K13" i="84"/>
  <c r="J75" i="82"/>
  <c r="J71" i="82"/>
  <c r="J70" i="82"/>
  <c r="J74" i="82"/>
  <c r="J73" i="82"/>
  <c r="O63" i="87" l="1"/>
  <c r="O79" i="87" s="1"/>
  <c r="M8" i="87"/>
  <c r="J36" i="87"/>
  <c r="H91" i="87"/>
  <c r="H92" i="87"/>
  <c r="M65" i="87"/>
  <c r="M59" i="87"/>
  <c r="M78" i="87"/>
  <c r="H86" i="87"/>
  <c r="M81" i="87"/>
  <c r="J74" i="87"/>
  <c r="J79" i="87" s="1"/>
  <c r="M30" i="87"/>
  <c r="M36" i="87" s="1"/>
  <c r="M46" i="87" s="1"/>
  <c r="J46" i="87"/>
  <c r="G46" i="87"/>
  <c r="G57" i="84"/>
  <c r="M9" i="84"/>
  <c r="M43" i="84"/>
  <c r="M41" i="84"/>
  <c r="M42" i="84"/>
  <c r="M48" i="84"/>
  <c r="M45" i="84"/>
  <c r="M40" i="84"/>
  <c r="M46" i="84"/>
  <c r="M44" i="84"/>
  <c r="M47" i="84"/>
  <c r="M49" i="84"/>
  <c r="M52" i="84"/>
  <c r="M50" i="84"/>
  <c r="M51" i="84"/>
  <c r="J32" i="84"/>
  <c r="J57" i="84" s="1"/>
  <c r="M29" i="84"/>
  <c r="M12" i="84"/>
  <c r="M36" i="84"/>
  <c r="M18" i="84"/>
  <c r="M37" i="84"/>
  <c r="M53" i="84"/>
  <c r="J80" i="84"/>
  <c r="J86" i="84" s="1"/>
  <c r="M24" i="84"/>
  <c r="M17" i="84"/>
  <c r="M26" i="84"/>
  <c r="M10" i="84"/>
  <c r="M8" i="84"/>
  <c r="M21" i="84"/>
  <c r="M15" i="84"/>
  <c r="M14" i="84"/>
  <c r="M19" i="84"/>
  <c r="M16" i="84"/>
  <c r="M11" i="84"/>
  <c r="M28" i="84"/>
  <c r="M25" i="84"/>
  <c r="M22" i="84"/>
  <c r="M20" i="84"/>
  <c r="M80" i="84"/>
  <c r="M86" i="84" s="1"/>
  <c r="M23" i="84"/>
  <c r="J21" i="83"/>
  <c r="M21" i="83" s="1"/>
  <c r="J17" i="83"/>
  <c r="J18" i="83"/>
  <c r="J19" i="83"/>
  <c r="J12" i="83"/>
  <c r="J22" i="83"/>
  <c r="M22" i="83" s="1"/>
  <c r="J33" i="83"/>
  <c r="J31" i="83"/>
  <c r="J35" i="83"/>
  <c r="M35" i="83" s="1"/>
  <c r="J11" i="83"/>
  <c r="J10" i="83"/>
  <c r="J9" i="83"/>
  <c r="J34" i="83"/>
  <c r="J25" i="83"/>
  <c r="J16" i="83"/>
  <c r="J37" i="83"/>
  <c r="J32" i="83"/>
  <c r="J24" i="83"/>
  <c r="J23" i="83"/>
  <c r="M23" i="83" s="1"/>
  <c r="J28" i="83"/>
  <c r="J20" i="83"/>
  <c r="J8" i="83"/>
  <c r="J30" i="83"/>
  <c r="J29" i="83"/>
  <c r="J48" i="83"/>
  <c r="J49" i="83"/>
  <c r="J26" i="83"/>
  <c r="J15" i="83"/>
  <c r="J14" i="83"/>
  <c r="J13" i="83"/>
  <c r="J38" i="83"/>
  <c r="J36" i="83"/>
  <c r="M36" i="83" s="1"/>
  <c r="J27" i="83"/>
  <c r="J46" i="83"/>
  <c r="J53" i="83"/>
  <c r="M53" i="83" s="1"/>
  <c r="J52" i="83"/>
  <c r="M52" i="83" s="1"/>
  <c r="J51" i="83"/>
  <c r="M51" i="83" s="1"/>
  <c r="J50" i="83"/>
  <c r="M50" i="83" s="1"/>
  <c r="J47" i="83"/>
  <c r="J45" i="83"/>
  <c r="J44" i="83"/>
  <c r="K53" i="83"/>
  <c r="K52" i="83"/>
  <c r="K51" i="83"/>
  <c r="K50" i="83"/>
  <c r="K47" i="83"/>
  <c r="J69" i="83"/>
  <c r="M69" i="83" s="1"/>
  <c r="J74" i="83"/>
  <c r="M74" i="83" s="1"/>
  <c r="J72" i="83"/>
  <c r="J71" i="83"/>
  <c r="J73" i="83"/>
  <c r="J70" i="83"/>
  <c r="J76" i="83"/>
  <c r="G79" i="83"/>
  <c r="G85" i="83" s="1"/>
  <c r="K69" i="83"/>
  <c r="K74" i="83"/>
  <c r="K72" i="83"/>
  <c r="K71" i="83"/>
  <c r="K73" i="83"/>
  <c r="K70" i="83"/>
  <c r="K76" i="83"/>
  <c r="K75" i="83"/>
  <c r="J75" i="83"/>
  <c r="K46" i="83"/>
  <c r="K45" i="83"/>
  <c r="K44" i="83"/>
  <c r="G41" i="83"/>
  <c r="G56" i="83" s="1"/>
  <c r="K22" i="83"/>
  <c r="K33" i="83"/>
  <c r="K31" i="83"/>
  <c r="K21" i="83"/>
  <c r="K35" i="83"/>
  <c r="K11" i="83"/>
  <c r="K10" i="83"/>
  <c r="K9" i="83"/>
  <c r="K34" i="83"/>
  <c r="K25" i="83"/>
  <c r="K16" i="83"/>
  <c r="K37" i="83"/>
  <c r="K32" i="83"/>
  <c r="K24" i="83"/>
  <c r="K23" i="83"/>
  <c r="K28" i="83"/>
  <c r="K20" i="83"/>
  <c r="K17" i="83"/>
  <c r="K18" i="83"/>
  <c r="K19" i="83"/>
  <c r="K8" i="83"/>
  <c r="K30" i="83"/>
  <c r="K29" i="83"/>
  <c r="K48" i="83"/>
  <c r="K49" i="83"/>
  <c r="K26" i="83"/>
  <c r="K15" i="83"/>
  <c r="K14" i="83"/>
  <c r="K13" i="83"/>
  <c r="K38" i="83"/>
  <c r="K12" i="83"/>
  <c r="K36" i="83"/>
  <c r="K27" i="83"/>
  <c r="J9" i="82"/>
  <c r="M9" i="82" s="1"/>
  <c r="J8" i="82"/>
  <c r="J42" i="82"/>
  <c r="M42" i="82" s="1"/>
  <c r="J41" i="82"/>
  <c r="M41" i="82" s="1"/>
  <c r="J43" i="82"/>
  <c r="M43" i="82" s="1"/>
  <c r="J38" i="82"/>
  <c r="M38" i="82" s="1"/>
  <c r="J34" i="82"/>
  <c r="M34" i="82" s="1"/>
  <c r="J29" i="82"/>
  <c r="M29" i="82" s="1"/>
  <c r="J15" i="82"/>
  <c r="M15" i="82" s="1"/>
  <c r="K9" i="82"/>
  <c r="K12" i="82"/>
  <c r="J12" i="82"/>
  <c r="M12" i="82" s="1"/>
  <c r="K41" i="82"/>
  <c r="K40" i="82"/>
  <c r="J40" i="82"/>
  <c r="M40" i="82" s="1"/>
  <c r="K37" i="82"/>
  <c r="J37" i="82"/>
  <c r="M37" i="82" s="1"/>
  <c r="K39" i="82"/>
  <c r="J39" i="82"/>
  <c r="M39" i="82" s="1"/>
  <c r="K46" i="82"/>
  <c r="J46" i="82"/>
  <c r="M46" i="82" s="1"/>
  <c r="K44" i="82"/>
  <c r="J44" i="82"/>
  <c r="M44" i="82" s="1"/>
  <c r="K45" i="82"/>
  <c r="J45" i="82"/>
  <c r="M45" i="82" s="1"/>
  <c r="K42" i="82"/>
  <c r="K47" i="82"/>
  <c r="J47" i="82"/>
  <c r="M47" i="82" s="1"/>
  <c r="K36" i="82"/>
  <c r="J36" i="82"/>
  <c r="M36" i="82" s="1"/>
  <c r="K35" i="82"/>
  <c r="J35" i="82"/>
  <c r="M35" i="82" s="1"/>
  <c r="K10" i="82"/>
  <c r="J10" i="82"/>
  <c r="M10" i="82" s="1"/>
  <c r="K17" i="82"/>
  <c r="J17" i="82"/>
  <c r="M17" i="82" s="1"/>
  <c r="K19" i="82"/>
  <c r="J19" i="82"/>
  <c r="M19" i="82" s="1"/>
  <c r="K24" i="82"/>
  <c r="J24" i="82"/>
  <c r="M24" i="82" s="1"/>
  <c r="K28" i="82"/>
  <c r="J28" i="82"/>
  <c r="M28" i="82" s="1"/>
  <c r="K34" i="82"/>
  <c r="K38" i="82"/>
  <c r="K43" i="82"/>
  <c r="K8" i="82"/>
  <c r="M8" i="82"/>
  <c r="K15" i="82"/>
  <c r="K14" i="82"/>
  <c r="J14" i="82"/>
  <c r="M14" i="82" s="1"/>
  <c r="K13" i="82"/>
  <c r="J13" i="82"/>
  <c r="M13" i="82" s="1"/>
  <c r="K11" i="82"/>
  <c r="J11" i="82"/>
  <c r="M11" i="82" s="1"/>
  <c r="K32" i="82"/>
  <c r="J32" i="82"/>
  <c r="M32" i="82" s="1"/>
  <c r="K33" i="82"/>
  <c r="J33" i="82"/>
  <c r="M33" i="82" s="1"/>
  <c r="K21" i="82"/>
  <c r="J21" i="82"/>
  <c r="M21" i="82" s="1"/>
  <c r="K22" i="82"/>
  <c r="J22" i="82"/>
  <c r="M22" i="82" s="1"/>
  <c r="K23" i="82"/>
  <c r="J23" i="82"/>
  <c r="M23" i="82" s="1"/>
  <c r="K31" i="82"/>
  <c r="J31" i="82"/>
  <c r="M31" i="82" s="1"/>
  <c r="K30" i="82"/>
  <c r="J30" i="82"/>
  <c r="M30" i="82" s="1"/>
  <c r="K29" i="82"/>
  <c r="K26" i="82"/>
  <c r="J26" i="82"/>
  <c r="M26" i="82" s="1"/>
  <c r="K25" i="82"/>
  <c r="J25" i="82"/>
  <c r="M25" i="82" s="1"/>
  <c r="K27" i="82"/>
  <c r="J27" i="82"/>
  <c r="M27" i="82" s="1"/>
  <c r="K16" i="82"/>
  <c r="J16" i="82"/>
  <c r="M16" i="82" s="1"/>
  <c r="K76" i="82"/>
  <c r="J76" i="82"/>
  <c r="M76" i="82" s="1"/>
  <c r="K77" i="82"/>
  <c r="J77" i="82"/>
  <c r="M77" i="82" s="1"/>
  <c r="K74" i="82"/>
  <c r="M74" i="82"/>
  <c r="K73" i="82"/>
  <c r="M73" i="82"/>
  <c r="K71" i="82"/>
  <c r="M71" i="82"/>
  <c r="K70" i="82"/>
  <c r="M70" i="82"/>
  <c r="M79" i="87" l="1"/>
  <c r="H93" i="87"/>
  <c r="H87" i="87"/>
  <c r="J84" i="87"/>
  <c r="M85" i="87"/>
  <c r="M84" i="87"/>
  <c r="J91" i="84"/>
  <c r="J92" i="84" s="1"/>
  <c r="M32" i="84"/>
  <c r="M57" i="84" s="1"/>
  <c r="M92" i="84"/>
  <c r="M91" i="84"/>
  <c r="M13" i="83"/>
  <c r="M47" i="83"/>
  <c r="M33" i="83"/>
  <c r="M12" i="83"/>
  <c r="M8" i="83"/>
  <c r="J41" i="83"/>
  <c r="J56" i="83" s="1"/>
  <c r="M19" i="83"/>
  <c r="M76" i="83"/>
  <c r="M32" i="83"/>
  <c r="M70" i="83"/>
  <c r="M29" i="83"/>
  <c r="M28" i="83"/>
  <c r="M9" i="83"/>
  <c r="M26" i="83"/>
  <c r="M18" i="83"/>
  <c r="M45" i="83"/>
  <c r="M27" i="83"/>
  <c r="M30" i="83"/>
  <c r="M16" i="83"/>
  <c r="M71" i="83"/>
  <c r="M14" i="83"/>
  <c r="M49" i="83"/>
  <c r="M24" i="83"/>
  <c r="M46" i="83"/>
  <c r="M20" i="83"/>
  <c r="M73" i="83"/>
  <c r="J79" i="83"/>
  <c r="J85" i="83" s="1"/>
  <c r="M75" i="83"/>
  <c r="M38" i="83"/>
  <c r="M10" i="83"/>
  <c r="M48" i="83"/>
  <c r="M37" i="83"/>
  <c r="M44" i="83"/>
  <c r="M25" i="83"/>
  <c r="M17" i="83"/>
  <c r="M34" i="83"/>
  <c r="M11" i="83"/>
  <c r="M31" i="83"/>
  <c r="M15" i="83"/>
  <c r="M72" i="83"/>
  <c r="G81" i="82"/>
  <c r="G87" i="82" s="1"/>
  <c r="K75" i="82"/>
  <c r="K72" i="82"/>
  <c r="J72" i="82"/>
  <c r="K54" i="82"/>
  <c r="J54" i="82"/>
  <c r="K53" i="82"/>
  <c r="J53" i="82"/>
  <c r="K52" i="82"/>
  <c r="J52" i="82"/>
  <c r="M52" i="82" s="1"/>
  <c r="G49" i="82"/>
  <c r="K20" i="82"/>
  <c r="J20" i="82"/>
  <c r="K18" i="82"/>
  <c r="J18" i="82"/>
  <c r="M71" i="81"/>
  <c r="K71" i="81"/>
  <c r="J78" i="81"/>
  <c r="J86" i="87" l="1"/>
  <c r="J85" i="87"/>
  <c r="J93" i="84"/>
  <c r="J90" i="83"/>
  <c r="J92" i="83" s="1"/>
  <c r="M41" i="83"/>
  <c r="M56" i="83" s="1"/>
  <c r="M79" i="83"/>
  <c r="M85" i="83" s="1"/>
  <c r="M90" i="83" s="1"/>
  <c r="G57" i="82"/>
  <c r="M18" i="82"/>
  <c r="M53" i="82"/>
  <c r="M75" i="82"/>
  <c r="M72" i="82"/>
  <c r="J81" i="82"/>
  <c r="J87" i="82" s="1"/>
  <c r="J49" i="82"/>
  <c r="J57" i="82" s="1"/>
  <c r="M54" i="82"/>
  <c r="M20" i="82"/>
  <c r="G87" i="81"/>
  <c r="K72" i="81"/>
  <c r="K74" i="81"/>
  <c r="J74" i="81"/>
  <c r="K75" i="81"/>
  <c r="J75" i="81"/>
  <c r="K76" i="81"/>
  <c r="J76" i="81"/>
  <c r="K81" i="81"/>
  <c r="J81" i="81"/>
  <c r="K82" i="81"/>
  <c r="J82" i="81"/>
  <c r="K83" i="81"/>
  <c r="J83" i="81"/>
  <c r="G13" i="81"/>
  <c r="T23" i="81"/>
  <c r="S24" i="81"/>
  <c r="J91" i="83" l="1"/>
  <c r="M91" i="83"/>
  <c r="M81" i="82"/>
  <c r="M49" i="82"/>
  <c r="M57" i="82" s="1"/>
  <c r="J92" i="82"/>
  <c r="J94" i="82" s="1"/>
  <c r="M72" i="81"/>
  <c r="M81" i="81"/>
  <c r="M74" i="81"/>
  <c r="M82" i="81"/>
  <c r="M76" i="81"/>
  <c r="M83" i="81"/>
  <c r="M75" i="81"/>
  <c r="S23" i="81"/>
  <c r="J26" i="81"/>
  <c r="J40" i="81"/>
  <c r="J60" i="81"/>
  <c r="J47" i="81"/>
  <c r="J21" i="81"/>
  <c r="J56" i="81"/>
  <c r="J52" i="81"/>
  <c r="J41" i="81"/>
  <c r="J59" i="81"/>
  <c r="J28" i="81"/>
  <c r="J39" i="81"/>
  <c r="J31" i="81"/>
  <c r="J30" i="81"/>
  <c r="J35" i="81"/>
  <c r="J34" i="81"/>
  <c r="J33" i="81"/>
  <c r="J27" i="81"/>
  <c r="J48" i="81"/>
  <c r="J29" i="81"/>
  <c r="J25" i="81"/>
  <c r="J14" i="81"/>
  <c r="J12" i="81"/>
  <c r="J22" i="81"/>
  <c r="J18" i="81"/>
  <c r="J17" i="81"/>
  <c r="J16" i="81"/>
  <c r="J19" i="81"/>
  <c r="J13" i="81"/>
  <c r="J57" i="81"/>
  <c r="J54" i="81"/>
  <c r="J53" i="81"/>
  <c r="J51" i="81"/>
  <c r="J50" i="81"/>
  <c r="J49" i="81"/>
  <c r="J46" i="81"/>
  <c r="J45" i="81"/>
  <c r="J44" i="81"/>
  <c r="J43" i="81"/>
  <c r="J42" i="81"/>
  <c r="J20" i="81"/>
  <c r="J10" i="81"/>
  <c r="J9" i="81"/>
  <c r="J11" i="81"/>
  <c r="J36" i="81"/>
  <c r="J58" i="81"/>
  <c r="J32" i="81"/>
  <c r="J37" i="81"/>
  <c r="K47" i="81"/>
  <c r="K21" i="81"/>
  <c r="K60" i="81"/>
  <c r="K70" i="81"/>
  <c r="J70" i="81"/>
  <c r="K69" i="81"/>
  <c r="J69" i="81"/>
  <c r="K67" i="81"/>
  <c r="J67" i="81"/>
  <c r="K68" i="81"/>
  <c r="J68" i="81"/>
  <c r="K78" i="81"/>
  <c r="K89" i="81"/>
  <c r="J89" i="81"/>
  <c r="K90" i="81"/>
  <c r="J90" i="81"/>
  <c r="K86" i="81"/>
  <c r="J86" i="81"/>
  <c r="K87" i="81"/>
  <c r="K88" i="81"/>
  <c r="K77" i="81"/>
  <c r="K84" i="81"/>
  <c r="J84" i="81"/>
  <c r="K79" i="81"/>
  <c r="J79" i="81"/>
  <c r="K18" i="81"/>
  <c r="K17" i="81"/>
  <c r="K16" i="81"/>
  <c r="K19" i="81"/>
  <c r="K13" i="81"/>
  <c r="K57" i="81"/>
  <c r="K54" i="81"/>
  <c r="K53" i="81"/>
  <c r="K51" i="81"/>
  <c r="K50" i="81"/>
  <c r="K49" i="81"/>
  <c r="K46" i="81"/>
  <c r="K45" i="81"/>
  <c r="K44" i="81"/>
  <c r="K43" i="81"/>
  <c r="K42" i="81"/>
  <c r="K23" i="81"/>
  <c r="K20" i="81"/>
  <c r="K10" i="81"/>
  <c r="K9" i="81"/>
  <c r="K11" i="81"/>
  <c r="K36" i="81"/>
  <c r="K58" i="81"/>
  <c r="K55" i="81"/>
  <c r="K15" i="81"/>
  <c r="K32" i="81"/>
  <c r="J108" i="81"/>
  <c r="J107" i="81"/>
  <c r="M107" i="81" s="1"/>
  <c r="J117" i="81"/>
  <c r="M117" i="81" s="1"/>
  <c r="K117" i="81"/>
  <c r="K109" i="81"/>
  <c r="J109" i="81"/>
  <c r="M109" i="81" s="1"/>
  <c r="K108" i="81"/>
  <c r="K107" i="81"/>
  <c r="G113" i="81"/>
  <c r="G119" i="81" s="1"/>
  <c r="K110" i="81"/>
  <c r="J110" i="81"/>
  <c r="K106" i="81"/>
  <c r="J106" i="81"/>
  <c r="K80" i="81"/>
  <c r="J80" i="81"/>
  <c r="K73" i="81"/>
  <c r="J73" i="81"/>
  <c r="K85" i="81"/>
  <c r="J85" i="81"/>
  <c r="G64" i="81"/>
  <c r="G93" i="81" s="1"/>
  <c r="K56" i="81"/>
  <c r="K52" i="81"/>
  <c r="K41" i="81"/>
  <c r="K40" i="81"/>
  <c r="K59" i="81"/>
  <c r="K28" i="81"/>
  <c r="K39" i="81"/>
  <c r="K31" i="81"/>
  <c r="K30" i="81"/>
  <c r="K35" i="81"/>
  <c r="K34" i="81"/>
  <c r="K33" i="81"/>
  <c r="K27" i="81"/>
  <c r="K48" i="81"/>
  <c r="K29" i="81"/>
  <c r="K26" i="81"/>
  <c r="K25" i="81"/>
  <c r="K24" i="81"/>
  <c r="K14" i="81"/>
  <c r="K12" i="81"/>
  <c r="K22" i="81"/>
  <c r="K37" i="81"/>
  <c r="K38" i="81"/>
  <c r="J38" i="81"/>
  <c r="K8" i="81"/>
  <c r="J8" i="81"/>
  <c r="M87" i="82" l="1"/>
  <c r="M93" i="82" s="1"/>
  <c r="O82" i="82"/>
  <c r="J93" i="82"/>
  <c r="J64" i="81"/>
  <c r="J93" i="81" s="1"/>
  <c r="M60" i="81"/>
  <c r="M21" i="81"/>
  <c r="M47" i="81"/>
  <c r="M87" i="81"/>
  <c r="M67" i="81"/>
  <c r="M69" i="81"/>
  <c r="M79" i="81"/>
  <c r="M90" i="81"/>
  <c r="M70" i="81"/>
  <c r="M84" i="81"/>
  <c r="M89" i="81"/>
  <c r="M77" i="81"/>
  <c r="M78" i="81"/>
  <c r="M88" i="81"/>
  <c r="M68" i="81"/>
  <c r="M86" i="81"/>
  <c r="M55" i="81"/>
  <c r="M20" i="81"/>
  <c r="M18" i="81"/>
  <c r="M46" i="81"/>
  <c r="M57" i="81"/>
  <c r="M58" i="81"/>
  <c r="M23" i="81"/>
  <c r="M49" i="81"/>
  <c r="M13" i="81"/>
  <c r="M36" i="81"/>
  <c r="M42" i="81"/>
  <c r="M50" i="81"/>
  <c r="M19" i="81"/>
  <c r="M11" i="81"/>
  <c r="M51" i="81"/>
  <c r="M32" i="81"/>
  <c r="M9" i="81"/>
  <c r="M44" i="81"/>
  <c r="M53" i="81"/>
  <c r="M15" i="81"/>
  <c r="M10" i="81"/>
  <c r="M17" i="81"/>
  <c r="M45" i="81"/>
  <c r="M54" i="81"/>
  <c r="M43" i="81"/>
  <c r="M16" i="81"/>
  <c r="M108" i="81"/>
  <c r="M38" i="81"/>
  <c r="M28" i="81"/>
  <c r="M56" i="81"/>
  <c r="M33" i="81"/>
  <c r="M25" i="81"/>
  <c r="M37" i="81"/>
  <c r="M59" i="81"/>
  <c r="M35" i="81"/>
  <c r="M48" i="81"/>
  <c r="M24" i="81"/>
  <c r="M34" i="81"/>
  <c r="M26" i="81"/>
  <c r="M85" i="81"/>
  <c r="M22" i="81"/>
  <c r="M29" i="81"/>
  <c r="M30" i="81"/>
  <c r="J113" i="81"/>
  <c r="J119" i="81" s="1"/>
  <c r="M106" i="81"/>
  <c r="M41" i="81"/>
  <c r="M80" i="81"/>
  <c r="M110" i="81"/>
  <c r="M14" i="81"/>
  <c r="M27" i="81"/>
  <c r="M8" i="81"/>
  <c r="M39" i="81"/>
  <c r="M12" i="81"/>
  <c r="M31" i="81"/>
  <c r="M73" i="81"/>
  <c r="M52" i="81"/>
  <c r="M40" i="81"/>
  <c r="M92" i="82" l="1"/>
  <c r="J124" i="81"/>
  <c r="J126" i="81" s="1"/>
  <c r="M64" i="81"/>
  <c r="M93" i="81" s="1"/>
  <c r="M113" i="81"/>
  <c r="M119" i="81" s="1"/>
  <c r="J30" i="80"/>
  <c r="J28" i="80"/>
  <c r="J26" i="79"/>
  <c r="J16" i="79"/>
  <c r="J19" i="79"/>
  <c r="J64" i="78"/>
  <c r="J63" i="78"/>
  <c r="J62" i="78"/>
  <c r="J60" i="78"/>
  <c r="J58" i="78"/>
  <c r="M58" i="78" s="1"/>
  <c r="H8" i="78"/>
  <c r="F8" i="78"/>
  <c r="E8" i="78"/>
  <c r="J8" i="78" s="1"/>
  <c r="M8" i="78" s="1"/>
  <c r="J29" i="78"/>
  <c r="J19" i="78"/>
  <c r="J9" i="78"/>
  <c r="J20" i="78"/>
  <c r="J11" i="78"/>
  <c r="K66" i="78"/>
  <c r="K65" i="78"/>
  <c r="K64" i="78"/>
  <c r="K63" i="78"/>
  <c r="K62" i="78"/>
  <c r="K61" i="78"/>
  <c r="K60" i="78"/>
  <c r="K59" i="78"/>
  <c r="J59" i="78"/>
  <c r="E66" i="78"/>
  <c r="J66" i="78" s="1"/>
  <c r="E65" i="78"/>
  <c r="J65" i="78" s="1"/>
  <c r="E64" i="78"/>
  <c r="E63" i="78"/>
  <c r="E62" i="78"/>
  <c r="E61" i="78"/>
  <c r="J61" i="78" s="1"/>
  <c r="E60" i="78"/>
  <c r="E59" i="78"/>
  <c r="E58" i="78"/>
  <c r="E60" i="79"/>
  <c r="J60" i="79" s="1"/>
  <c r="M60" i="79" s="1"/>
  <c r="E59" i="79"/>
  <c r="J59" i="79" s="1"/>
  <c r="E58" i="79"/>
  <c r="J58" i="79" s="1"/>
  <c r="E57" i="79"/>
  <c r="J57" i="79" s="1"/>
  <c r="M57" i="79" s="1"/>
  <c r="E61" i="80"/>
  <c r="J61" i="80" s="1"/>
  <c r="M61" i="80" s="1"/>
  <c r="E60" i="80"/>
  <c r="J60" i="80" s="1"/>
  <c r="E44" i="80"/>
  <c r="J44" i="80" s="1"/>
  <c r="M44" i="80" s="1"/>
  <c r="E43" i="80"/>
  <c r="J43" i="80" s="1"/>
  <c r="M43" i="80" s="1"/>
  <c r="E42" i="80"/>
  <c r="J42" i="80" s="1"/>
  <c r="M42" i="80" s="1"/>
  <c r="E41" i="80"/>
  <c r="J41" i="80" s="1"/>
  <c r="M41" i="80" s="1"/>
  <c r="E40" i="80"/>
  <c r="J40" i="80" s="1"/>
  <c r="E39" i="80"/>
  <c r="J39" i="80" s="1"/>
  <c r="M39" i="80" s="1"/>
  <c r="E38" i="80"/>
  <c r="J38" i="80" s="1"/>
  <c r="M38" i="80" s="1"/>
  <c r="K43" i="80"/>
  <c r="K42" i="80"/>
  <c r="K41" i="80"/>
  <c r="J10" i="80"/>
  <c r="E15" i="80"/>
  <c r="J15" i="80" s="1"/>
  <c r="M15" i="80" s="1"/>
  <c r="E23" i="80"/>
  <c r="J23" i="80" s="1"/>
  <c r="E25" i="80"/>
  <c r="J25" i="80" s="1"/>
  <c r="M25" i="80" s="1"/>
  <c r="E30" i="80"/>
  <c r="E19" i="80"/>
  <c r="E29" i="80"/>
  <c r="J29" i="80" s="1"/>
  <c r="E22" i="80"/>
  <c r="J22" i="80" s="1"/>
  <c r="E9" i="80"/>
  <c r="J9" i="80" s="1"/>
  <c r="E16" i="80"/>
  <c r="J16" i="80" s="1"/>
  <c r="E18" i="80"/>
  <c r="J18" i="80" s="1"/>
  <c r="M18" i="80" s="1"/>
  <c r="E21" i="80"/>
  <c r="J21" i="80" s="1"/>
  <c r="M21" i="80" s="1"/>
  <c r="E11" i="80"/>
  <c r="J11" i="80" s="1"/>
  <c r="M11" i="80" s="1"/>
  <c r="E17" i="80"/>
  <c r="J17" i="80" s="1"/>
  <c r="M17" i="80" s="1"/>
  <c r="E8" i="80"/>
  <c r="J8" i="80" s="1"/>
  <c r="M8" i="80" s="1"/>
  <c r="E20" i="80"/>
  <c r="J20" i="80" s="1"/>
  <c r="M20" i="80" s="1"/>
  <c r="E28" i="80"/>
  <c r="E26" i="80"/>
  <c r="E10" i="80"/>
  <c r="E13" i="80"/>
  <c r="J13" i="80" s="1"/>
  <c r="E31" i="80"/>
  <c r="J31" i="80" s="1"/>
  <c r="E12" i="80"/>
  <c r="J12" i="80" s="1"/>
  <c r="E27" i="80"/>
  <c r="J27" i="80" s="1"/>
  <c r="M27" i="80" s="1"/>
  <c r="E14" i="80"/>
  <c r="J14" i="80" s="1"/>
  <c r="M14" i="80" s="1"/>
  <c r="E24" i="80"/>
  <c r="J24" i="80" s="1"/>
  <c r="M24" i="80" s="1"/>
  <c r="J13" i="79"/>
  <c r="M13" i="79" s="1"/>
  <c r="J23" i="79"/>
  <c r="M23" i="79" s="1"/>
  <c r="E41" i="79"/>
  <c r="J41" i="79" s="1"/>
  <c r="M41" i="79" s="1"/>
  <c r="E40" i="79"/>
  <c r="J40" i="79" s="1"/>
  <c r="M40" i="79" s="1"/>
  <c r="E39" i="79"/>
  <c r="J39" i="79" s="1"/>
  <c r="E38" i="79"/>
  <c r="J38" i="79" s="1"/>
  <c r="M38" i="79" s="1"/>
  <c r="E37" i="79"/>
  <c r="J37" i="79" s="1"/>
  <c r="M37" i="79" s="1"/>
  <c r="E36" i="79"/>
  <c r="J36" i="79" s="1"/>
  <c r="M36" i="79" s="1"/>
  <c r="E35" i="79"/>
  <c r="J35" i="79" s="1"/>
  <c r="M35" i="79" s="1"/>
  <c r="E34" i="79"/>
  <c r="J34" i="79" s="1"/>
  <c r="M34" i="79" s="1"/>
  <c r="E33" i="79"/>
  <c r="J33" i="79" s="1"/>
  <c r="M33" i="79" s="1"/>
  <c r="K37" i="79"/>
  <c r="K36" i="79"/>
  <c r="K39" i="79"/>
  <c r="K38" i="79"/>
  <c r="E8" i="79"/>
  <c r="J8" i="79" s="1"/>
  <c r="E9" i="79"/>
  <c r="J9" i="79" s="1"/>
  <c r="E10" i="79"/>
  <c r="J10" i="79" s="1"/>
  <c r="E13" i="79"/>
  <c r="E12" i="79"/>
  <c r="J12" i="79" s="1"/>
  <c r="E15" i="79"/>
  <c r="J15" i="79" s="1"/>
  <c r="E11" i="79"/>
  <c r="J11" i="79" s="1"/>
  <c r="M11" i="79" s="1"/>
  <c r="E14" i="79"/>
  <c r="J14" i="79" s="1"/>
  <c r="M14" i="79" s="1"/>
  <c r="E16" i="79"/>
  <c r="E17" i="79"/>
  <c r="J17" i="79" s="1"/>
  <c r="E18" i="79"/>
  <c r="J18" i="79" s="1"/>
  <c r="E19" i="79"/>
  <c r="E20" i="79"/>
  <c r="J20" i="79" s="1"/>
  <c r="E21" i="79"/>
  <c r="J21" i="79" s="1"/>
  <c r="E22" i="79"/>
  <c r="J22" i="79" s="1"/>
  <c r="E23" i="79"/>
  <c r="E24" i="79"/>
  <c r="J24" i="79" s="1"/>
  <c r="M24" i="79" s="1"/>
  <c r="E25" i="79"/>
  <c r="J25" i="79" s="1"/>
  <c r="M25" i="79" s="1"/>
  <c r="E26" i="79"/>
  <c r="E27" i="79"/>
  <c r="J27" i="79" s="1"/>
  <c r="M27" i="79" s="1"/>
  <c r="E42" i="78"/>
  <c r="J42" i="78" s="1"/>
  <c r="M42" i="78" s="1"/>
  <c r="E41" i="78"/>
  <c r="J41" i="78" s="1"/>
  <c r="M41" i="78" s="1"/>
  <c r="E40" i="78"/>
  <c r="J40" i="78" s="1"/>
  <c r="M40" i="78" s="1"/>
  <c r="E39" i="78"/>
  <c r="J39" i="78" s="1"/>
  <c r="M39" i="78" s="1"/>
  <c r="E38" i="78"/>
  <c r="J38" i="78" s="1"/>
  <c r="M38" i="78" s="1"/>
  <c r="J15" i="78"/>
  <c r="J14" i="78"/>
  <c r="M14" i="78" s="1"/>
  <c r="J13" i="78"/>
  <c r="M13" i="78" s="1"/>
  <c r="E31" i="78"/>
  <c r="J31" i="78" s="1"/>
  <c r="E30" i="78"/>
  <c r="J30" i="78" s="1"/>
  <c r="M30" i="78" s="1"/>
  <c r="E29" i="78"/>
  <c r="E28" i="78"/>
  <c r="J28" i="78" s="1"/>
  <c r="M28" i="78" s="1"/>
  <c r="E27" i="78"/>
  <c r="J27" i="78" s="1"/>
  <c r="E26" i="78"/>
  <c r="J26" i="78" s="1"/>
  <c r="M26" i="78" s="1"/>
  <c r="E25" i="78"/>
  <c r="J25" i="78" s="1"/>
  <c r="E24" i="78"/>
  <c r="J24" i="78" s="1"/>
  <c r="E23" i="78"/>
  <c r="J23" i="78" s="1"/>
  <c r="E22" i="78"/>
  <c r="J22" i="78" s="1"/>
  <c r="E21" i="78"/>
  <c r="J21" i="78" s="1"/>
  <c r="E20" i="78"/>
  <c r="E19" i="78"/>
  <c r="E18" i="78"/>
  <c r="J18" i="78" s="1"/>
  <c r="M18" i="78" s="1"/>
  <c r="E17" i="78"/>
  <c r="J17" i="78" s="1"/>
  <c r="E16" i="78"/>
  <c r="J16" i="78" s="1"/>
  <c r="E15" i="78"/>
  <c r="E14" i="78"/>
  <c r="E13" i="78"/>
  <c r="E12" i="78"/>
  <c r="J12" i="78" s="1"/>
  <c r="M12" i="78" s="1"/>
  <c r="E11" i="78"/>
  <c r="E10" i="78"/>
  <c r="J10" i="78" s="1"/>
  <c r="M10" i="78" s="1"/>
  <c r="E9" i="78"/>
  <c r="G65" i="80"/>
  <c r="G71" i="80" s="1"/>
  <c r="K61" i="80"/>
  <c r="K60" i="80"/>
  <c r="K44" i="80"/>
  <c r="K40" i="80"/>
  <c r="K39" i="80"/>
  <c r="K38" i="80"/>
  <c r="G35" i="80"/>
  <c r="G47" i="80" s="1"/>
  <c r="K15" i="80"/>
  <c r="K23" i="80"/>
  <c r="K25" i="80"/>
  <c r="K30" i="80"/>
  <c r="K19" i="80"/>
  <c r="K29" i="80"/>
  <c r="K22" i="80"/>
  <c r="K9" i="80"/>
  <c r="K16" i="80"/>
  <c r="K18" i="80"/>
  <c r="K21" i="80"/>
  <c r="K11" i="80"/>
  <c r="K17" i="80"/>
  <c r="K8" i="80"/>
  <c r="K20" i="80"/>
  <c r="K28" i="80"/>
  <c r="K26" i="80"/>
  <c r="K10" i="80"/>
  <c r="K13" i="80"/>
  <c r="K31" i="80"/>
  <c r="K12" i="80"/>
  <c r="K27" i="80"/>
  <c r="K14" i="80"/>
  <c r="K24" i="80"/>
  <c r="G64" i="79"/>
  <c r="G70" i="79" s="1"/>
  <c r="K60" i="79"/>
  <c r="K59" i="79"/>
  <c r="K58" i="79"/>
  <c r="K57" i="79"/>
  <c r="K41" i="79"/>
  <c r="K40" i="79"/>
  <c r="K35" i="79"/>
  <c r="K34" i="79"/>
  <c r="K33" i="79"/>
  <c r="G30" i="79"/>
  <c r="G44" i="79" s="1"/>
  <c r="K8" i="79"/>
  <c r="K9" i="79"/>
  <c r="K10" i="79"/>
  <c r="K13" i="79"/>
  <c r="K12" i="79"/>
  <c r="K15" i="79"/>
  <c r="K11" i="79"/>
  <c r="K14" i="79"/>
  <c r="K16" i="79"/>
  <c r="K17" i="79"/>
  <c r="K18" i="79"/>
  <c r="K19" i="79"/>
  <c r="K20" i="79"/>
  <c r="K21" i="79"/>
  <c r="K22" i="79"/>
  <c r="K23" i="79"/>
  <c r="K24" i="79"/>
  <c r="K25" i="79"/>
  <c r="K26" i="79"/>
  <c r="K27" i="79"/>
  <c r="G70" i="78"/>
  <c r="G76" i="78" s="1"/>
  <c r="K58" i="78"/>
  <c r="K42" i="78"/>
  <c r="K41" i="78"/>
  <c r="K40" i="78"/>
  <c r="K39" i="78"/>
  <c r="K38" i="78"/>
  <c r="G35" i="78"/>
  <c r="G45" i="78" s="1"/>
  <c r="K31" i="78"/>
  <c r="K30" i="78"/>
  <c r="K29" i="78"/>
  <c r="K28" i="78"/>
  <c r="K27" i="78"/>
  <c r="K26" i="78"/>
  <c r="K25" i="78"/>
  <c r="K24" i="78"/>
  <c r="K23" i="78"/>
  <c r="K22" i="78"/>
  <c r="K21" i="78"/>
  <c r="K20" i="78"/>
  <c r="K19" i="78"/>
  <c r="K18" i="78"/>
  <c r="K17" i="78"/>
  <c r="K16" i="78"/>
  <c r="K15" i="78"/>
  <c r="M15" i="78"/>
  <c r="K14" i="78"/>
  <c r="K13" i="78"/>
  <c r="K12" i="78"/>
  <c r="K11" i="78"/>
  <c r="K10" i="78"/>
  <c r="K9" i="78"/>
  <c r="K8" i="78"/>
  <c r="P58" i="65"/>
  <c r="M54" i="77"/>
  <c r="M53" i="77"/>
  <c r="J94" i="76"/>
  <c r="M66" i="76"/>
  <c r="M65" i="76"/>
  <c r="M95" i="76"/>
  <c r="M94" i="76"/>
  <c r="M67" i="75"/>
  <c r="M66" i="75"/>
  <c r="J66" i="75"/>
  <c r="M41" i="75"/>
  <c r="M40" i="75"/>
  <c r="J77" i="74"/>
  <c r="M52" i="74"/>
  <c r="M51" i="74"/>
  <c r="J94" i="73"/>
  <c r="M62" i="73"/>
  <c r="M61" i="73"/>
  <c r="J81" i="72"/>
  <c r="M57" i="72"/>
  <c r="M56" i="72"/>
  <c r="J91" i="71"/>
  <c r="M63" i="71"/>
  <c r="M62" i="71"/>
  <c r="M55" i="70"/>
  <c r="M54" i="70"/>
  <c r="J54" i="70"/>
  <c r="M60" i="69"/>
  <c r="M59" i="69"/>
  <c r="J59" i="69"/>
  <c r="M68" i="68"/>
  <c r="M67" i="68"/>
  <c r="J67" i="68"/>
  <c r="M52" i="67"/>
  <c r="M51" i="67"/>
  <c r="J51" i="67"/>
  <c r="M53" i="66"/>
  <c r="M52" i="66"/>
  <c r="J52" i="66"/>
  <c r="M62" i="65"/>
  <c r="M61" i="65"/>
  <c r="J63" i="65"/>
  <c r="J62" i="65"/>
  <c r="M68" i="64"/>
  <c r="M67" i="64"/>
  <c r="G4" i="61"/>
  <c r="J28" i="77"/>
  <c r="K45" i="77"/>
  <c r="K44" i="77"/>
  <c r="K43" i="77"/>
  <c r="K42" i="77"/>
  <c r="E45" i="77"/>
  <c r="J45" i="77" s="1"/>
  <c r="M45" i="77" s="1"/>
  <c r="E44" i="77"/>
  <c r="J44" i="77" s="1"/>
  <c r="M44" i="77" s="1"/>
  <c r="E43" i="77"/>
  <c r="J43" i="77" s="1"/>
  <c r="M43" i="77" s="1"/>
  <c r="E42" i="77"/>
  <c r="J42" i="77" s="1"/>
  <c r="M42" i="77" s="1"/>
  <c r="E41" i="77"/>
  <c r="K34" i="77"/>
  <c r="K8" i="77"/>
  <c r="K10" i="77"/>
  <c r="K9" i="77"/>
  <c r="J8" i="77"/>
  <c r="J9" i="77"/>
  <c r="J10" i="77"/>
  <c r="K20" i="77"/>
  <c r="E20" i="77"/>
  <c r="J20" i="77" s="1"/>
  <c r="M20" i="77" s="1"/>
  <c r="E22" i="77"/>
  <c r="J22" i="77" s="1"/>
  <c r="E23" i="77"/>
  <c r="J23" i="77" s="1"/>
  <c r="E31" i="77"/>
  <c r="J31" i="77" s="1"/>
  <c r="E30" i="77"/>
  <c r="J30" i="77" s="1"/>
  <c r="E29" i="77"/>
  <c r="J29" i="77" s="1"/>
  <c r="E9" i="77"/>
  <c r="E8" i="77"/>
  <c r="E26" i="77"/>
  <c r="J26" i="77" s="1"/>
  <c r="E25" i="77"/>
  <c r="J25" i="77" s="1"/>
  <c r="E24" i="77"/>
  <c r="J24" i="77" s="1"/>
  <c r="E34" i="77"/>
  <c r="J34" i="77" s="1"/>
  <c r="E12" i="77"/>
  <c r="J12" i="77" s="1"/>
  <c r="E11" i="77"/>
  <c r="J11" i="77" s="1"/>
  <c r="E19" i="77"/>
  <c r="J19" i="77" s="1"/>
  <c r="E16" i="77"/>
  <c r="J16" i="77" s="1"/>
  <c r="E17" i="77"/>
  <c r="J17" i="77" s="1"/>
  <c r="E33" i="77"/>
  <c r="J33" i="77" s="1"/>
  <c r="E13" i="77"/>
  <c r="J13" i="77" s="1"/>
  <c r="E10" i="77"/>
  <c r="E21" i="77"/>
  <c r="J21" i="77" s="1"/>
  <c r="E27" i="77"/>
  <c r="J27" i="77" s="1"/>
  <c r="E14" i="77"/>
  <c r="J14" i="77" s="1"/>
  <c r="E32" i="77"/>
  <c r="J32" i="77" s="1"/>
  <c r="E18" i="77"/>
  <c r="J18" i="77" s="1"/>
  <c r="E28" i="77"/>
  <c r="E15" i="77"/>
  <c r="K75" i="77"/>
  <c r="E75" i="77"/>
  <c r="J75" i="77" s="1"/>
  <c r="M75" i="77" s="1"/>
  <c r="J61" i="77"/>
  <c r="M61" i="77"/>
  <c r="J63" i="77"/>
  <c r="M63" i="77" s="1"/>
  <c r="J65" i="77"/>
  <c r="M65" i="77" s="1"/>
  <c r="J62" i="77"/>
  <c r="M62" i="77" s="1"/>
  <c r="J66" i="77"/>
  <c r="M66" i="77" s="1"/>
  <c r="J64" i="77"/>
  <c r="K61" i="77"/>
  <c r="K63" i="77"/>
  <c r="K65" i="77"/>
  <c r="K62" i="77"/>
  <c r="K66" i="77"/>
  <c r="E61" i="77"/>
  <c r="E63" i="77"/>
  <c r="E62" i="77"/>
  <c r="E66" i="77"/>
  <c r="E64" i="77"/>
  <c r="N6" i="76"/>
  <c r="N7" i="76" s="1"/>
  <c r="M77" i="76"/>
  <c r="J75" i="76"/>
  <c r="M75" i="76" s="1"/>
  <c r="J76" i="76"/>
  <c r="M76" i="76"/>
  <c r="M74" i="76"/>
  <c r="K75" i="76"/>
  <c r="K76" i="76"/>
  <c r="K74" i="76"/>
  <c r="M78" i="76"/>
  <c r="K78" i="76"/>
  <c r="M73" i="76"/>
  <c r="K73" i="76"/>
  <c r="K81" i="76"/>
  <c r="K77" i="76"/>
  <c r="K79" i="76"/>
  <c r="E75" i="76"/>
  <c r="E76" i="76"/>
  <c r="E74" i="76"/>
  <c r="E78" i="76"/>
  <c r="E73" i="76"/>
  <c r="E81" i="76"/>
  <c r="J81" i="76" s="1"/>
  <c r="M81" i="76" s="1"/>
  <c r="E77" i="76"/>
  <c r="E79" i="76"/>
  <c r="J79" i="76" s="1"/>
  <c r="M79" i="76" s="1"/>
  <c r="E80" i="76"/>
  <c r="J80" i="76" s="1"/>
  <c r="K58" i="76"/>
  <c r="K57" i="76"/>
  <c r="K56" i="76"/>
  <c r="K55" i="76"/>
  <c r="K54" i="76"/>
  <c r="E58" i="76"/>
  <c r="J58" i="76" s="1"/>
  <c r="M58" i="76" s="1"/>
  <c r="E57" i="76"/>
  <c r="J57" i="76" s="1"/>
  <c r="M57" i="76" s="1"/>
  <c r="E56" i="76"/>
  <c r="J56" i="76" s="1"/>
  <c r="M56" i="76" s="1"/>
  <c r="E55" i="76"/>
  <c r="J55" i="76" s="1"/>
  <c r="M55" i="76" s="1"/>
  <c r="E54" i="76"/>
  <c r="J54" i="76" s="1"/>
  <c r="M54" i="76" s="1"/>
  <c r="E53" i="76"/>
  <c r="J13" i="76"/>
  <c r="M13" i="76" s="1"/>
  <c r="J8" i="76"/>
  <c r="J14" i="76"/>
  <c r="J34" i="76"/>
  <c r="M34" i="76" s="1"/>
  <c r="J11" i="76"/>
  <c r="M11" i="76" s="1"/>
  <c r="J35" i="76"/>
  <c r="J12" i="76"/>
  <c r="J9" i="76"/>
  <c r="K30" i="76"/>
  <c r="K21" i="76"/>
  <c r="K19" i="76"/>
  <c r="K32" i="76"/>
  <c r="K40" i="76"/>
  <c r="K18" i="76"/>
  <c r="K41" i="76"/>
  <c r="K13" i="76"/>
  <c r="K42" i="76"/>
  <c r="K8" i="76"/>
  <c r="M8" i="76"/>
  <c r="K36" i="76"/>
  <c r="K24" i="76"/>
  <c r="K23" i="76"/>
  <c r="K16" i="76"/>
  <c r="K15" i="76"/>
  <c r="K14" i="76"/>
  <c r="M14" i="76"/>
  <c r="K44" i="76"/>
  <c r="K34" i="76"/>
  <c r="K11" i="76"/>
  <c r="K43" i="76"/>
  <c r="K31" i="76"/>
  <c r="K17" i="76"/>
  <c r="K28" i="76"/>
  <c r="K25" i="76"/>
  <c r="K20" i="76"/>
  <c r="K27" i="76"/>
  <c r="K22" i="76"/>
  <c r="K33" i="76"/>
  <c r="K38" i="76"/>
  <c r="E30" i="76"/>
  <c r="J30" i="76" s="1"/>
  <c r="M30" i="76" s="1"/>
  <c r="E21" i="76"/>
  <c r="J21" i="76" s="1"/>
  <c r="M21" i="76" s="1"/>
  <c r="E19" i="76"/>
  <c r="J19" i="76" s="1"/>
  <c r="M19" i="76" s="1"/>
  <c r="E32" i="76"/>
  <c r="J32" i="76" s="1"/>
  <c r="M32" i="76" s="1"/>
  <c r="E40" i="76"/>
  <c r="J40" i="76" s="1"/>
  <c r="M40" i="76" s="1"/>
  <c r="E18" i="76"/>
  <c r="J18" i="76" s="1"/>
  <c r="M18" i="76" s="1"/>
  <c r="E41" i="76"/>
  <c r="J41" i="76" s="1"/>
  <c r="M41" i="76" s="1"/>
  <c r="E13" i="76"/>
  <c r="E42" i="76"/>
  <c r="J42" i="76" s="1"/>
  <c r="M42" i="76" s="1"/>
  <c r="E36" i="76"/>
  <c r="J36" i="76" s="1"/>
  <c r="M36" i="76" s="1"/>
  <c r="E24" i="76"/>
  <c r="J24" i="76" s="1"/>
  <c r="M24" i="76" s="1"/>
  <c r="E23" i="76"/>
  <c r="J23" i="76" s="1"/>
  <c r="M23" i="76" s="1"/>
  <c r="E16" i="76"/>
  <c r="J16" i="76" s="1"/>
  <c r="M16" i="76" s="1"/>
  <c r="E15" i="76"/>
  <c r="J15" i="76" s="1"/>
  <c r="M15" i="76" s="1"/>
  <c r="E14" i="76"/>
  <c r="E44" i="76"/>
  <c r="J44" i="76" s="1"/>
  <c r="M44" i="76" s="1"/>
  <c r="E34" i="76"/>
  <c r="E11" i="76"/>
  <c r="E43" i="76"/>
  <c r="J43" i="76" s="1"/>
  <c r="M43" i="76" s="1"/>
  <c r="E31" i="76"/>
  <c r="J31" i="76" s="1"/>
  <c r="M31" i="76" s="1"/>
  <c r="E17" i="76"/>
  <c r="J17" i="76" s="1"/>
  <c r="M17" i="76" s="1"/>
  <c r="E28" i="76"/>
  <c r="J28" i="76" s="1"/>
  <c r="M28" i="76" s="1"/>
  <c r="E25" i="76"/>
  <c r="J25" i="76" s="1"/>
  <c r="M25" i="76" s="1"/>
  <c r="E20" i="76"/>
  <c r="J20" i="76" s="1"/>
  <c r="M20" i="76" s="1"/>
  <c r="E27" i="76"/>
  <c r="J27" i="76" s="1"/>
  <c r="M27" i="76" s="1"/>
  <c r="E22" i="76"/>
  <c r="J22" i="76" s="1"/>
  <c r="M22" i="76" s="1"/>
  <c r="E33" i="76"/>
  <c r="J33" i="76" s="1"/>
  <c r="M33" i="76" s="1"/>
  <c r="E38" i="76"/>
  <c r="J38" i="76" s="1"/>
  <c r="M38" i="76" s="1"/>
  <c r="E45" i="76"/>
  <c r="E35" i="76"/>
  <c r="E37" i="76"/>
  <c r="E46" i="76"/>
  <c r="E12" i="76"/>
  <c r="E26" i="76"/>
  <c r="E39" i="76"/>
  <c r="E29" i="76"/>
  <c r="J125" i="81" l="1"/>
  <c r="M125" i="81"/>
  <c r="M124" i="81"/>
  <c r="M27" i="78"/>
  <c r="M16" i="78"/>
  <c r="M9" i="78"/>
  <c r="M11" i="78"/>
  <c r="M23" i="80"/>
  <c r="M40" i="80"/>
  <c r="M24" i="78"/>
  <c r="M25" i="78"/>
  <c r="M61" i="78"/>
  <c r="M65" i="78"/>
  <c r="M66" i="78"/>
  <c r="M30" i="80"/>
  <c r="M39" i="79"/>
  <c r="M26" i="79"/>
  <c r="M62" i="78"/>
  <c r="M63" i="78"/>
  <c r="M64" i="78"/>
  <c r="M59" i="78"/>
  <c r="M59" i="79"/>
  <c r="J65" i="80"/>
  <c r="J71" i="80" s="1"/>
  <c r="J26" i="80"/>
  <c r="J19" i="80"/>
  <c r="M16" i="80"/>
  <c r="M31" i="80"/>
  <c r="M9" i="80"/>
  <c r="M13" i="80"/>
  <c r="M22" i="80"/>
  <c r="M10" i="80"/>
  <c r="M29" i="80"/>
  <c r="M28" i="80"/>
  <c r="M12" i="80"/>
  <c r="M15" i="79"/>
  <c r="M12" i="79"/>
  <c r="M22" i="79"/>
  <c r="M10" i="79"/>
  <c r="M21" i="79"/>
  <c r="M9" i="79"/>
  <c r="M20" i="79"/>
  <c r="M8" i="79"/>
  <c r="M19" i="79"/>
  <c r="M18" i="79"/>
  <c r="M17" i="79"/>
  <c r="M16" i="79"/>
  <c r="J64" i="79"/>
  <c r="J70" i="79" s="1"/>
  <c r="M58" i="79"/>
  <c r="M17" i="78"/>
  <c r="M29" i="78"/>
  <c r="M19" i="78"/>
  <c r="M31" i="78"/>
  <c r="M20" i="78"/>
  <c r="M21" i="78"/>
  <c r="M22" i="78"/>
  <c r="M23" i="78"/>
  <c r="M60" i="80"/>
  <c r="M65" i="80" s="1"/>
  <c r="M71" i="80" s="1"/>
  <c r="J30" i="79"/>
  <c r="J44" i="79" s="1"/>
  <c r="J35" i="78"/>
  <c r="J45" i="78" s="1"/>
  <c r="J70" i="78"/>
  <c r="J76" i="78" s="1"/>
  <c r="M60" i="78"/>
  <c r="J96" i="76"/>
  <c r="J95" i="76"/>
  <c r="J68" i="75"/>
  <c r="J67" i="75"/>
  <c r="J56" i="70"/>
  <c r="J55" i="70"/>
  <c r="J61" i="69"/>
  <c r="J60" i="69"/>
  <c r="J69" i="68"/>
  <c r="J68" i="68"/>
  <c r="J53" i="67"/>
  <c r="J52" i="67"/>
  <c r="J54" i="66"/>
  <c r="J53" i="66"/>
  <c r="J51" i="75"/>
  <c r="M51" i="75" s="1"/>
  <c r="K51" i="75"/>
  <c r="K50" i="75"/>
  <c r="K49" i="75"/>
  <c r="E51" i="75"/>
  <c r="E50" i="75"/>
  <c r="J50" i="75" s="1"/>
  <c r="M50" i="75" s="1"/>
  <c r="E49" i="75"/>
  <c r="J49" i="75" s="1"/>
  <c r="M49" i="75" s="1"/>
  <c r="E48" i="75"/>
  <c r="J48" i="75" s="1"/>
  <c r="J21" i="75"/>
  <c r="K33" i="75"/>
  <c r="K32" i="75"/>
  <c r="K31" i="75"/>
  <c r="K30" i="75"/>
  <c r="K29" i="75"/>
  <c r="E33" i="75"/>
  <c r="J33" i="75" s="1"/>
  <c r="M33" i="75" s="1"/>
  <c r="E32" i="75"/>
  <c r="J32" i="75" s="1"/>
  <c r="M32" i="75" s="1"/>
  <c r="E31" i="75"/>
  <c r="J31" i="75" s="1"/>
  <c r="M31" i="75" s="1"/>
  <c r="E30" i="75"/>
  <c r="J30" i="75" s="1"/>
  <c r="M30" i="75" s="1"/>
  <c r="E29" i="75"/>
  <c r="J29" i="75" s="1"/>
  <c r="M29" i="75" s="1"/>
  <c r="E28" i="75"/>
  <c r="K22" i="75"/>
  <c r="E22" i="75"/>
  <c r="E21" i="75"/>
  <c r="E15" i="75"/>
  <c r="E14" i="75"/>
  <c r="E13" i="75"/>
  <c r="E12" i="75"/>
  <c r="E11" i="75"/>
  <c r="E10" i="75"/>
  <c r="E9" i="75"/>
  <c r="M19" i="80" l="1"/>
  <c r="M26" i="80"/>
  <c r="M70" i="78"/>
  <c r="M76" i="78" s="1"/>
  <c r="M82" i="78" s="1"/>
  <c r="M35" i="78"/>
  <c r="M45" i="78" s="1"/>
  <c r="M50" i="78" s="1"/>
  <c r="M64" i="79"/>
  <c r="M70" i="79" s="1"/>
  <c r="M76" i="79" s="1"/>
  <c r="J35" i="80"/>
  <c r="J47" i="80" s="1"/>
  <c r="J76" i="80" s="1"/>
  <c r="M30" i="79"/>
  <c r="M44" i="79" s="1"/>
  <c r="M49" i="79" s="1"/>
  <c r="J75" i="79"/>
  <c r="J77" i="79" s="1"/>
  <c r="M77" i="80"/>
  <c r="M76" i="80"/>
  <c r="M50" i="79"/>
  <c r="J81" i="78"/>
  <c r="J71" i="77"/>
  <c r="J77" i="77" s="1"/>
  <c r="G71" i="77"/>
  <c r="G77" i="77" s="1"/>
  <c r="M64" i="77"/>
  <c r="M71" i="77" s="1"/>
  <c r="M77" i="77" s="1"/>
  <c r="K64" i="77"/>
  <c r="K41" i="77"/>
  <c r="J41" i="77"/>
  <c r="M41" i="77" s="1"/>
  <c r="G38" i="77"/>
  <c r="G48" i="77" s="1"/>
  <c r="K22" i="77"/>
  <c r="M22" i="77"/>
  <c r="K23" i="77"/>
  <c r="M23" i="77"/>
  <c r="K31" i="77"/>
  <c r="M31" i="77"/>
  <c r="M30" i="77"/>
  <c r="K30" i="77"/>
  <c r="K29" i="77"/>
  <c r="M29" i="77"/>
  <c r="M9" i="77"/>
  <c r="M8" i="77"/>
  <c r="K26" i="77"/>
  <c r="M26" i="77"/>
  <c r="K25" i="77"/>
  <c r="M25" i="77"/>
  <c r="K24" i="77"/>
  <c r="M24" i="77"/>
  <c r="M34" i="77"/>
  <c r="K12" i="77"/>
  <c r="M12" i="77"/>
  <c r="K11" i="77"/>
  <c r="M11" i="77"/>
  <c r="K19" i="77"/>
  <c r="M19" i="77"/>
  <c r="K16" i="77"/>
  <c r="M16" i="77"/>
  <c r="K17" i="77"/>
  <c r="M17" i="77"/>
  <c r="K33" i="77"/>
  <c r="M33" i="77"/>
  <c r="K13" i="77"/>
  <c r="M13" i="77"/>
  <c r="M10" i="77"/>
  <c r="K21" i="77"/>
  <c r="M21" i="77"/>
  <c r="K27" i="77"/>
  <c r="M27" i="77"/>
  <c r="K14" i="77"/>
  <c r="M14" i="77"/>
  <c r="K32" i="77"/>
  <c r="M32" i="77"/>
  <c r="K18" i="77"/>
  <c r="M18" i="77"/>
  <c r="K28" i="77"/>
  <c r="M28" i="77"/>
  <c r="K15" i="77"/>
  <c r="J15" i="77"/>
  <c r="G83" i="76"/>
  <c r="G89" i="76" s="1"/>
  <c r="M80" i="76"/>
  <c r="M83" i="76" s="1"/>
  <c r="M89" i="76" s="1"/>
  <c r="K80" i="76"/>
  <c r="K53" i="76"/>
  <c r="J53" i="76"/>
  <c r="M53" i="76" s="1"/>
  <c r="G50" i="76"/>
  <c r="G60" i="76" s="1"/>
  <c r="K45" i="76"/>
  <c r="J45" i="76"/>
  <c r="M45" i="76" s="1"/>
  <c r="K35" i="76"/>
  <c r="M35" i="76"/>
  <c r="K37" i="76"/>
  <c r="J37" i="76"/>
  <c r="M37" i="76" s="1"/>
  <c r="K46" i="76"/>
  <c r="J46" i="76"/>
  <c r="M46" i="76" s="1"/>
  <c r="K12" i="76"/>
  <c r="M12" i="76"/>
  <c r="K26" i="76"/>
  <c r="J26" i="76"/>
  <c r="M26" i="76" s="1"/>
  <c r="K39" i="76"/>
  <c r="J39" i="76"/>
  <c r="M39" i="76" s="1"/>
  <c r="K10" i="76"/>
  <c r="J10" i="76"/>
  <c r="M10" i="76" s="1"/>
  <c r="K9" i="76"/>
  <c r="M9" i="76"/>
  <c r="K29" i="76"/>
  <c r="J29" i="76"/>
  <c r="M29" i="76" s="1"/>
  <c r="J22" i="75"/>
  <c r="M22" i="75" s="1"/>
  <c r="M21" i="75"/>
  <c r="J20" i="75"/>
  <c r="M20" i="75" s="1"/>
  <c r="J19" i="75"/>
  <c r="M19" i="75" s="1"/>
  <c r="J18" i="75"/>
  <c r="M18" i="75" s="1"/>
  <c r="J17" i="75"/>
  <c r="M17" i="75" s="1"/>
  <c r="J16" i="75"/>
  <c r="M16" i="75" s="1"/>
  <c r="J15" i="75"/>
  <c r="M15" i="75" s="1"/>
  <c r="J13" i="75"/>
  <c r="M13" i="75" s="1"/>
  <c r="J12" i="75"/>
  <c r="M12" i="75" s="1"/>
  <c r="J11" i="75"/>
  <c r="M11" i="75" s="1"/>
  <c r="J10" i="75"/>
  <c r="J9" i="75"/>
  <c r="J8" i="75"/>
  <c r="G55" i="75"/>
  <c r="G61" i="75" s="1"/>
  <c r="M48" i="75"/>
  <c r="M55" i="75" s="1"/>
  <c r="M61" i="75" s="1"/>
  <c r="K48" i="75"/>
  <c r="K28" i="75"/>
  <c r="J28" i="75"/>
  <c r="M28" i="75" s="1"/>
  <c r="G25" i="75"/>
  <c r="G35" i="75" s="1"/>
  <c r="K21" i="75"/>
  <c r="K20" i="75"/>
  <c r="K19" i="75"/>
  <c r="K18" i="75"/>
  <c r="K17" i="75"/>
  <c r="K16" i="75"/>
  <c r="K15" i="75"/>
  <c r="K14" i="75"/>
  <c r="J14" i="75"/>
  <c r="M14" i="75" s="1"/>
  <c r="K13" i="75"/>
  <c r="K12" i="75"/>
  <c r="K11" i="75"/>
  <c r="M10" i="75"/>
  <c r="K10" i="75"/>
  <c r="M9" i="75"/>
  <c r="K9" i="75"/>
  <c r="M8" i="75"/>
  <c r="K8" i="75"/>
  <c r="M13" i="74"/>
  <c r="M10" i="74"/>
  <c r="G32" i="74"/>
  <c r="G36" i="74" s="1"/>
  <c r="E43" i="74"/>
  <c r="J43" i="74" s="1"/>
  <c r="E42" i="74"/>
  <c r="J42" i="74" s="1"/>
  <c r="E41" i="74"/>
  <c r="J41" i="74" s="1"/>
  <c r="J30" i="74"/>
  <c r="M30" i="74" s="1"/>
  <c r="J14" i="74"/>
  <c r="J22" i="74"/>
  <c r="J21" i="74"/>
  <c r="J15" i="74"/>
  <c r="J19" i="74"/>
  <c r="J25" i="74"/>
  <c r="J29" i="74"/>
  <c r="J23" i="74"/>
  <c r="M23" i="74" s="1"/>
  <c r="J16" i="74"/>
  <c r="J26" i="74"/>
  <c r="M26" i="74" s="1"/>
  <c r="J24" i="74"/>
  <c r="J20" i="74"/>
  <c r="M20" i="74" s="1"/>
  <c r="J32" i="74"/>
  <c r="J27" i="74"/>
  <c r="M27" i="74" s="1"/>
  <c r="J31" i="74"/>
  <c r="M31" i="74" s="1"/>
  <c r="J17" i="74"/>
  <c r="J28" i="74"/>
  <c r="M28" i="74" s="1"/>
  <c r="J33" i="74"/>
  <c r="M33" i="74" s="1"/>
  <c r="K18" i="74"/>
  <c r="K12" i="74"/>
  <c r="K21" i="74"/>
  <c r="J60" i="74"/>
  <c r="J61" i="74"/>
  <c r="M61" i="74" s="1"/>
  <c r="G66" i="74"/>
  <c r="G72" i="74" s="1"/>
  <c r="K63" i="74"/>
  <c r="J63" i="74"/>
  <c r="M63" i="74" s="1"/>
  <c r="K62" i="74"/>
  <c r="J62" i="74"/>
  <c r="M62" i="74" s="1"/>
  <c r="K61" i="74"/>
  <c r="K60" i="74"/>
  <c r="K59" i="74"/>
  <c r="K43" i="74"/>
  <c r="K42" i="74"/>
  <c r="K41" i="74"/>
  <c r="K40" i="74"/>
  <c r="J40" i="74"/>
  <c r="K39" i="74"/>
  <c r="J39" i="74"/>
  <c r="M39" i="74" s="1"/>
  <c r="K30" i="74"/>
  <c r="K14" i="74"/>
  <c r="K22" i="74"/>
  <c r="K15" i="74"/>
  <c r="K19" i="74"/>
  <c r="K13" i="74"/>
  <c r="K8" i="74"/>
  <c r="K25" i="74"/>
  <c r="K29" i="74"/>
  <c r="K23" i="74"/>
  <c r="K16" i="74"/>
  <c r="K26" i="74"/>
  <c r="K24" i="74"/>
  <c r="K11" i="74"/>
  <c r="K20" i="74"/>
  <c r="K32" i="74"/>
  <c r="K27" i="74"/>
  <c r="K31" i="74"/>
  <c r="K17" i="74"/>
  <c r="K28" i="74"/>
  <c r="K10" i="74"/>
  <c r="K9" i="74"/>
  <c r="K33" i="74"/>
  <c r="M35" i="80" l="1"/>
  <c r="M47" i="80" s="1"/>
  <c r="M52" i="80" s="1"/>
  <c r="M81" i="78"/>
  <c r="M51" i="78"/>
  <c r="M75" i="79"/>
  <c r="M53" i="80"/>
  <c r="J78" i="80"/>
  <c r="J77" i="80"/>
  <c r="J76" i="79"/>
  <c r="J83" i="78"/>
  <c r="J82" i="78"/>
  <c r="M82" i="77"/>
  <c r="M83" i="77"/>
  <c r="J38" i="77"/>
  <c r="J48" i="77" s="1"/>
  <c r="J82" i="77" s="1"/>
  <c r="M15" i="77"/>
  <c r="M38" i="77" s="1"/>
  <c r="M48" i="77" s="1"/>
  <c r="M50" i="76"/>
  <c r="M60" i="76" s="1"/>
  <c r="J83" i="76"/>
  <c r="J89" i="76" s="1"/>
  <c r="J50" i="76"/>
  <c r="J60" i="76" s="1"/>
  <c r="M25" i="75"/>
  <c r="M35" i="75" s="1"/>
  <c r="J25" i="75"/>
  <c r="J35" i="75" s="1"/>
  <c r="J55" i="75"/>
  <c r="J61" i="75" s="1"/>
  <c r="M18" i="74"/>
  <c r="M21" i="74"/>
  <c r="M12" i="74"/>
  <c r="M17" i="74"/>
  <c r="J66" i="74"/>
  <c r="M60" i="74"/>
  <c r="M59" i="74"/>
  <c r="M9" i="74"/>
  <c r="M41" i="74"/>
  <c r="M24" i="74"/>
  <c r="M15" i="74"/>
  <c r="J36" i="74"/>
  <c r="J46" i="74" s="1"/>
  <c r="M32" i="74"/>
  <c r="M8" i="74"/>
  <c r="M42" i="74"/>
  <c r="M43" i="74"/>
  <c r="M29" i="74"/>
  <c r="M22" i="74"/>
  <c r="G46" i="74"/>
  <c r="M11" i="74"/>
  <c r="M16" i="74"/>
  <c r="M25" i="74"/>
  <c r="M19" i="74"/>
  <c r="M14" i="74"/>
  <c r="J72" i="74"/>
  <c r="M40" i="74"/>
  <c r="K38" i="73"/>
  <c r="J38" i="73"/>
  <c r="O38" i="73" s="1"/>
  <c r="K53" i="73"/>
  <c r="J53" i="73"/>
  <c r="M53" i="73" s="1"/>
  <c r="J37" i="73"/>
  <c r="K37" i="73"/>
  <c r="O37" i="73"/>
  <c r="J41" i="73"/>
  <c r="M41" i="73" s="1"/>
  <c r="J35" i="73"/>
  <c r="M35" i="73" s="1"/>
  <c r="J39" i="73"/>
  <c r="M39" i="73" s="1"/>
  <c r="K11" i="73"/>
  <c r="K10" i="73"/>
  <c r="K14" i="73"/>
  <c r="K15" i="73"/>
  <c r="K17" i="73"/>
  <c r="K13" i="73"/>
  <c r="K9" i="73"/>
  <c r="K12" i="73"/>
  <c r="K18" i="73"/>
  <c r="K8" i="73"/>
  <c r="J11" i="73"/>
  <c r="M11" i="73" s="1"/>
  <c r="J10" i="73"/>
  <c r="M10" i="73" s="1"/>
  <c r="J14" i="73"/>
  <c r="M14" i="73" s="1"/>
  <c r="J15" i="73"/>
  <c r="M15" i="73" s="1"/>
  <c r="J17" i="73"/>
  <c r="M17" i="73" s="1"/>
  <c r="J13" i="73"/>
  <c r="M13" i="73" s="1"/>
  <c r="E52" i="73"/>
  <c r="J52" i="73" s="1"/>
  <c r="M52" i="73" s="1"/>
  <c r="E51" i="73"/>
  <c r="J51" i="73" s="1"/>
  <c r="G48" i="73"/>
  <c r="E48" i="73"/>
  <c r="J48" i="73" s="1"/>
  <c r="M48" i="73" s="1"/>
  <c r="J9" i="73"/>
  <c r="M9" i="73" s="1"/>
  <c r="J12" i="73"/>
  <c r="O12" i="73" s="1"/>
  <c r="J18" i="73"/>
  <c r="M18" i="73" s="1"/>
  <c r="J8" i="73"/>
  <c r="O8" i="73" s="1"/>
  <c r="J19" i="73"/>
  <c r="O19" i="73" s="1"/>
  <c r="J20" i="73"/>
  <c r="O20" i="73" s="1"/>
  <c r="J21" i="73"/>
  <c r="O21" i="73" s="1"/>
  <c r="J22" i="73"/>
  <c r="O22" i="73" s="1"/>
  <c r="J23" i="73"/>
  <c r="O23" i="73" s="1"/>
  <c r="J16" i="73"/>
  <c r="O16" i="73" s="1"/>
  <c r="J25" i="73"/>
  <c r="O25" i="73" s="1"/>
  <c r="J24" i="73"/>
  <c r="M24" i="73" s="1"/>
  <c r="J26" i="73"/>
  <c r="O26" i="73" s="1"/>
  <c r="J28" i="73"/>
  <c r="O28" i="73" s="1"/>
  <c r="J27" i="73"/>
  <c r="O27" i="73" s="1"/>
  <c r="J29" i="73"/>
  <c r="O29" i="73" s="1"/>
  <c r="J30" i="73"/>
  <c r="O30" i="73" s="1"/>
  <c r="J34" i="73"/>
  <c r="O34" i="73" s="1"/>
  <c r="J31" i="73"/>
  <c r="M31" i="73" s="1"/>
  <c r="J36" i="73"/>
  <c r="O36" i="73" s="1"/>
  <c r="K76" i="73"/>
  <c r="J76" i="73"/>
  <c r="M76" i="73" s="1"/>
  <c r="J79" i="73"/>
  <c r="M79" i="73" s="1"/>
  <c r="J78" i="73"/>
  <c r="M78" i="73" s="1"/>
  <c r="J77" i="73"/>
  <c r="M77" i="73" s="1"/>
  <c r="K79" i="73"/>
  <c r="K78" i="73"/>
  <c r="J70" i="73"/>
  <c r="M70" i="73" s="1"/>
  <c r="J71" i="73"/>
  <c r="M71" i="73" s="1"/>
  <c r="J69" i="73"/>
  <c r="K71" i="73"/>
  <c r="K70" i="73"/>
  <c r="G83" i="73"/>
  <c r="G89" i="73" s="1"/>
  <c r="K80" i="73"/>
  <c r="J80" i="73"/>
  <c r="M80" i="73" s="1"/>
  <c r="K77" i="73"/>
  <c r="K75" i="73"/>
  <c r="J75" i="73"/>
  <c r="M75" i="73" s="1"/>
  <c r="K74" i="73"/>
  <c r="J74" i="73"/>
  <c r="M74" i="73" s="1"/>
  <c r="K73" i="73"/>
  <c r="J73" i="73"/>
  <c r="M73" i="73" s="1"/>
  <c r="K72" i="73"/>
  <c r="J72" i="73"/>
  <c r="M72" i="73" s="1"/>
  <c r="K69" i="73"/>
  <c r="K52" i="73"/>
  <c r="K51" i="73"/>
  <c r="K50" i="73"/>
  <c r="J50" i="73"/>
  <c r="M50" i="73" s="1"/>
  <c r="K49" i="73"/>
  <c r="J49" i="73"/>
  <c r="O49" i="73" s="1"/>
  <c r="K48" i="73"/>
  <c r="G45" i="73"/>
  <c r="K19" i="73"/>
  <c r="K20" i="73"/>
  <c r="K21" i="73"/>
  <c r="K22" i="73"/>
  <c r="K23" i="73"/>
  <c r="K16" i="73"/>
  <c r="K25" i="73"/>
  <c r="K24" i="73"/>
  <c r="K26" i="73"/>
  <c r="K28" i="73"/>
  <c r="K27" i="73"/>
  <c r="K29" i="73"/>
  <c r="K30" i="73"/>
  <c r="K34" i="73"/>
  <c r="K31" i="73"/>
  <c r="K36" i="73"/>
  <c r="K33" i="73"/>
  <c r="J33" i="73"/>
  <c r="K32" i="73"/>
  <c r="J32" i="73"/>
  <c r="O32" i="73" s="1"/>
  <c r="K35" i="73"/>
  <c r="K40" i="73"/>
  <c r="J40" i="73"/>
  <c r="O40" i="73" s="1"/>
  <c r="K39" i="73"/>
  <c r="K41" i="73"/>
  <c r="K42" i="73"/>
  <c r="J42" i="73"/>
  <c r="M42" i="73" s="1"/>
  <c r="J30" i="72"/>
  <c r="K65" i="72"/>
  <c r="J65" i="72"/>
  <c r="M65" i="72" s="1"/>
  <c r="K64" i="72"/>
  <c r="J64" i="72"/>
  <c r="M64" i="72" s="1"/>
  <c r="G73" i="72"/>
  <c r="J44" i="72"/>
  <c r="M44" i="72" s="1"/>
  <c r="J46" i="72"/>
  <c r="M46" i="72" s="1"/>
  <c r="J45" i="72"/>
  <c r="J43" i="72"/>
  <c r="O43" i="72" s="1"/>
  <c r="K46" i="72"/>
  <c r="E46" i="72"/>
  <c r="K44" i="72"/>
  <c r="E44" i="72"/>
  <c r="J23" i="72"/>
  <c r="M23" i="72" s="1"/>
  <c r="J22" i="72"/>
  <c r="M22" i="72" s="1"/>
  <c r="K23" i="72"/>
  <c r="J8" i="72"/>
  <c r="J11" i="72"/>
  <c r="M11" i="72" s="1"/>
  <c r="J10" i="72"/>
  <c r="M10" i="72" s="1"/>
  <c r="J16" i="72"/>
  <c r="M16" i="72" s="1"/>
  <c r="G66" i="72"/>
  <c r="G69" i="72" s="1"/>
  <c r="E66" i="72"/>
  <c r="J66" i="72" s="1"/>
  <c r="E73" i="72"/>
  <c r="J73" i="72" s="1"/>
  <c r="M73" i="72" s="1"/>
  <c r="E83" i="71"/>
  <c r="G83" i="71"/>
  <c r="J15" i="72"/>
  <c r="O15" i="72" s="1"/>
  <c r="G48" i="72"/>
  <c r="G47" i="72"/>
  <c r="O47" i="72" s="1"/>
  <c r="E49" i="72"/>
  <c r="J49" i="72" s="1"/>
  <c r="E48" i="72"/>
  <c r="J48" i="72" s="1"/>
  <c r="M48" i="72" s="1"/>
  <c r="E47" i="72"/>
  <c r="J47" i="72" s="1"/>
  <c r="M47" i="72" s="1"/>
  <c r="E45" i="72"/>
  <c r="E43" i="72"/>
  <c r="E42" i="72"/>
  <c r="J42" i="72" s="1"/>
  <c r="M42" i="72" s="1"/>
  <c r="E41" i="72"/>
  <c r="J41" i="72" s="1"/>
  <c r="M41" i="72" s="1"/>
  <c r="G36" i="72"/>
  <c r="E32" i="72"/>
  <c r="J32" i="72" s="1"/>
  <c r="M32" i="72" s="1"/>
  <c r="J34" i="72"/>
  <c r="M34" i="72" s="1"/>
  <c r="J33" i="72"/>
  <c r="M33" i="72" s="1"/>
  <c r="E15" i="72"/>
  <c r="E14" i="72"/>
  <c r="J14" i="72" s="1"/>
  <c r="M14" i="72" s="1"/>
  <c r="K73" i="72"/>
  <c r="K66" i="72"/>
  <c r="K49" i="72"/>
  <c r="K48" i="72"/>
  <c r="K47" i="72"/>
  <c r="K45" i="72"/>
  <c r="K43" i="72"/>
  <c r="K42" i="72"/>
  <c r="K41" i="72"/>
  <c r="K40" i="72"/>
  <c r="J40" i="72"/>
  <c r="K39" i="72"/>
  <c r="J39" i="72"/>
  <c r="M39" i="72" s="1"/>
  <c r="K31" i="72"/>
  <c r="J31" i="72"/>
  <c r="M31" i="72" s="1"/>
  <c r="K30" i="72"/>
  <c r="K29" i="72"/>
  <c r="J29" i="72"/>
  <c r="K28" i="72"/>
  <c r="J28" i="72"/>
  <c r="M28" i="72" s="1"/>
  <c r="K27" i="72"/>
  <c r="J27" i="72"/>
  <c r="M27" i="72" s="1"/>
  <c r="K26" i="72"/>
  <c r="J26" i="72"/>
  <c r="M26" i="72" s="1"/>
  <c r="K25" i="72"/>
  <c r="J25" i="72"/>
  <c r="M25" i="72" s="1"/>
  <c r="K24" i="72"/>
  <c r="J24" i="72"/>
  <c r="M24" i="72" s="1"/>
  <c r="K22" i="72"/>
  <c r="K21" i="72"/>
  <c r="J21" i="72"/>
  <c r="M21" i="72" s="1"/>
  <c r="K20" i="72"/>
  <c r="J20" i="72"/>
  <c r="M20" i="72" s="1"/>
  <c r="K19" i="72"/>
  <c r="J19" i="72"/>
  <c r="M19" i="72" s="1"/>
  <c r="K18" i="72"/>
  <c r="J18" i="72"/>
  <c r="M18" i="72" s="1"/>
  <c r="K17" i="72"/>
  <c r="J17" i="72"/>
  <c r="M17" i="72" s="1"/>
  <c r="K16" i="72"/>
  <c r="K15" i="72"/>
  <c r="K14" i="72"/>
  <c r="K13" i="72"/>
  <c r="J13" i="72"/>
  <c r="M13" i="72" s="1"/>
  <c r="K12" i="72"/>
  <c r="J12" i="72"/>
  <c r="M12" i="72" s="1"/>
  <c r="K11" i="72"/>
  <c r="K10" i="72"/>
  <c r="K9" i="72"/>
  <c r="J9" i="72"/>
  <c r="O9" i="72" s="1"/>
  <c r="K8" i="72"/>
  <c r="J83" i="77" l="1"/>
  <c r="J84" i="77"/>
  <c r="J78" i="74"/>
  <c r="J79" i="74"/>
  <c r="M30" i="72"/>
  <c r="O30" i="72"/>
  <c r="O45" i="72"/>
  <c r="M8" i="72"/>
  <c r="O8" i="72"/>
  <c r="M49" i="72"/>
  <c r="O49" i="72"/>
  <c r="M40" i="72"/>
  <c r="O40" i="72"/>
  <c r="M29" i="72"/>
  <c r="O29" i="72"/>
  <c r="M66" i="74"/>
  <c r="M72" i="74" s="1"/>
  <c r="M36" i="74"/>
  <c r="M46" i="74" s="1"/>
  <c r="O48" i="72"/>
  <c r="O39" i="72"/>
  <c r="M38" i="73"/>
  <c r="O31" i="72"/>
  <c r="O10" i="72"/>
  <c r="O11" i="72"/>
  <c r="O14" i="72"/>
  <c r="O17" i="72"/>
  <c r="O18" i="72"/>
  <c r="O19" i="72"/>
  <c r="O26" i="72"/>
  <c r="O21" i="72"/>
  <c r="O42" i="72"/>
  <c r="O12" i="72"/>
  <c r="O24" i="72"/>
  <c r="O20" i="72"/>
  <c r="O32" i="72"/>
  <c r="O33" i="72"/>
  <c r="O22" i="72"/>
  <c r="O34" i="72"/>
  <c r="O41" i="72"/>
  <c r="O23" i="72"/>
  <c r="O13" i="72"/>
  <c r="O25" i="72"/>
  <c r="O44" i="72"/>
  <c r="O27" i="72"/>
  <c r="O46" i="72"/>
  <c r="O16" i="72"/>
  <c r="O28" i="72"/>
  <c r="M37" i="73"/>
  <c r="O52" i="73"/>
  <c r="M49" i="73"/>
  <c r="M25" i="73"/>
  <c r="G56" i="73"/>
  <c r="M36" i="73"/>
  <c r="O48" i="73"/>
  <c r="O39" i="73"/>
  <c r="J83" i="73"/>
  <c r="J89" i="73" s="1"/>
  <c r="O51" i="73"/>
  <c r="M51" i="73"/>
  <c r="O35" i="73"/>
  <c r="M28" i="73"/>
  <c r="M69" i="73"/>
  <c r="M83" i="73" s="1"/>
  <c r="M89" i="73" s="1"/>
  <c r="M22" i="73"/>
  <c r="O41" i="73"/>
  <c r="M32" i="73"/>
  <c r="M30" i="73"/>
  <c r="M19" i="73"/>
  <c r="O18" i="73"/>
  <c r="O50" i="73"/>
  <c r="O33" i="73"/>
  <c r="M33" i="73"/>
  <c r="M29" i="73"/>
  <c r="M26" i="73"/>
  <c r="M21" i="73"/>
  <c r="M8" i="73"/>
  <c r="O9" i="73"/>
  <c r="O31" i="73"/>
  <c r="M40" i="73"/>
  <c r="J45" i="73"/>
  <c r="J56" i="73" s="1"/>
  <c r="O42" i="73"/>
  <c r="M34" i="73"/>
  <c r="M27" i="73"/>
  <c r="M23" i="73"/>
  <c r="M20" i="73"/>
  <c r="O24" i="73"/>
  <c r="M16" i="73"/>
  <c r="M12" i="73"/>
  <c r="G76" i="72"/>
  <c r="M45" i="72"/>
  <c r="M43" i="72"/>
  <c r="M15" i="72"/>
  <c r="G51" i="72"/>
  <c r="J69" i="72"/>
  <c r="J76" i="72" s="1"/>
  <c r="J36" i="72"/>
  <c r="J51" i="72" s="1"/>
  <c r="M66" i="72"/>
  <c r="M69" i="72" s="1"/>
  <c r="M76" i="72" s="1"/>
  <c r="M9" i="72"/>
  <c r="J32" i="71"/>
  <c r="M32" i="71" s="1"/>
  <c r="K9" i="71"/>
  <c r="J9" i="71"/>
  <c r="M9" i="71" s="1"/>
  <c r="K75" i="71"/>
  <c r="J75" i="71"/>
  <c r="M75" i="71" s="1"/>
  <c r="K74" i="71"/>
  <c r="J74" i="71"/>
  <c r="M74" i="71" s="1"/>
  <c r="K73" i="71"/>
  <c r="J73" i="71"/>
  <c r="M73" i="71" s="1"/>
  <c r="K72" i="71"/>
  <c r="J72" i="71"/>
  <c r="M72" i="71" s="1"/>
  <c r="J30" i="71"/>
  <c r="M30" i="71" s="1"/>
  <c r="J17" i="71"/>
  <c r="K52" i="71"/>
  <c r="J52" i="71"/>
  <c r="M52" i="71" s="1"/>
  <c r="K51" i="71"/>
  <c r="J51" i="71"/>
  <c r="M51" i="71" s="1"/>
  <c r="K50" i="71"/>
  <c r="J50" i="71"/>
  <c r="M50" i="71" s="1"/>
  <c r="K49" i="71"/>
  <c r="J49" i="71"/>
  <c r="M49" i="71" s="1"/>
  <c r="K48" i="71"/>
  <c r="J48" i="71"/>
  <c r="M48" i="71" s="1"/>
  <c r="K47" i="71"/>
  <c r="J47" i="71"/>
  <c r="M47" i="71" s="1"/>
  <c r="K46" i="71"/>
  <c r="J46" i="71"/>
  <c r="M46" i="71" s="1"/>
  <c r="K45" i="71"/>
  <c r="J45" i="71"/>
  <c r="M45" i="71" s="1"/>
  <c r="K31" i="71"/>
  <c r="J31" i="71"/>
  <c r="M31" i="71" s="1"/>
  <c r="K30" i="71"/>
  <c r="K29" i="71"/>
  <c r="J29" i="71"/>
  <c r="M29" i="71" s="1"/>
  <c r="K28" i="71"/>
  <c r="J28" i="71"/>
  <c r="M28" i="71" s="1"/>
  <c r="K27" i="71"/>
  <c r="J27" i="71"/>
  <c r="M27" i="71" s="1"/>
  <c r="K26" i="71"/>
  <c r="J26" i="71"/>
  <c r="M26" i="71" s="1"/>
  <c r="K25" i="71"/>
  <c r="J25" i="71"/>
  <c r="M25" i="71" s="1"/>
  <c r="K24" i="71"/>
  <c r="J24" i="71"/>
  <c r="M24" i="71" s="1"/>
  <c r="K23" i="71"/>
  <c r="J23" i="71"/>
  <c r="M23" i="71" s="1"/>
  <c r="K22" i="71"/>
  <c r="J22" i="71"/>
  <c r="M22" i="71" s="1"/>
  <c r="J12" i="71"/>
  <c r="J11" i="71"/>
  <c r="J8" i="71"/>
  <c r="J61" i="65"/>
  <c r="M77" i="74" l="1"/>
  <c r="M78" i="74"/>
  <c r="J95" i="73"/>
  <c r="J96" i="73"/>
  <c r="M94" i="73"/>
  <c r="M95" i="73"/>
  <c r="J82" i="72"/>
  <c r="J83" i="72"/>
  <c r="M81" i="72"/>
  <c r="M82" i="72"/>
  <c r="M45" i="73"/>
  <c r="M56" i="73" s="1"/>
  <c r="M36" i="72"/>
  <c r="M51" i="72" s="1"/>
  <c r="K83" i="71"/>
  <c r="J83" i="71"/>
  <c r="M83" i="71" s="1"/>
  <c r="G79" i="71"/>
  <c r="G86" i="71" s="1"/>
  <c r="K71" i="71"/>
  <c r="J71" i="71"/>
  <c r="M71" i="71" s="1"/>
  <c r="K70" i="71"/>
  <c r="J70" i="71"/>
  <c r="K54" i="71"/>
  <c r="J54" i="71"/>
  <c r="M54" i="71" s="1"/>
  <c r="K53" i="71"/>
  <c r="J53" i="71"/>
  <c r="M53" i="71" s="1"/>
  <c r="K44" i="71"/>
  <c r="J44" i="71"/>
  <c r="M44" i="71" s="1"/>
  <c r="K43" i="71"/>
  <c r="J43" i="71"/>
  <c r="M43" i="71" s="1"/>
  <c r="K42" i="71"/>
  <c r="J42" i="71"/>
  <c r="M42" i="71" s="1"/>
  <c r="K41" i="71"/>
  <c r="J41" i="71"/>
  <c r="M41" i="71" s="1"/>
  <c r="G38" i="71"/>
  <c r="G57" i="71" s="1"/>
  <c r="K21" i="71"/>
  <c r="J21" i="71"/>
  <c r="M21" i="71" s="1"/>
  <c r="K20" i="71"/>
  <c r="J20" i="71"/>
  <c r="M20" i="71" s="1"/>
  <c r="K19" i="71"/>
  <c r="J19" i="71"/>
  <c r="M19" i="71" s="1"/>
  <c r="K18" i="71"/>
  <c r="J18" i="71"/>
  <c r="M18" i="71" s="1"/>
  <c r="K17" i="71"/>
  <c r="M17" i="71"/>
  <c r="K16" i="71"/>
  <c r="J16" i="71"/>
  <c r="M16" i="71" s="1"/>
  <c r="K15" i="71"/>
  <c r="J15" i="71"/>
  <c r="M15" i="71" s="1"/>
  <c r="K14" i="71"/>
  <c r="J14" i="71"/>
  <c r="M14" i="71" s="1"/>
  <c r="K13" i="71"/>
  <c r="J13" i="71"/>
  <c r="M13" i="71" s="1"/>
  <c r="K12" i="71"/>
  <c r="M12" i="71"/>
  <c r="K11" i="71"/>
  <c r="M11" i="71"/>
  <c r="K10" i="71"/>
  <c r="J10" i="71"/>
  <c r="K8" i="71"/>
  <c r="M8" i="71"/>
  <c r="K20" i="70"/>
  <c r="J20" i="70"/>
  <c r="M20" i="70" s="1"/>
  <c r="G20" i="70"/>
  <c r="G38" i="70" s="1"/>
  <c r="J18" i="70"/>
  <c r="J24" i="70"/>
  <c r="M24" i="70" s="1"/>
  <c r="K46" i="70"/>
  <c r="J46" i="70"/>
  <c r="M46" i="70" s="1"/>
  <c r="K45" i="70"/>
  <c r="J45" i="70"/>
  <c r="M45" i="70" s="1"/>
  <c r="K44" i="70"/>
  <c r="J44" i="70"/>
  <c r="M44" i="70" s="1"/>
  <c r="K43" i="70"/>
  <c r="J43" i="70"/>
  <c r="M43" i="70" s="1"/>
  <c r="J35" i="70"/>
  <c r="M35" i="70" s="1"/>
  <c r="K47" i="70"/>
  <c r="J47" i="70"/>
  <c r="M47" i="70" s="1"/>
  <c r="K42" i="70"/>
  <c r="J42" i="70"/>
  <c r="M42" i="70" s="1"/>
  <c r="K41" i="70"/>
  <c r="J41" i="70"/>
  <c r="M41" i="70" s="1"/>
  <c r="K35" i="70"/>
  <c r="K34" i="70"/>
  <c r="J34" i="70"/>
  <c r="M34" i="70" s="1"/>
  <c r="K33" i="70"/>
  <c r="J33" i="70"/>
  <c r="M33" i="70" s="1"/>
  <c r="K32" i="70"/>
  <c r="J32" i="70"/>
  <c r="M32" i="70" s="1"/>
  <c r="K31" i="70"/>
  <c r="J31" i="70"/>
  <c r="M31" i="70" s="1"/>
  <c r="K30" i="70"/>
  <c r="J30" i="70"/>
  <c r="M30" i="70" s="1"/>
  <c r="K29" i="70"/>
  <c r="J29" i="70"/>
  <c r="M29" i="70" s="1"/>
  <c r="K28" i="70"/>
  <c r="J28" i="70"/>
  <c r="M28" i="70" s="1"/>
  <c r="K27" i="70"/>
  <c r="J27" i="70"/>
  <c r="M27" i="70" s="1"/>
  <c r="K26" i="70"/>
  <c r="J26" i="70"/>
  <c r="M26" i="70" s="1"/>
  <c r="K25" i="70"/>
  <c r="J25" i="70"/>
  <c r="M25" i="70" s="1"/>
  <c r="K24" i="70"/>
  <c r="K23" i="70"/>
  <c r="J23" i="70"/>
  <c r="M23" i="70" s="1"/>
  <c r="K22" i="70"/>
  <c r="J22" i="70"/>
  <c r="M22" i="70" s="1"/>
  <c r="K21" i="70"/>
  <c r="J21" i="70"/>
  <c r="M21" i="70" s="1"/>
  <c r="K19" i="70"/>
  <c r="J19" i="70"/>
  <c r="M19" i="70" s="1"/>
  <c r="K18" i="70"/>
  <c r="M18" i="70"/>
  <c r="K17" i="70"/>
  <c r="J17" i="70"/>
  <c r="M17" i="70" s="1"/>
  <c r="K16" i="70"/>
  <c r="J16" i="70"/>
  <c r="M16" i="70" s="1"/>
  <c r="K15" i="70"/>
  <c r="J15" i="70"/>
  <c r="M15" i="70" s="1"/>
  <c r="K14" i="70"/>
  <c r="J14" i="70"/>
  <c r="M14" i="70" s="1"/>
  <c r="K13" i="70"/>
  <c r="J13" i="70"/>
  <c r="M13" i="70" s="1"/>
  <c r="K12" i="70"/>
  <c r="J12" i="70"/>
  <c r="M12" i="70" s="1"/>
  <c r="K11" i="70"/>
  <c r="J11" i="70"/>
  <c r="M11" i="70" s="1"/>
  <c r="K10" i="70"/>
  <c r="J10" i="70"/>
  <c r="M10" i="70" s="1"/>
  <c r="K9" i="70"/>
  <c r="J9" i="70"/>
  <c r="M9" i="70" s="1"/>
  <c r="K8" i="70"/>
  <c r="J8" i="70"/>
  <c r="M8" i="70" s="1"/>
  <c r="O62" i="41"/>
  <c r="J52" i="69"/>
  <c r="M52" i="69" s="1"/>
  <c r="K39" i="69"/>
  <c r="J39" i="69"/>
  <c r="M39" i="69" s="1"/>
  <c r="G39" i="69"/>
  <c r="E39" i="69"/>
  <c r="K51" i="69"/>
  <c r="K50" i="69"/>
  <c r="J50" i="69"/>
  <c r="M50" i="69" s="1"/>
  <c r="G51" i="69"/>
  <c r="E51" i="69"/>
  <c r="J51" i="69" s="1"/>
  <c r="M51" i="69" s="1"/>
  <c r="G50" i="69"/>
  <c r="E50" i="69"/>
  <c r="G36" i="69"/>
  <c r="J36" i="69"/>
  <c r="M36" i="69" s="1"/>
  <c r="G33" i="69"/>
  <c r="G31" i="69"/>
  <c r="G49" i="69"/>
  <c r="G12" i="69"/>
  <c r="G11" i="69"/>
  <c r="G10" i="69"/>
  <c r="G9" i="69"/>
  <c r="J8" i="69"/>
  <c r="M8" i="69" s="1"/>
  <c r="G53" i="69"/>
  <c r="E53" i="69"/>
  <c r="J53" i="69" s="1"/>
  <c r="M53" i="69" s="1"/>
  <c r="G52" i="69"/>
  <c r="E52" i="69"/>
  <c r="K44" i="69"/>
  <c r="J44" i="69"/>
  <c r="M44" i="69" s="1"/>
  <c r="K43" i="69"/>
  <c r="J43" i="69"/>
  <c r="M43" i="69" s="1"/>
  <c r="K42" i="69"/>
  <c r="J42" i="69"/>
  <c r="M42" i="69" s="1"/>
  <c r="K41" i="69"/>
  <c r="J41" i="69"/>
  <c r="M41" i="69" s="1"/>
  <c r="K40" i="69"/>
  <c r="J40" i="69"/>
  <c r="M40" i="69" s="1"/>
  <c r="K38" i="69"/>
  <c r="J38" i="69"/>
  <c r="M38" i="69" s="1"/>
  <c r="K37" i="69"/>
  <c r="J37" i="69"/>
  <c r="M37" i="69" s="1"/>
  <c r="K36" i="69"/>
  <c r="K34" i="69"/>
  <c r="J34" i="69"/>
  <c r="M34" i="69" s="1"/>
  <c r="K35" i="69"/>
  <c r="J35" i="69"/>
  <c r="M35" i="69" s="1"/>
  <c r="K33" i="69"/>
  <c r="J33" i="69"/>
  <c r="M33" i="69" s="1"/>
  <c r="K32" i="69"/>
  <c r="J32" i="69"/>
  <c r="M32" i="69" s="1"/>
  <c r="K31" i="69"/>
  <c r="J31" i="69"/>
  <c r="M31" i="69" s="1"/>
  <c r="K53" i="69"/>
  <c r="K52" i="69"/>
  <c r="K49" i="69"/>
  <c r="J49" i="69"/>
  <c r="M49" i="69" s="1"/>
  <c r="K30" i="69"/>
  <c r="J30" i="69"/>
  <c r="M30" i="69" s="1"/>
  <c r="K29" i="69"/>
  <c r="J29" i="69"/>
  <c r="M29" i="69" s="1"/>
  <c r="K28" i="69"/>
  <c r="J28" i="69"/>
  <c r="M28" i="69" s="1"/>
  <c r="K27" i="69"/>
  <c r="J27" i="69"/>
  <c r="M27" i="69" s="1"/>
  <c r="K26" i="69"/>
  <c r="J26" i="69"/>
  <c r="M26" i="69" s="1"/>
  <c r="K25" i="69"/>
  <c r="J25" i="69"/>
  <c r="M25" i="69" s="1"/>
  <c r="K24" i="69"/>
  <c r="J24" i="69"/>
  <c r="M24" i="69" s="1"/>
  <c r="K23" i="69"/>
  <c r="J23" i="69"/>
  <c r="M23" i="69" s="1"/>
  <c r="K22" i="69"/>
  <c r="J22" i="69"/>
  <c r="M22" i="69" s="1"/>
  <c r="K21" i="69"/>
  <c r="J21" i="69"/>
  <c r="M21" i="69" s="1"/>
  <c r="K20" i="69"/>
  <c r="J20" i="69"/>
  <c r="M20" i="69" s="1"/>
  <c r="K19" i="69"/>
  <c r="J19" i="69"/>
  <c r="M19" i="69" s="1"/>
  <c r="K18" i="69"/>
  <c r="J18" i="69"/>
  <c r="M18" i="69" s="1"/>
  <c r="K17" i="69"/>
  <c r="J17" i="69"/>
  <c r="M17" i="69" s="1"/>
  <c r="K16" i="69"/>
  <c r="J16" i="69"/>
  <c r="M16" i="69" s="1"/>
  <c r="K15" i="69"/>
  <c r="J15" i="69"/>
  <c r="M15" i="69" s="1"/>
  <c r="K14" i="69"/>
  <c r="J14" i="69"/>
  <c r="M14" i="69" s="1"/>
  <c r="K13" i="69"/>
  <c r="J13" i="69"/>
  <c r="M13" i="69" s="1"/>
  <c r="K12" i="69"/>
  <c r="J12" i="69"/>
  <c r="M12" i="69" s="1"/>
  <c r="K11" i="69"/>
  <c r="J11" i="69"/>
  <c r="M11" i="69" s="1"/>
  <c r="K10" i="69"/>
  <c r="J10" i="69"/>
  <c r="M10" i="69" s="1"/>
  <c r="K9" i="69"/>
  <c r="J9" i="69"/>
  <c r="M9" i="69" s="1"/>
  <c r="K8" i="69"/>
  <c r="M61" i="68"/>
  <c r="M60" i="68"/>
  <c r="M59" i="68"/>
  <c r="M58" i="68"/>
  <c r="M57" i="68"/>
  <c r="M56" i="68"/>
  <c r="M55" i="68"/>
  <c r="M54" i="68"/>
  <c r="M53" i="68"/>
  <c r="M52" i="68"/>
  <c r="M51" i="68"/>
  <c r="M50" i="68"/>
  <c r="M49" i="68"/>
  <c r="M48" i="68"/>
  <c r="M47" i="68"/>
  <c r="M46" i="68"/>
  <c r="M45" i="68"/>
  <c r="K32" i="68"/>
  <c r="J32" i="68"/>
  <c r="M32" i="68" s="1"/>
  <c r="G32" i="68"/>
  <c r="E32" i="68"/>
  <c r="K61" i="68"/>
  <c r="J61" i="68"/>
  <c r="G61" i="68"/>
  <c r="E61" i="68"/>
  <c r="J47" i="68"/>
  <c r="J46" i="68"/>
  <c r="J45" i="68"/>
  <c r="K47" i="68"/>
  <c r="K46" i="68"/>
  <c r="K45" i="68"/>
  <c r="K48" i="68"/>
  <c r="K49" i="68"/>
  <c r="K50" i="68"/>
  <c r="K51" i="68"/>
  <c r="K52" i="68"/>
  <c r="K53" i="68"/>
  <c r="K54" i="68"/>
  <c r="K55" i="68"/>
  <c r="K56" i="68"/>
  <c r="K57" i="68"/>
  <c r="K58" i="68"/>
  <c r="K59" i="68"/>
  <c r="K60" i="68"/>
  <c r="J48" i="68"/>
  <c r="J49" i="68"/>
  <c r="J50" i="68"/>
  <c r="J51" i="68"/>
  <c r="J52" i="68"/>
  <c r="J53" i="68"/>
  <c r="J54" i="68"/>
  <c r="J55" i="68"/>
  <c r="J56" i="68"/>
  <c r="J57" i="68"/>
  <c r="J58" i="68"/>
  <c r="J59" i="68"/>
  <c r="J60" i="68"/>
  <c r="K39" i="68"/>
  <c r="J39" i="68"/>
  <c r="M39" i="68" s="1"/>
  <c r="K38" i="68"/>
  <c r="J38" i="68"/>
  <c r="M38" i="68" s="1"/>
  <c r="K37" i="68"/>
  <c r="J37" i="68"/>
  <c r="M37" i="68" s="1"/>
  <c r="K36" i="68"/>
  <c r="J36" i="68"/>
  <c r="M36" i="68" s="1"/>
  <c r="K35" i="68"/>
  <c r="J35" i="68"/>
  <c r="M35" i="68" s="1"/>
  <c r="K34" i="68"/>
  <c r="J34" i="68"/>
  <c r="M34" i="68" s="1"/>
  <c r="K33" i="68"/>
  <c r="J33" i="68"/>
  <c r="M33" i="68" s="1"/>
  <c r="K31" i="68"/>
  <c r="J31" i="68"/>
  <c r="M31" i="68" s="1"/>
  <c r="K30" i="68"/>
  <c r="J30" i="68"/>
  <c r="M30" i="68" s="1"/>
  <c r="K29" i="68"/>
  <c r="J29" i="68"/>
  <c r="M29" i="68" s="1"/>
  <c r="K28" i="68"/>
  <c r="J28" i="68"/>
  <c r="M28" i="68" s="1"/>
  <c r="K27" i="68"/>
  <c r="J27" i="68"/>
  <c r="M27" i="68" s="1"/>
  <c r="K44" i="68"/>
  <c r="J44" i="68"/>
  <c r="M44" i="68" s="1"/>
  <c r="K26" i="68"/>
  <c r="J26" i="68"/>
  <c r="M26" i="68" s="1"/>
  <c r="K25" i="68"/>
  <c r="J25" i="68"/>
  <c r="M25" i="68" s="1"/>
  <c r="K24" i="68"/>
  <c r="J24" i="68"/>
  <c r="M24" i="68" s="1"/>
  <c r="K23" i="68"/>
  <c r="J23" i="68"/>
  <c r="M23" i="68" s="1"/>
  <c r="K22" i="68"/>
  <c r="J22" i="68"/>
  <c r="M22" i="68" s="1"/>
  <c r="K21" i="68"/>
  <c r="J21" i="68"/>
  <c r="M21" i="68" s="1"/>
  <c r="K20" i="68"/>
  <c r="J20" i="68"/>
  <c r="M20" i="68" s="1"/>
  <c r="K19" i="68"/>
  <c r="J19" i="68"/>
  <c r="M19" i="68" s="1"/>
  <c r="K18" i="68"/>
  <c r="J18" i="68"/>
  <c r="M18" i="68" s="1"/>
  <c r="K17" i="68"/>
  <c r="J17" i="68"/>
  <c r="M17" i="68" s="1"/>
  <c r="K16" i="68"/>
  <c r="J16" i="68"/>
  <c r="M16" i="68" s="1"/>
  <c r="K15" i="68"/>
  <c r="J15" i="68"/>
  <c r="M15" i="68" s="1"/>
  <c r="K14" i="68"/>
  <c r="J14" i="68"/>
  <c r="M14" i="68" s="1"/>
  <c r="K13" i="68"/>
  <c r="J13" i="68"/>
  <c r="M13" i="68" s="1"/>
  <c r="K12" i="68"/>
  <c r="J12" i="68"/>
  <c r="M12" i="68" s="1"/>
  <c r="K11" i="68"/>
  <c r="J11" i="68"/>
  <c r="M11" i="68" s="1"/>
  <c r="K10" i="68"/>
  <c r="J10" i="68"/>
  <c r="M10" i="68" s="1"/>
  <c r="K9" i="68"/>
  <c r="J9" i="68"/>
  <c r="M9" i="68" s="1"/>
  <c r="K8" i="68"/>
  <c r="J8" i="68"/>
  <c r="K41" i="67"/>
  <c r="J41" i="67"/>
  <c r="M41" i="67" s="1"/>
  <c r="G41" i="67"/>
  <c r="K40" i="67"/>
  <c r="J40" i="67"/>
  <c r="M40" i="67" s="1"/>
  <c r="K39" i="67"/>
  <c r="J39" i="67"/>
  <c r="M39" i="67" s="1"/>
  <c r="G40" i="67"/>
  <c r="J8" i="67"/>
  <c r="K9" i="67"/>
  <c r="J9" i="67"/>
  <c r="M9" i="67" s="1"/>
  <c r="M70" i="71" l="1"/>
  <c r="M79" i="71" s="1"/>
  <c r="M86" i="71" s="1"/>
  <c r="J79" i="71"/>
  <c r="J86" i="71" s="1"/>
  <c r="J38" i="71"/>
  <c r="J57" i="71" s="1"/>
  <c r="M10" i="71"/>
  <c r="M38" i="71" s="1"/>
  <c r="M57" i="71" s="1"/>
  <c r="G50" i="70"/>
  <c r="M38" i="70"/>
  <c r="M50" i="70" s="1"/>
  <c r="J38" i="70"/>
  <c r="J50" i="70" s="1"/>
  <c r="G46" i="69"/>
  <c r="G55" i="69" s="1"/>
  <c r="M46" i="69"/>
  <c r="M55" i="69" s="1"/>
  <c r="J46" i="69"/>
  <c r="J55" i="69" s="1"/>
  <c r="G41" i="68"/>
  <c r="G63" i="68" s="1"/>
  <c r="J41" i="68"/>
  <c r="J63" i="68" s="1"/>
  <c r="M8" i="68"/>
  <c r="M41" i="68" s="1"/>
  <c r="M63" i="68" s="1"/>
  <c r="J31" i="67"/>
  <c r="M31" i="67" s="1"/>
  <c r="J29" i="67"/>
  <c r="M29" i="67" s="1"/>
  <c r="J27" i="67"/>
  <c r="M27" i="67" s="1"/>
  <c r="J26" i="67"/>
  <c r="J25" i="67"/>
  <c r="J24" i="67"/>
  <c r="J23" i="67"/>
  <c r="M23" i="67" s="1"/>
  <c r="J22" i="67"/>
  <c r="M22" i="67" s="1"/>
  <c r="J21" i="67"/>
  <c r="M21" i="67" s="1"/>
  <c r="J20" i="67"/>
  <c r="M20" i="67" s="1"/>
  <c r="J19" i="67"/>
  <c r="M19" i="67" s="1"/>
  <c r="J18" i="67"/>
  <c r="M18" i="67" s="1"/>
  <c r="J17" i="67"/>
  <c r="M17" i="67" s="1"/>
  <c r="J16" i="67"/>
  <c r="M16" i="67" s="1"/>
  <c r="J15" i="67"/>
  <c r="M15" i="67" s="1"/>
  <c r="J14" i="67"/>
  <c r="M14" i="67" s="1"/>
  <c r="J13" i="67"/>
  <c r="M13" i="67" s="1"/>
  <c r="J12" i="67"/>
  <c r="J11" i="67"/>
  <c r="M11" i="67" s="1"/>
  <c r="J10" i="67"/>
  <c r="M10" i="67" s="1"/>
  <c r="K31" i="67"/>
  <c r="K30" i="67"/>
  <c r="K29" i="67"/>
  <c r="K28" i="67"/>
  <c r="K27" i="67"/>
  <c r="K26" i="67"/>
  <c r="M26" i="67"/>
  <c r="K25" i="67"/>
  <c r="M25" i="67"/>
  <c r="K24" i="67"/>
  <c r="M24" i="67"/>
  <c r="K23" i="67"/>
  <c r="K22" i="67"/>
  <c r="K21" i="67"/>
  <c r="K20" i="67"/>
  <c r="K19" i="67"/>
  <c r="K18" i="67"/>
  <c r="K17" i="67"/>
  <c r="K16" i="67"/>
  <c r="K15" i="67"/>
  <c r="K14" i="67"/>
  <c r="K13" i="67"/>
  <c r="K12" i="67"/>
  <c r="M12" i="67"/>
  <c r="K11" i="67"/>
  <c r="K8" i="67"/>
  <c r="M8" i="67"/>
  <c r="J45" i="67"/>
  <c r="M45" i="67" s="1"/>
  <c r="J44" i="67"/>
  <c r="M44" i="67" s="1"/>
  <c r="J43" i="67"/>
  <c r="J42" i="67"/>
  <c r="J38" i="67"/>
  <c r="M38" i="67"/>
  <c r="G37" i="67"/>
  <c r="E37" i="67"/>
  <c r="J37" i="67" s="1"/>
  <c r="M37" i="67" s="1"/>
  <c r="G36" i="67"/>
  <c r="E36" i="67"/>
  <c r="J36" i="67" s="1"/>
  <c r="M36" i="67" s="1"/>
  <c r="G31" i="67"/>
  <c r="E31" i="67"/>
  <c r="G30" i="67"/>
  <c r="E30" i="67"/>
  <c r="J30" i="67" s="1"/>
  <c r="M30" i="67" s="1"/>
  <c r="G29" i="67"/>
  <c r="G28" i="67"/>
  <c r="E28" i="67"/>
  <c r="J28" i="67" s="1"/>
  <c r="M28" i="67" s="1"/>
  <c r="K45" i="67"/>
  <c r="K44" i="67"/>
  <c r="K43" i="67"/>
  <c r="M43" i="67"/>
  <c r="K42" i="67"/>
  <c r="M42" i="67"/>
  <c r="K38" i="67"/>
  <c r="K37" i="67"/>
  <c r="K36" i="67"/>
  <c r="K10" i="67"/>
  <c r="J11" i="66"/>
  <c r="J10" i="66"/>
  <c r="J8" i="66"/>
  <c r="J9" i="66"/>
  <c r="K31" i="66"/>
  <c r="J31" i="66"/>
  <c r="M31" i="66" s="1"/>
  <c r="K30" i="66"/>
  <c r="J30" i="66"/>
  <c r="M30" i="66" s="1"/>
  <c r="K29" i="66"/>
  <c r="J29" i="66"/>
  <c r="M29" i="66" s="1"/>
  <c r="K28" i="66"/>
  <c r="J28" i="66"/>
  <c r="M28" i="66" s="1"/>
  <c r="K27" i="66"/>
  <c r="J27" i="66"/>
  <c r="M27" i="66" s="1"/>
  <c r="K26" i="66"/>
  <c r="J26" i="66"/>
  <c r="M26" i="66" s="1"/>
  <c r="J41" i="66"/>
  <c r="M41" i="66"/>
  <c r="J40" i="66"/>
  <c r="K41" i="66"/>
  <c r="G46" i="66"/>
  <c r="F46" i="66"/>
  <c r="E46" i="66"/>
  <c r="G45" i="66"/>
  <c r="G44" i="66"/>
  <c r="E44" i="66"/>
  <c r="M92" i="71" l="1"/>
  <c r="M91" i="71"/>
  <c r="J92" i="71"/>
  <c r="J93" i="71"/>
  <c r="G33" i="67"/>
  <c r="G47" i="67" s="1"/>
  <c r="J33" i="67"/>
  <c r="M33" i="67"/>
  <c r="K46" i="66"/>
  <c r="J46" i="66"/>
  <c r="M46" i="66" s="1"/>
  <c r="K45" i="66"/>
  <c r="J45" i="66"/>
  <c r="M45" i="66" s="1"/>
  <c r="K44" i="66"/>
  <c r="J44" i="66"/>
  <c r="M44" i="66" s="1"/>
  <c r="K43" i="66"/>
  <c r="J43" i="66"/>
  <c r="M43" i="66" s="1"/>
  <c r="K42" i="66"/>
  <c r="J42" i="66"/>
  <c r="M42" i="66" s="1"/>
  <c r="M40" i="66"/>
  <c r="K40" i="66"/>
  <c r="K39" i="66"/>
  <c r="J39" i="66"/>
  <c r="M39" i="66" s="1"/>
  <c r="K38" i="66"/>
  <c r="J38" i="66"/>
  <c r="M38" i="66" s="1"/>
  <c r="K37" i="66"/>
  <c r="J37" i="66"/>
  <c r="M37" i="66" s="1"/>
  <c r="K32" i="66"/>
  <c r="J32" i="66"/>
  <c r="M32" i="66" s="1"/>
  <c r="K25" i="66"/>
  <c r="J25" i="66"/>
  <c r="M25" i="66" s="1"/>
  <c r="K24" i="66"/>
  <c r="J24" i="66"/>
  <c r="M24" i="66" s="1"/>
  <c r="K23" i="66"/>
  <c r="J23" i="66"/>
  <c r="M23" i="66" s="1"/>
  <c r="K22" i="66"/>
  <c r="J22" i="66"/>
  <c r="M22" i="66" s="1"/>
  <c r="K21" i="66"/>
  <c r="J21" i="66"/>
  <c r="M21" i="66" s="1"/>
  <c r="K20" i="66"/>
  <c r="J20" i="66"/>
  <c r="M20" i="66" s="1"/>
  <c r="K19" i="66"/>
  <c r="J19" i="66"/>
  <c r="M19" i="66" s="1"/>
  <c r="K18" i="66"/>
  <c r="J18" i="66"/>
  <c r="M18" i="66" s="1"/>
  <c r="K17" i="66"/>
  <c r="J17" i="66"/>
  <c r="M17" i="66" s="1"/>
  <c r="K16" i="66"/>
  <c r="J16" i="66"/>
  <c r="M16" i="66" s="1"/>
  <c r="K15" i="66"/>
  <c r="J15" i="66"/>
  <c r="M15" i="66" s="1"/>
  <c r="K14" i="66"/>
  <c r="J14" i="66"/>
  <c r="M14" i="66" s="1"/>
  <c r="K13" i="66"/>
  <c r="J13" i="66"/>
  <c r="M13" i="66" s="1"/>
  <c r="K12" i="66"/>
  <c r="J12" i="66"/>
  <c r="M12" i="66" s="1"/>
  <c r="K11" i="66"/>
  <c r="M11" i="66"/>
  <c r="K10" i="66"/>
  <c r="M10" i="66"/>
  <c r="K9" i="66"/>
  <c r="M9" i="66"/>
  <c r="K8" i="66"/>
  <c r="M47" i="67" l="1"/>
  <c r="J47" i="67"/>
  <c r="J34" i="66"/>
  <c r="J48" i="66" s="1"/>
  <c r="G34" i="66"/>
  <c r="G48" i="66" s="1"/>
  <c r="M8" i="66"/>
  <c r="M34" i="66" s="1"/>
  <c r="M48" i="66" s="1"/>
  <c r="G47" i="64"/>
  <c r="K53" i="64"/>
  <c r="K52" i="64"/>
  <c r="K51" i="64"/>
  <c r="K50" i="64"/>
  <c r="J53" i="64"/>
  <c r="M53" i="64" s="1"/>
  <c r="J52" i="64"/>
  <c r="M52" i="64" s="1"/>
  <c r="J51" i="64"/>
  <c r="M51" i="64" s="1"/>
  <c r="G51" i="64"/>
  <c r="G53" i="64"/>
  <c r="G52" i="64"/>
  <c r="J11" i="64" l="1"/>
  <c r="M11" i="64" s="1"/>
  <c r="J10" i="64"/>
  <c r="K11" i="64"/>
  <c r="J55" i="64"/>
  <c r="M55" i="64" s="1"/>
  <c r="K55" i="64"/>
  <c r="K54" i="64"/>
  <c r="J54" i="64"/>
  <c r="M54" i="64" s="1"/>
  <c r="J50" i="64"/>
  <c r="M50" i="64" s="1"/>
  <c r="G50" i="64"/>
  <c r="J8" i="65"/>
  <c r="J9" i="65"/>
  <c r="M9" i="65" s="1"/>
  <c r="G8" i="65"/>
  <c r="G43" i="65" s="1"/>
  <c r="K9" i="65"/>
  <c r="J41" i="65"/>
  <c r="M41" i="65" s="1"/>
  <c r="J40" i="65"/>
  <c r="M40" i="65" s="1"/>
  <c r="J39" i="65"/>
  <c r="M39" i="65" s="1"/>
  <c r="J37" i="65"/>
  <c r="M37" i="65" s="1"/>
  <c r="J38" i="65"/>
  <c r="M38" i="65" s="1"/>
  <c r="J36" i="65"/>
  <c r="M36" i="65" s="1"/>
  <c r="J35" i="65"/>
  <c r="M35" i="65" s="1"/>
  <c r="J34" i="65"/>
  <c r="M34" i="65" s="1"/>
  <c r="J33" i="65"/>
  <c r="M33" i="65" s="1"/>
  <c r="J32" i="65"/>
  <c r="M32" i="65" s="1"/>
  <c r="J31" i="65"/>
  <c r="M31" i="65" s="1"/>
  <c r="J30" i="65"/>
  <c r="M30" i="65" s="1"/>
  <c r="J29" i="65"/>
  <c r="M29" i="65" s="1"/>
  <c r="J28" i="65"/>
  <c r="M28" i="65" s="1"/>
  <c r="J27" i="65"/>
  <c r="M27" i="65" s="1"/>
  <c r="J26" i="65"/>
  <c r="M26" i="65" s="1"/>
  <c r="J25" i="65"/>
  <c r="M25" i="65" s="1"/>
  <c r="J24" i="65"/>
  <c r="M24" i="65" s="1"/>
  <c r="J23" i="65"/>
  <c r="M23" i="65" s="1"/>
  <c r="J22" i="65"/>
  <c r="M22" i="65" s="1"/>
  <c r="J21" i="65"/>
  <c r="M21" i="65" s="1"/>
  <c r="J20" i="65"/>
  <c r="M20" i="65" s="1"/>
  <c r="J19" i="65"/>
  <c r="J18" i="65"/>
  <c r="J17" i="65"/>
  <c r="J16" i="65"/>
  <c r="J15" i="65"/>
  <c r="J14" i="65"/>
  <c r="J13" i="65"/>
  <c r="J12" i="65"/>
  <c r="J11" i="65"/>
  <c r="J10" i="65"/>
  <c r="K50" i="65"/>
  <c r="J50" i="65"/>
  <c r="M50" i="65" s="1"/>
  <c r="K49" i="65"/>
  <c r="J49" i="65"/>
  <c r="M49" i="65" s="1"/>
  <c r="K48" i="65"/>
  <c r="J48" i="65"/>
  <c r="M48" i="65" s="1"/>
  <c r="K55" i="65"/>
  <c r="J55" i="65"/>
  <c r="M55" i="65" s="1"/>
  <c r="K54" i="65"/>
  <c r="J54" i="65"/>
  <c r="M54" i="65" s="1"/>
  <c r="K53" i="65"/>
  <c r="J53" i="65"/>
  <c r="M53" i="65" s="1"/>
  <c r="K52" i="65"/>
  <c r="J52" i="65"/>
  <c r="M52" i="65" s="1"/>
  <c r="K51" i="65"/>
  <c r="J51" i="65"/>
  <c r="M51" i="65" s="1"/>
  <c r="K47" i="65"/>
  <c r="J47" i="65"/>
  <c r="M47" i="65" s="1"/>
  <c r="K46" i="65"/>
  <c r="J46" i="65"/>
  <c r="M46" i="65" s="1"/>
  <c r="G30" i="65"/>
  <c r="G31" i="65"/>
  <c r="G32" i="65"/>
  <c r="G35" i="65"/>
  <c r="G37" i="65"/>
  <c r="G41" i="65"/>
  <c r="G40" i="65"/>
  <c r="G39" i="65"/>
  <c r="K41" i="65"/>
  <c r="K40" i="65"/>
  <c r="K39" i="65"/>
  <c r="K37" i="65"/>
  <c r="K38" i="65"/>
  <c r="K36" i="65"/>
  <c r="K35" i="65"/>
  <c r="K34" i="65"/>
  <c r="K33" i="65"/>
  <c r="K32" i="65"/>
  <c r="K31" i="65"/>
  <c r="K30" i="65"/>
  <c r="K29" i="65"/>
  <c r="K28" i="65"/>
  <c r="K27" i="65"/>
  <c r="K26" i="65"/>
  <c r="K25" i="65"/>
  <c r="K24" i="65"/>
  <c r="K23" i="65"/>
  <c r="K22" i="65"/>
  <c r="K21" i="65"/>
  <c r="K20" i="65"/>
  <c r="J12" i="64"/>
  <c r="J8" i="64"/>
  <c r="G56" i="64"/>
  <c r="J45" i="64"/>
  <c r="M45" i="64" s="1"/>
  <c r="J44" i="64"/>
  <c r="M44" i="64" s="1"/>
  <c r="J43" i="64"/>
  <c r="M43" i="64" s="1"/>
  <c r="J42" i="64"/>
  <c r="M42" i="64" s="1"/>
  <c r="J41" i="64"/>
  <c r="M41" i="64" s="1"/>
  <c r="J40" i="64"/>
  <c r="M40" i="64" s="1"/>
  <c r="J39" i="64"/>
  <c r="M39" i="64" s="1"/>
  <c r="J38" i="64"/>
  <c r="M38" i="64" s="1"/>
  <c r="J37" i="64"/>
  <c r="M37" i="64" s="1"/>
  <c r="J36" i="64"/>
  <c r="M36" i="64" s="1"/>
  <c r="J35" i="64"/>
  <c r="M35" i="64" s="1"/>
  <c r="J34" i="64"/>
  <c r="J33" i="64"/>
  <c r="J32" i="64"/>
  <c r="J31" i="64"/>
  <c r="J30" i="64"/>
  <c r="M30" i="64" s="1"/>
  <c r="J29" i="64"/>
  <c r="M29" i="64" s="1"/>
  <c r="J28" i="64"/>
  <c r="M28" i="64" s="1"/>
  <c r="J27" i="64"/>
  <c r="M27" i="64" s="1"/>
  <c r="J26" i="64"/>
  <c r="M26" i="64" s="1"/>
  <c r="J25" i="64"/>
  <c r="J24" i="64"/>
  <c r="J23" i="64"/>
  <c r="J22" i="64"/>
  <c r="J21" i="64"/>
  <c r="J20" i="64"/>
  <c r="J19" i="64"/>
  <c r="J18" i="64"/>
  <c r="J17" i="64"/>
  <c r="J16" i="64"/>
  <c r="J15" i="64"/>
  <c r="J14" i="64"/>
  <c r="J13" i="64"/>
  <c r="K45" i="64"/>
  <c r="K44" i="64"/>
  <c r="K43" i="64"/>
  <c r="K42" i="64"/>
  <c r="K41" i="64"/>
  <c r="K40" i="64"/>
  <c r="K39" i="64"/>
  <c r="K38" i="64"/>
  <c r="K37" i="64"/>
  <c r="K36" i="64"/>
  <c r="K35" i="64"/>
  <c r="K30" i="64"/>
  <c r="K29" i="64"/>
  <c r="K28" i="64"/>
  <c r="K27" i="64"/>
  <c r="K26" i="64"/>
  <c r="J43" i="65" l="1"/>
  <c r="J47" i="64"/>
  <c r="G57" i="65"/>
  <c r="K19" i="65"/>
  <c r="M19" i="65"/>
  <c r="K18" i="65"/>
  <c r="M18" i="65"/>
  <c r="K17" i="65"/>
  <c r="M17" i="65"/>
  <c r="K16" i="65"/>
  <c r="M16" i="65"/>
  <c r="K15" i="65"/>
  <c r="M15" i="65"/>
  <c r="K14" i="65"/>
  <c r="K13" i="65"/>
  <c r="M13" i="65"/>
  <c r="K12" i="65"/>
  <c r="M12" i="65"/>
  <c r="K11" i="65"/>
  <c r="M11" i="65"/>
  <c r="K10" i="65"/>
  <c r="M10" i="65"/>
  <c r="K8" i="65"/>
  <c r="M8" i="65"/>
  <c r="K56" i="64"/>
  <c r="J56" i="64"/>
  <c r="M56" i="64" s="1"/>
  <c r="K34" i="64"/>
  <c r="M34" i="64"/>
  <c r="K33" i="64"/>
  <c r="M33" i="64"/>
  <c r="K32" i="64"/>
  <c r="M32" i="64"/>
  <c r="K31" i="64"/>
  <c r="M31" i="64"/>
  <c r="K25" i="64"/>
  <c r="M25" i="64"/>
  <c r="K24" i="64"/>
  <c r="M24" i="64"/>
  <c r="K23" i="64"/>
  <c r="M23" i="64"/>
  <c r="K22" i="64"/>
  <c r="M22" i="64"/>
  <c r="K21" i="64"/>
  <c r="M21" i="64"/>
  <c r="K20" i="64"/>
  <c r="M20" i="64"/>
  <c r="K19" i="64"/>
  <c r="M19" i="64"/>
  <c r="K18" i="64"/>
  <c r="M18" i="64"/>
  <c r="K17" i="64"/>
  <c r="M17" i="64"/>
  <c r="K16" i="64"/>
  <c r="M16" i="64"/>
  <c r="K15" i="64"/>
  <c r="M15" i="64"/>
  <c r="K14" i="64"/>
  <c r="M14" i="64"/>
  <c r="K13" i="64"/>
  <c r="M13" i="64"/>
  <c r="K12" i="64"/>
  <c r="M12" i="64"/>
  <c r="K10" i="64"/>
  <c r="M10" i="64"/>
  <c r="K9" i="64"/>
  <c r="J9" i="64"/>
  <c r="M9" i="64" s="1"/>
  <c r="K8" i="64"/>
  <c r="J57" i="65" l="1"/>
  <c r="M14" i="65"/>
  <c r="G58" i="64"/>
  <c r="J58" i="64"/>
  <c r="M8" i="64"/>
  <c r="J73" i="55"/>
  <c r="K10" i="62"/>
  <c r="J10" i="62"/>
  <c r="M10" i="62" s="1"/>
  <c r="G10" i="62"/>
  <c r="M47" i="64" l="1"/>
  <c r="M58" i="64" s="1"/>
  <c r="J74" i="64"/>
  <c r="J75" i="64" s="1"/>
  <c r="J67" i="64"/>
  <c r="M43" i="65"/>
  <c r="M57" i="65" s="1"/>
  <c r="K66" i="62"/>
  <c r="J66" i="62"/>
  <c r="M66" i="62" s="1"/>
  <c r="G66" i="62"/>
  <c r="J49" i="62"/>
  <c r="M49" i="62"/>
  <c r="K49" i="62"/>
  <c r="K65" i="62"/>
  <c r="J65" i="62"/>
  <c r="M65" i="62" s="1"/>
  <c r="G65" i="62"/>
  <c r="K60" i="62"/>
  <c r="K59" i="62"/>
  <c r="K58" i="62"/>
  <c r="K57" i="62"/>
  <c r="K56" i="62"/>
  <c r="J60" i="62"/>
  <c r="M60" i="62" s="1"/>
  <c r="J59" i="62"/>
  <c r="M59" i="62" s="1"/>
  <c r="J58" i="62"/>
  <c r="M58" i="62" s="1"/>
  <c r="J57" i="62"/>
  <c r="M57" i="62" s="1"/>
  <c r="J56" i="62"/>
  <c r="M56" i="62" s="1"/>
  <c r="J55" i="62"/>
  <c r="J54" i="62"/>
  <c r="J53" i="62"/>
  <c r="J52" i="62"/>
  <c r="J51" i="62"/>
  <c r="J50" i="62"/>
  <c r="J48" i="62"/>
  <c r="J47" i="62"/>
  <c r="J46" i="62"/>
  <c r="J45" i="62"/>
  <c r="J44" i="62"/>
  <c r="J43" i="62"/>
  <c r="J42" i="62"/>
  <c r="J41" i="62"/>
  <c r="J40" i="62"/>
  <c r="J39" i="62"/>
  <c r="J38" i="62"/>
  <c r="J37" i="62"/>
  <c r="J36" i="62"/>
  <c r="J35" i="62"/>
  <c r="K20" i="62"/>
  <c r="J20" i="62"/>
  <c r="M20" i="62" s="1"/>
  <c r="G20" i="62"/>
  <c r="J8" i="62"/>
  <c r="J68" i="64" l="1"/>
  <c r="J69" i="64"/>
  <c r="J14" i="62"/>
  <c r="M14" i="62" s="1"/>
  <c r="J13" i="62"/>
  <c r="M13" i="62" s="1"/>
  <c r="J12" i="62"/>
  <c r="M12" i="62" s="1"/>
  <c r="J9" i="62"/>
  <c r="M8" i="62"/>
  <c r="G62" i="62"/>
  <c r="G68" i="62" s="1"/>
  <c r="K55" i="62"/>
  <c r="M55" i="62"/>
  <c r="K54" i="62"/>
  <c r="M54" i="62"/>
  <c r="K53" i="62"/>
  <c r="M53" i="62"/>
  <c r="K52" i="62"/>
  <c r="M52" i="62"/>
  <c r="K51" i="62"/>
  <c r="M51" i="62"/>
  <c r="K50" i="62"/>
  <c r="M50" i="62"/>
  <c r="K48" i="62"/>
  <c r="M48" i="62"/>
  <c r="K47" i="62"/>
  <c r="M47" i="62"/>
  <c r="K46" i="62"/>
  <c r="M46" i="62"/>
  <c r="K45" i="62"/>
  <c r="M45" i="62"/>
  <c r="K44" i="62"/>
  <c r="M44" i="62"/>
  <c r="K43" i="62"/>
  <c r="M43" i="62"/>
  <c r="K42" i="62"/>
  <c r="M42" i="62"/>
  <c r="K41" i="62"/>
  <c r="M41" i="62"/>
  <c r="K40" i="62"/>
  <c r="M40" i="62"/>
  <c r="K39" i="62"/>
  <c r="M39" i="62"/>
  <c r="K38" i="62"/>
  <c r="M38" i="62"/>
  <c r="K37" i="62"/>
  <c r="M37" i="62"/>
  <c r="K36" i="62"/>
  <c r="M36" i="62"/>
  <c r="K35" i="62"/>
  <c r="M35" i="62"/>
  <c r="K34" i="62"/>
  <c r="J34" i="62"/>
  <c r="M34" i="62" s="1"/>
  <c r="K14" i="62"/>
  <c r="K13" i="62"/>
  <c r="K12" i="62"/>
  <c r="K11" i="62"/>
  <c r="J11" i="62"/>
  <c r="M11" i="62" s="1"/>
  <c r="K9" i="62"/>
  <c r="K8" i="62"/>
  <c r="G16" i="62"/>
  <c r="G22" i="62" s="1"/>
  <c r="K82" i="61"/>
  <c r="J82" i="61"/>
  <c r="M82" i="61" s="1"/>
  <c r="K81" i="61"/>
  <c r="J81" i="61"/>
  <c r="M81" i="61" s="1"/>
  <c r="K80" i="61"/>
  <c r="J80" i="61"/>
  <c r="M80" i="61" s="1"/>
  <c r="K79" i="61"/>
  <c r="J79" i="61"/>
  <c r="M79" i="61" s="1"/>
  <c r="K78" i="61"/>
  <c r="J78" i="61"/>
  <c r="M78" i="61" s="1"/>
  <c r="K77" i="61"/>
  <c r="J77" i="61"/>
  <c r="M77" i="61" s="1"/>
  <c r="K76" i="61"/>
  <c r="J76" i="61"/>
  <c r="M76" i="61" s="1"/>
  <c r="K75" i="61"/>
  <c r="J75" i="61"/>
  <c r="M75" i="61" s="1"/>
  <c r="K74" i="61"/>
  <c r="J74" i="61"/>
  <c r="M74" i="61" s="1"/>
  <c r="G71" i="61"/>
  <c r="G84" i="61" s="1"/>
  <c r="K66" i="61"/>
  <c r="J66" i="61"/>
  <c r="M66" i="61" s="1"/>
  <c r="K65" i="61"/>
  <c r="J65" i="61"/>
  <c r="M65" i="61" s="1"/>
  <c r="K64" i="61"/>
  <c r="J64" i="61"/>
  <c r="M64" i="61" s="1"/>
  <c r="K63" i="61"/>
  <c r="J63" i="61"/>
  <c r="M63" i="61" s="1"/>
  <c r="K62" i="61"/>
  <c r="J62" i="61"/>
  <c r="M62" i="61" s="1"/>
  <c r="K61" i="61"/>
  <c r="J61" i="61"/>
  <c r="M61" i="61" s="1"/>
  <c r="K60" i="61"/>
  <c r="J60" i="61"/>
  <c r="M60" i="61" s="1"/>
  <c r="K59" i="61"/>
  <c r="J59" i="61"/>
  <c r="M59" i="61" s="1"/>
  <c r="K58" i="61"/>
  <c r="J58" i="61"/>
  <c r="M58" i="61" s="1"/>
  <c r="K57" i="61"/>
  <c r="J57" i="61"/>
  <c r="M57" i="61" s="1"/>
  <c r="K56" i="61"/>
  <c r="J56" i="61"/>
  <c r="M56" i="61" s="1"/>
  <c r="K55" i="61"/>
  <c r="J55" i="61"/>
  <c r="M55" i="61" s="1"/>
  <c r="K54" i="61"/>
  <c r="J54" i="61"/>
  <c r="M54" i="61" s="1"/>
  <c r="K53" i="61"/>
  <c r="J53" i="61"/>
  <c r="M53" i="61" s="1"/>
  <c r="K52" i="61"/>
  <c r="J52" i="61"/>
  <c r="M52" i="61" s="1"/>
  <c r="K51" i="61"/>
  <c r="J51" i="61"/>
  <c r="M51" i="61" s="1"/>
  <c r="K50" i="61"/>
  <c r="J50" i="61"/>
  <c r="M50" i="61" s="1"/>
  <c r="K49" i="61"/>
  <c r="J49" i="61"/>
  <c r="M49" i="61" s="1"/>
  <c r="K48" i="61"/>
  <c r="J48" i="61"/>
  <c r="M48" i="61" s="1"/>
  <c r="K47" i="61"/>
  <c r="J47" i="61"/>
  <c r="M47" i="61" s="1"/>
  <c r="K46" i="61"/>
  <c r="J46" i="61"/>
  <c r="M46" i="61" s="1"/>
  <c r="K45" i="61"/>
  <c r="J45" i="61"/>
  <c r="M45" i="61" s="1"/>
  <c r="K44" i="61"/>
  <c r="J44" i="61"/>
  <c r="M44" i="61" s="1"/>
  <c r="K43" i="61"/>
  <c r="J43" i="61"/>
  <c r="M43" i="61" s="1"/>
  <c r="K42" i="61"/>
  <c r="J42" i="61"/>
  <c r="M42" i="61" s="1"/>
  <c r="K41" i="61"/>
  <c r="J41" i="61"/>
  <c r="M41" i="61" s="1"/>
  <c r="K40" i="61"/>
  <c r="J40" i="61"/>
  <c r="M40" i="61" s="1"/>
  <c r="K39" i="61"/>
  <c r="J39" i="61"/>
  <c r="M39" i="61" s="1"/>
  <c r="K27" i="61"/>
  <c r="J27" i="61"/>
  <c r="M27" i="61" s="1"/>
  <c r="G27" i="61"/>
  <c r="K26" i="61"/>
  <c r="J26" i="61"/>
  <c r="M26" i="61" s="1"/>
  <c r="K25" i="61"/>
  <c r="J25" i="61"/>
  <c r="M25" i="61" s="1"/>
  <c r="K24" i="61"/>
  <c r="J24" i="61"/>
  <c r="M24" i="61" s="1"/>
  <c r="K23" i="61"/>
  <c r="J23" i="61"/>
  <c r="M23" i="61" s="1"/>
  <c r="K17" i="61"/>
  <c r="J17" i="61"/>
  <c r="M17" i="61" s="1"/>
  <c r="K16" i="61"/>
  <c r="J16" i="61"/>
  <c r="M16" i="61" s="1"/>
  <c r="K15" i="61"/>
  <c r="J15" i="61"/>
  <c r="M15" i="61" s="1"/>
  <c r="K14" i="61"/>
  <c r="J14" i="61"/>
  <c r="M14" i="61" s="1"/>
  <c r="K13" i="61"/>
  <c r="J13" i="61"/>
  <c r="M13" i="61" s="1"/>
  <c r="K12" i="61"/>
  <c r="J12" i="61"/>
  <c r="M12" i="61" s="1"/>
  <c r="K11" i="61"/>
  <c r="J11" i="61"/>
  <c r="M11" i="61" s="1"/>
  <c r="K10" i="61"/>
  <c r="J10" i="61"/>
  <c r="M10" i="61" s="1"/>
  <c r="K9" i="61"/>
  <c r="J9" i="61"/>
  <c r="K8" i="61"/>
  <c r="J8" i="61"/>
  <c r="M8" i="61" s="1"/>
  <c r="G8" i="61"/>
  <c r="G19" i="61" s="1"/>
  <c r="G29" i="61" s="1"/>
  <c r="J19" i="61" l="1"/>
  <c r="J29" i="61" s="1"/>
  <c r="J16" i="62"/>
  <c r="J22" i="62" s="1"/>
  <c r="M62" i="62"/>
  <c r="M68" i="62" s="1"/>
  <c r="M9" i="62"/>
  <c r="M16" i="62" s="1"/>
  <c r="M22" i="62" s="1"/>
  <c r="J62" i="62"/>
  <c r="J68" i="62" s="1"/>
  <c r="M71" i="61"/>
  <c r="M84" i="61" s="1"/>
  <c r="M9" i="61"/>
  <c r="M19" i="61" s="1"/>
  <c r="M29" i="61" s="1"/>
  <c r="J71" i="61"/>
  <c r="J84" i="61" s="1"/>
  <c r="J91" i="61" l="1"/>
  <c r="J100" i="61"/>
  <c r="J101" i="61" s="1"/>
  <c r="J75" i="62"/>
  <c r="J76" i="62"/>
  <c r="M76" i="62"/>
  <c r="M81" i="62" s="1"/>
  <c r="M75" i="62"/>
  <c r="M80" i="62" s="1"/>
  <c r="M78" i="62"/>
  <c r="M77" i="62"/>
  <c r="M92" i="61"/>
  <c r="M91" i="61"/>
  <c r="M94" i="61"/>
  <c r="M93" i="61"/>
  <c r="J58" i="60"/>
  <c r="M58" i="60" s="1"/>
  <c r="K27" i="60"/>
  <c r="J27" i="60"/>
  <c r="M27" i="60" s="1"/>
  <c r="K26" i="60"/>
  <c r="J26" i="60"/>
  <c r="M26" i="60" s="1"/>
  <c r="K25" i="60"/>
  <c r="J25" i="60"/>
  <c r="M25" i="60" s="1"/>
  <c r="G27" i="60"/>
  <c r="K29" i="60"/>
  <c r="J29" i="60"/>
  <c r="M29" i="60" s="1"/>
  <c r="K28" i="60"/>
  <c r="J28" i="60"/>
  <c r="M28" i="60" s="1"/>
  <c r="G29" i="60"/>
  <c r="G28" i="60"/>
  <c r="K30" i="60"/>
  <c r="J30" i="60"/>
  <c r="M30" i="60" s="1"/>
  <c r="J62" i="60"/>
  <c r="M62" i="60" s="1"/>
  <c r="J55" i="60"/>
  <c r="M55" i="60" s="1"/>
  <c r="J43" i="60"/>
  <c r="M43" i="60" s="1"/>
  <c r="J64" i="60"/>
  <c r="M64" i="60" s="1"/>
  <c r="J65" i="60"/>
  <c r="M65" i="60" s="1"/>
  <c r="J66" i="60"/>
  <c r="M66" i="60" s="1"/>
  <c r="J67" i="60"/>
  <c r="M67" i="60" s="1"/>
  <c r="J68" i="60"/>
  <c r="M68" i="60" s="1"/>
  <c r="J69" i="60"/>
  <c r="M69" i="60" s="1"/>
  <c r="J70" i="60"/>
  <c r="M70" i="60" s="1"/>
  <c r="J71" i="60"/>
  <c r="M71" i="60" s="1"/>
  <c r="J72" i="60"/>
  <c r="M72" i="60" s="1"/>
  <c r="J73" i="60"/>
  <c r="M73" i="60" s="1"/>
  <c r="J74" i="60"/>
  <c r="M74" i="60" s="1"/>
  <c r="J75" i="60"/>
  <c r="M75" i="60" s="1"/>
  <c r="J76" i="60"/>
  <c r="M76" i="60" s="1"/>
  <c r="J77" i="60"/>
  <c r="M77" i="60" s="1"/>
  <c r="J78" i="60"/>
  <c r="M78" i="60" s="1"/>
  <c r="J79" i="60"/>
  <c r="M79" i="60" s="1"/>
  <c r="G10" i="60"/>
  <c r="G21" i="60" s="1"/>
  <c r="J10" i="60"/>
  <c r="M10" i="60" s="1"/>
  <c r="K91" i="60"/>
  <c r="J91" i="60"/>
  <c r="M91" i="60" s="1"/>
  <c r="K90" i="60"/>
  <c r="J90" i="60"/>
  <c r="M90" i="60" s="1"/>
  <c r="K89" i="60"/>
  <c r="J89" i="60"/>
  <c r="M89" i="60" s="1"/>
  <c r="K88" i="60"/>
  <c r="J88" i="60"/>
  <c r="M88" i="60" s="1"/>
  <c r="K87" i="60"/>
  <c r="J87" i="60"/>
  <c r="M87" i="60" s="1"/>
  <c r="K86" i="60"/>
  <c r="J86" i="60"/>
  <c r="M86" i="60" s="1"/>
  <c r="G84" i="60"/>
  <c r="K79" i="60"/>
  <c r="K78" i="60"/>
  <c r="K77" i="60"/>
  <c r="K76" i="60"/>
  <c r="K75" i="60"/>
  <c r="K74" i="60"/>
  <c r="K73" i="60"/>
  <c r="K72" i="60"/>
  <c r="K71" i="60"/>
  <c r="K70" i="60"/>
  <c r="K69" i="60"/>
  <c r="K68" i="60"/>
  <c r="K67" i="60"/>
  <c r="K66" i="60"/>
  <c r="K65" i="60"/>
  <c r="K60" i="60"/>
  <c r="J60" i="60"/>
  <c r="M60" i="60" s="1"/>
  <c r="K59" i="60"/>
  <c r="J59" i="60"/>
  <c r="M59" i="60" s="1"/>
  <c r="K58" i="60"/>
  <c r="K57" i="60"/>
  <c r="J57" i="60"/>
  <c r="M57" i="60" s="1"/>
  <c r="K56" i="60"/>
  <c r="J56" i="60"/>
  <c r="M56" i="60" s="1"/>
  <c r="K55" i="60"/>
  <c r="K54" i="60"/>
  <c r="J54" i="60"/>
  <c r="M54" i="60" s="1"/>
  <c r="K53" i="60"/>
  <c r="J53" i="60"/>
  <c r="M53" i="60" s="1"/>
  <c r="K52" i="60"/>
  <c r="J52" i="60"/>
  <c r="M52" i="60" s="1"/>
  <c r="K51" i="60"/>
  <c r="J51" i="60"/>
  <c r="M51" i="60" s="1"/>
  <c r="K50" i="60"/>
  <c r="J50" i="60"/>
  <c r="M50" i="60" s="1"/>
  <c r="K49" i="60"/>
  <c r="J49" i="60"/>
  <c r="M49" i="60" s="1"/>
  <c r="K48" i="60"/>
  <c r="J48" i="60"/>
  <c r="M48" i="60" s="1"/>
  <c r="K47" i="60"/>
  <c r="J47" i="60"/>
  <c r="M47" i="60" s="1"/>
  <c r="J31" i="60"/>
  <c r="M31" i="60" s="1"/>
  <c r="J19" i="60"/>
  <c r="M19" i="60" s="1"/>
  <c r="J18" i="60"/>
  <c r="M18" i="60" s="1"/>
  <c r="J17" i="60"/>
  <c r="M17" i="60" s="1"/>
  <c r="J16" i="60"/>
  <c r="M16" i="60" s="1"/>
  <c r="J15" i="60"/>
  <c r="M15" i="60" s="1"/>
  <c r="J14" i="60"/>
  <c r="J13" i="60"/>
  <c r="M13" i="60" s="1"/>
  <c r="J12" i="60"/>
  <c r="M12" i="60" s="1"/>
  <c r="J11" i="60"/>
  <c r="M11" i="60" s="1"/>
  <c r="G31" i="60"/>
  <c r="K16" i="60"/>
  <c r="K15" i="60"/>
  <c r="K14" i="60"/>
  <c r="M14" i="60"/>
  <c r="K13" i="60"/>
  <c r="K12" i="60"/>
  <c r="K94" i="60"/>
  <c r="J94" i="60"/>
  <c r="M94" i="60" s="1"/>
  <c r="K93" i="60"/>
  <c r="J93" i="60"/>
  <c r="M93" i="60" s="1"/>
  <c r="K92" i="60"/>
  <c r="J92" i="60"/>
  <c r="M92" i="60" s="1"/>
  <c r="K85" i="60"/>
  <c r="J85" i="60"/>
  <c r="M85" i="60" s="1"/>
  <c r="K84" i="60"/>
  <c r="J84" i="60"/>
  <c r="M84" i="60" s="1"/>
  <c r="G81" i="60"/>
  <c r="K64" i="60"/>
  <c r="K63" i="60"/>
  <c r="J63" i="60"/>
  <c r="M63" i="60" s="1"/>
  <c r="K62" i="60"/>
  <c r="K61" i="60"/>
  <c r="J61" i="60"/>
  <c r="M61" i="60" s="1"/>
  <c r="K46" i="60"/>
  <c r="J46" i="60"/>
  <c r="M46" i="60" s="1"/>
  <c r="K45" i="60"/>
  <c r="J45" i="60"/>
  <c r="M45" i="60" s="1"/>
  <c r="K44" i="60"/>
  <c r="J44" i="60"/>
  <c r="M44" i="60" s="1"/>
  <c r="K43" i="60"/>
  <c r="K31" i="60"/>
  <c r="K19" i="60"/>
  <c r="K18" i="60"/>
  <c r="K17" i="60"/>
  <c r="K11" i="60"/>
  <c r="K10" i="60"/>
  <c r="K9" i="60"/>
  <c r="J9" i="60"/>
  <c r="M9" i="60" s="1"/>
  <c r="K8" i="60"/>
  <c r="J8" i="60"/>
  <c r="M8" i="60" s="1"/>
  <c r="G22" i="59"/>
  <c r="J11" i="59"/>
  <c r="M11" i="59" s="1"/>
  <c r="G14" i="59"/>
  <c r="K14" i="59"/>
  <c r="J14" i="59"/>
  <c r="M14" i="59" s="1"/>
  <c r="K13" i="59"/>
  <c r="J13" i="59"/>
  <c r="M13" i="59" s="1"/>
  <c r="K12" i="59"/>
  <c r="J12" i="59"/>
  <c r="M12" i="59" s="1"/>
  <c r="K11" i="59"/>
  <c r="K10" i="59"/>
  <c r="J10" i="59"/>
  <c r="M10" i="59" s="1"/>
  <c r="K9" i="59"/>
  <c r="J9" i="59"/>
  <c r="M9" i="59" s="1"/>
  <c r="J41" i="59"/>
  <c r="M41" i="59" s="1"/>
  <c r="G58" i="59"/>
  <c r="G57" i="59"/>
  <c r="J52" i="59"/>
  <c r="M52" i="59" s="1"/>
  <c r="J51" i="59"/>
  <c r="M51" i="59" s="1"/>
  <c r="J50" i="59"/>
  <c r="M50" i="59" s="1"/>
  <c r="J49" i="59"/>
  <c r="M49" i="59" s="1"/>
  <c r="J48" i="59"/>
  <c r="M48" i="59" s="1"/>
  <c r="J47" i="59"/>
  <c r="M47" i="59" s="1"/>
  <c r="J46" i="59"/>
  <c r="M46" i="59" s="1"/>
  <c r="J45" i="59"/>
  <c r="M45" i="59" s="1"/>
  <c r="M43" i="59"/>
  <c r="J44" i="59"/>
  <c r="M44" i="59" s="1"/>
  <c r="J42" i="59"/>
  <c r="M42" i="59" s="1"/>
  <c r="J40" i="59"/>
  <c r="M40" i="59" s="1"/>
  <c r="J39" i="59"/>
  <c r="M39" i="59" s="1"/>
  <c r="J38" i="59"/>
  <c r="M38" i="59" s="1"/>
  <c r="J37" i="59"/>
  <c r="M37" i="59" s="1"/>
  <c r="J36" i="59"/>
  <c r="M36" i="59" s="1"/>
  <c r="J35" i="59"/>
  <c r="M35" i="59" s="1"/>
  <c r="G50" i="59"/>
  <c r="G54" i="59" s="1"/>
  <c r="K61" i="59"/>
  <c r="J61" i="59"/>
  <c r="M61" i="59" s="1"/>
  <c r="K60" i="59"/>
  <c r="J60" i="59"/>
  <c r="M60" i="59" s="1"/>
  <c r="K59" i="59"/>
  <c r="J59" i="59"/>
  <c r="M59" i="59" s="1"/>
  <c r="K58" i="59"/>
  <c r="J58" i="59"/>
  <c r="M58" i="59" s="1"/>
  <c r="K57" i="59"/>
  <c r="J57" i="59"/>
  <c r="M57" i="59" s="1"/>
  <c r="K52" i="59"/>
  <c r="K51" i="59"/>
  <c r="K50" i="59"/>
  <c r="K49" i="59"/>
  <c r="K48" i="59"/>
  <c r="K47" i="59"/>
  <c r="K46" i="59"/>
  <c r="K45" i="59"/>
  <c r="K43" i="59"/>
  <c r="K44" i="59"/>
  <c r="K42" i="59"/>
  <c r="K41" i="59"/>
  <c r="K40" i="59"/>
  <c r="K39" i="59"/>
  <c r="K38" i="59"/>
  <c r="K37" i="59"/>
  <c r="K36" i="59"/>
  <c r="K35" i="59"/>
  <c r="K34" i="59"/>
  <c r="J34" i="59"/>
  <c r="K22" i="59"/>
  <c r="J22" i="59"/>
  <c r="M22" i="59" s="1"/>
  <c r="K21" i="59"/>
  <c r="J21" i="59"/>
  <c r="M21" i="59" s="1"/>
  <c r="K20" i="59"/>
  <c r="J20" i="59"/>
  <c r="M20" i="59" s="1"/>
  <c r="G16" i="59"/>
  <c r="K8" i="59"/>
  <c r="J8" i="59"/>
  <c r="K77" i="58"/>
  <c r="J77" i="58"/>
  <c r="M77" i="58" s="1"/>
  <c r="G77" i="58"/>
  <c r="K79" i="58"/>
  <c r="J79" i="58"/>
  <c r="M79" i="58" s="1"/>
  <c r="K78" i="58"/>
  <c r="J78" i="58"/>
  <c r="M78" i="58" s="1"/>
  <c r="K76" i="58"/>
  <c r="J76" i="58"/>
  <c r="M76" i="58" s="1"/>
  <c r="K75" i="58"/>
  <c r="J75" i="58"/>
  <c r="M75" i="58" s="1"/>
  <c r="K74" i="58"/>
  <c r="J74" i="58"/>
  <c r="M74" i="58" s="1"/>
  <c r="K73" i="58"/>
  <c r="J73" i="58"/>
  <c r="M73" i="58" s="1"/>
  <c r="K72" i="58"/>
  <c r="J72" i="58"/>
  <c r="M72" i="58" s="1"/>
  <c r="K71" i="58"/>
  <c r="J71" i="58"/>
  <c r="M71" i="58" s="1"/>
  <c r="K70" i="58"/>
  <c r="J70" i="58"/>
  <c r="M70" i="58" s="1"/>
  <c r="J56" i="58"/>
  <c r="M56" i="58" s="1"/>
  <c r="J51" i="58"/>
  <c r="M51" i="58" s="1"/>
  <c r="J45" i="58"/>
  <c r="M45" i="58" s="1"/>
  <c r="J53" i="58"/>
  <c r="M53" i="58" s="1"/>
  <c r="J38" i="58"/>
  <c r="M38" i="58" s="1"/>
  <c r="J35" i="58"/>
  <c r="M35" i="58" s="1"/>
  <c r="J31" i="58"/>
  <c r="M31" i="58" s="1"/>
  <c r="J36" i="58"/>
  <c r="M36" i="58" s="1"/>
  <c r="J34" i="58"/>
  <c r="M34" i="58" s="1"/>
  <c r="J33" i="58"/>
  <c r="M33" i="58" s="1"/>
  <c r="J32" i="58"/>
  <c r="M32" i="58" s="1"/>
  <c r="J37" i="58"/>
  <c r="M37" i="58" s="1"/>
  <c r="J42" i="58"/>
  <c r="M42" i="58" s="1"/>
  <c r="J41" i="58"/>
  <c r="M41" i="58" s="1"/>
  <c r="J40" i="58"/>
  <c r="M40" i="58" s="1"/>
  <c r="J48" i="58"/>
  <c r="M48" i="58" s="1"/>
  <c r="J47" i="58"/>
  <c r="M47" i="58" s="1"/>
  <c r="J46" i="58"/>
  <c r="M46" i="58" s="1"/>
  <c r="J43" i="58"/>
  <c r="M43" i="58" s="1"/>
  <c r="J39" i="58"/>
  <c r="M39" i="58" s="1"/>
  <c r="J44" i="58"/>
  <c r="M44" i="58" s="1"/>
  <c r="J54" i="58"/>
  <c r="M54" i="58" s="1"/>
  <c r="J55" i="58"/>
  <c r="M55" i="58" s="1"/>
  <c r="J50" i="58"/>
  <c r="M50" i="58" s="1"/>
  <c r="J52" i="58"/>
  <c r="M52" i="58" s="1"/>
  <c r="J60" i="58"/>
  <c r="M60" i="58" s="1"/>
  <c r="J59" i="58"/>
  <c r="M59" i="58" s="1"/>
  <c r="J61" i="58"/>
  <c r="M61" i="58" s="1"/>
  <c r="J58" i="58"/>
  <c r="M58" i="58" s="1"/>
  <c r="J62" i="58"/>
  <c r="M62" i="58" s="1"/>
  <c r="J57" i="58"/>
  <c r="M57" i="58" s="1"/>
  <c r="J63" i="58"/>
  <c r="M63" i="58" s="1"/>
  <c r="K47" i="58"/>
  <c r="K46" i="58"/>
  <c r="K38" i="58"/>
  <c r="K43" i="58"/>
  <c r="K39" i="58"/>
  <c r="K49" i="58"/>
  <c r="M49" i="58"/>
  <c r="K44" i="58"/>
  <c r="K53" i="58"/>
  <c r="K45" i="58"/>
  <c r="K42" i="58"/>
  <c r="K41" i="58"/>
  <c r="K40" i="58"/>
  <c r="K48" i="58"/>
  <c r="K54" i="58"/>
  <c r="K55" i="58"/>
  <c r="K51" i="58"/>
  <c r="K19" i="58"/>
  <c r="J19" i="58"/>
  <c r="M19" i="58" s="1"/>
  <c r="K18" i="58"/>
  <c r="J18" i="58"/>
  <c r="M18" i="58" s="1"/>
  <c r="K9" i="58"/>
  <c r="J9" i="58"/>
  <c r="M9" i="58" s="1"/>
  <c r="G91" i="58"/>
  <c r="G92" i="58" s="1"/>
  <c r="G89" i="58"/>
  <c r="K82" i="58"/>
  <c r="J82" i="58"/>
  <c r="M82" i="58" s="1"/>
  <c r="K81" i="58"/>
  <c r="J81" i="58"/>
  <c r="M81" i="58" s="1"/>
  <c r="K80" i="58"/>
  <c r="J80" i="58"/>
  <c r="M80" i="58" s="1"/>
  <c r="K69" i="58"/>
  <c r="J69" i="58"/>
  <c r="M69" i="58" s="1"/>
  <c r="K68" i="58"/>
  <c r="J68" i="58"/>
  <c r="M68" i="58" s="1"/>
  <c r="K31" i="58"/>
  <c r="K36" i="58"/>
  <c r="K35" i="58"/>
  <c r="K34" i="58"/>
  <c r="K33" i="58"/>
  <c r="K32" i="58"/>
  <c r="K37" i="58"/>
  <c r="K50" i="58"/>
  <c r="K52" i="58"/>
  <c r="K60" i="58"/>
  <c r="K59" i="58"/>
  <c r="K61" i="58"/>
  <c r="K58" i="58"/>
  <c r="K62" i="58"/>
  <c r="K57" i="58"/>
  <c r="K63" i="58"/>
  <c r="K56" i="58"/>
  <c r="K17" i="58"/>
  <c r="J17" i="58"/>
  <c r="M17" i="58" s="1"/>
  <c r="K16" i="58"/>
  <c r="J16" i="58"/>
  <c r="M16" i="58" s="1"/>
  <c r="K15" i="58"/>
  <c r="J15" i="58"/>
  <c r="M15" i="58" s="1"/>
  <c r="G11" i="58"/>
  <c r="G21" i="58" s="1"/>
  <c r="K8" i="58"/>
  <c r="J8" i="58"/>
  <c r="M8" i="58" s="1"/>
  <c r="J51" i="57"/>
  <c r="M51" i="57" s="1"/>
  <c r="J37" i="57"/>
  <c r="G34" i="57"/>
  <c r="G60" i="57" s="1"/>
  <c r="J36" i="57"/>
  <c r="M36" i="57" s="1"/>
  <c r="J38" i="57"/>
  <c r="M38" i="57" s="1"/>
  <c r="J58" i="57"/>
  <c r="M58" i="57" s="1"/>
  <c r="J57" i="57"/>
  <c r="M57" i="57" s="1"/>
  <c r="J56" i="57"/>
  <c r="M56" i="57" s="1"/>
  <c r="J55" i="57"/>
  <c r="M55" i="57" s="1"/>
  <c r="J54" i="57"/>
  <c r="M54" i="57" s="1"/>
  <c r="J53" i="57"/>
  <c r="M53" i="57" s="1"/>
  <c r="J52" i="57"/>
  <c r="M52" i="57" s="1"/>
  <c r="J50" i="57"/>
  <c r="M50" i="57" s="1"/>
  <c r="J49" i="57"/>
  <c r="M49" i="57" s="1"/>
  <c r="J48" i="57"/>
  <c r="M48" i="57" s="1"/>
  <c r="J47" i="57"/>
  <c r="M47" i="57" s="1"/>
  <c r="J46" i="57"/>
  <c r="M46" i="57" s="1"/>
  <c r="J45" i="57"/>
  <c r="M45" i="57" s="1"/>
  <c r="J44" i="57"/>
  <c r="M44" i="57" s="1"/>
  <c r="J43" i="57"/>
  <c r="M43" i="57" s="1"/>
  <c r="J42" i="57"/>
  <c r="M42" i="57" s="1"/>
  <c r="J41" i="57"/>
  <c r="M41" i="57" s="1"/>
  <c r="J40" i="57"/>
  <c r="M40" i="57" s="1"/>
  <c r="J39" i="57"/>
  <c r="M39" i="57" s="1"/>
  <c r="J35" i="57"/>
  <c r="M35" i="57" s="1"/>
  <c r="J34" i="57"/>
  <c r="J33" i="57"/>
  <c r="M33" i="57" s="1"/>
  <c r="J32" i="57"/>
  <c r="M32" i="57" s="1"/>
  <c r="K19" i="57"/>
  <c r="J19" i="57"/>
  <c r="M19" i="57" s="1"/>
  <c r="G17" i="57"/>
  <c r="G16" i="57"/>
  <c r="J63" i="57"/>
  <c r="G58" i="57"/>
  <c r="G57" i="57"/>
  <c r="G56" i="57"/>
  <c r="G77" i="57"/>
  <c r="G78" i="57" s="1"/>
  <c r="G75" i="57"/>
  <c r="K68" i="57"/>
  <c r="J68" i="57"/>
  <c r="M68" i="57" s="1"/>
  <c r="K67" i="57"/>
  <c r="J67" i="57"/>
  <c r="M67" i="57" s="1"/>
  <c r="K66" i="57"/>
  <c r="J66" i="57"/>
  <c r="M66" i="57" s="1"/>
  <c r="K65" i="57"/>
  <c r="J65" i="57"/>
  <c r="M65" i="57" s="1"/>
  <c r="K64" i="57"/>
  <c r="J64" i="57"/>
  <c r="M64" i="57" s="1"/>
  <c r="K63" i="57"/>
  <c r="M63" i="57"/>
  <c r="K58" i="57"/>
  <c r="K57" i="57"/>
  <c r="K56" i="57"/>
  <c r="K55" i="57"/>
  <c r="K54" i="57"/>
  <c r="K53" i="57"/>
  <c r="K51" i="57"/>
  <c r="K52" i="57"/>
  <c r="K50" i="57"/>
  <c r="K49" i="57"/>
  <c r="K48" i="57"/>
  <c r="K47" i="57"/>
  <c r="K46" i="57"/>
  <c r="K45" i="57"/>
  <c r="K44" i="57"/>
  <c r="K43" i="57"/>
  <c r="K42" i="57"/>
  <c r="K41" i="57"/>
  <c r="K40" i="57"/>
  <c r="K39" i="57"/>
  <c r="K38" i="57"/>
  <c r="K37" i="57"/>
  <c r="M37" i="57"/>
  <c r="K36" i="57"/>
  <c r="K35" i="57"/>
  <c r="K34" i="57"/>
  <c r="K33" i="57"/>
  <c r="K32" i="57"/>
  <c r="K31" i="57"/>
  <c r="J31" i="57"/>
  <c r="M31" i="57" s="1"/>
  <c r="K18" i="57"/>
  <c r="J18" i="57"/>
  <c r="M18" i="57" s="1"/>
  <c r="K17" i="57"/>
  <c r="J17" i="57"/>
  <c r="M17" i="57" s="1"/>
  <c r="K16" i="57"/>
  <c r="J16" i="57"/>
  <c r="M16" i="57" s="1"/>
  <c r="G12" i="57"/>
  <c r="K10" i="57"/>
  <c r="J10" i="57"/>
  <c r="M10" i="57" s="1"/>
  <c r="K9" i="57"/>
  <c r="J9" i="57"/>
  <c r="M9" i="57" s="1"/>
  <c r="K8" i="57"/>
  <c r="J8" i="57"/>
  <c r="M8" i="57" s="1"/>
  <c r="G96" i="56"/>
  <c r="G97" i="56" s="1"/>
  <c r="G94" i="56"/>
  <c r="K12" i="56"/>
  <c r="J12" i="56"/>
  <c r="M12" i="56" s="1"/>
  <c r="K11" i="56"/>
  <c r="J11" i="56"/>
  <c r="M11" i="56" s="1"/>
  <c r="K10" i="56"/>
  <c r="J10" i="56"/>
  <c r="M10" i="56" s="1"/>
  <c r="K18" i="56"/>
  <c r="J18" i="56"/>
  <c r="M18" i="56" s="1"/>
  <c r="G18" i="56"/>
  <c r="J79" i="56"/>
  <c r="K80" i="56"/>
  <c r="J80" i="56"/>
  <c r="M80" i="56" s="1"/>
  <c r="G80" i="56"/>
  <c r="K81" i="56"/>
  <c r="J81" i="56"/>
  <c r="M81" i="56" s="1"/>
  <c r="G81" i="56"/>
  <c r="K72" i="56"/>
  <c r="J72" i="56"/>
  <c r="M72" i="56" s="1"/>
  <c r="G72" i="56"/>
  <c r="K71" i="56"/>
  <c r="J71" i="56"/>
  <c r="M71" i="56" s="1"/>
  <c r="G71" i="56"/>
  <c r="K70" i="56"/>
  <c r="J70" i="56"/>
  <c r="M70" i="56" s="1"/>
  <c r="G70" i="56"/>
  <c r="K56" i="56"/>
  <c r="J56" i="56"/>
  <c r="M56" i="56" s="1"/>
  <c r="K55" i="56"/>
  <c r="J55" i="56"/>
  <c r="M55" i="56" s="1"/>
  <c r="G56" i="56"/>
  <c r="G55" i="56"/>
  <c r="M97" i="61" l="1"/>
  <c r="G24" i="59"/>
  <c r="M96" i="61"/>
  <c r="J77" i="62"/>
  <c r="J93" i="61"/>
  <c r="J92" i="61"/>
  <c r="J60" i="57"/>
  <c r="J70" i="57" s="1"/>
  <c r="G33" i="60"/>
  <c r="G96" i="60"/>
  <c r="J81" i="60"/>
  <c r="J96" i="60" s="1"/>
  <c r="M21" i="60"/>
  <c r="M33" i="60" s="1"/>
  <c r="M81" i="60"/>
  <c r="M96" i="60" s="1"/>
  <c r="J21" i="60"/>
  <c r="J33" i="60" s="1"/>
  <c r="G63" i="59"/>
  <c r="J16" i="59"/>
  <c r="J24" i="59" s="1"/>
  <c r="J54" i="59"/>
  <c r="J63" i="59" s="1"/>
  <c r="M34" i="59"/>
  <c r="M54" i="59" s="1"/>
  <c r="M63" i="59" s="1"/>
  <c r="M8" i="59"/>
  <c r="M16" i="59" s="1"/>
  <c r="M24" i="59" s="1"/>
  <c r="G65" i="58"/>
  <c r="G84" i="58" s="1"/>
  <c r="J11" i="58"/>
  <c r="J21" i="58" s="1"/>
  <c r="J65" i="58"/>
  <c r="J84" i="58" s="1"/>
  <c r="M11" i="58"/>
  <c r="M21" i="58" s="1"/>
  <c r="M65" i="58"/>
  <c r="M84" i="58" s="1"/>
  <c r="G21" i="57"/>
  <c r="G70" i="57"/>
  <c r="J12" i="57"/>
  <c r="J21" i="57" s="1"/>
  <c r="M12" i="57"/>
  <c r="M21" i="57" s="1"/>
  <c r="M34" i="57"/>
  <c r="J58" i="56"/>
  <c r="M58" i="56" s="1"/>
  <c r="J61" i="56"/>
  <c r="M61" i="56" s="1"/>
  <c r="G58" i="56"/>
  <c r="J52" i="56"/>
  <c r="J54" i="56"/>
  <c r="J69" i="56"/>
  <c r="M69" i="56" s="1"/>
  <c r="K85" i="56"/>
  <c r="K86" i="56"/>
  <c r="K87" i="56"/>
  <c r="K88" i="56"/>
  <c r="J85" i="56"/>
  <c r="M85" i="56" s="1"/>
  <c r="J86" i="56"/>
  <c r="M86" i="56" s="1"/>
  <c r="J87" i="56"/>
  <c r="M87" i="56" s="1"/>
  <c r="J88" i="56"/>
  <c r="M88" i="56" s="1"/>
  <c r="J64" i="56"/>
  <c r="M64" i="56" s="1"/>
  <c r="J65" i="56"/>
  <c r="M65" i="56" s="1"/>
  <c r="J66" i="56"/>
  <c r="M66" i="56" s="1"/>
  <c r="J67" i="56"/>
  <c r="M67" i="56" s="1"/>
  <c r="J68" i="56"/>
  <c r="M68" i="56" s="1"/>
  <c r="K74" i="56"/>
  <c r="J74" i="56"/>
  <c r="M74" i="56" s="1"/>
  <c r="K73" i="56"/>
  <c r="J73" i="56"/>
  <c r="M73" i="56" s="1"/>
  <c r="K68" i="56"/>
  <c r="K69" i="56"/>
  <c r="K67" i="56"/>
  <c r="K66" i="56"/>
  <c r="K65" i="56"/>
  <c r="K64" i="56"/>
  <c r="K63" i="56"/>
  <c r="J63" i="56"/>
  <c r="M63" i="56" s="1"/>
  <c r="K62" i="56"/>
  <c r="J62" i="56"/>
  <c r="M62" i="56" s="1"/>
  <c r="K61" i="56"/>
  <c r="K60" i="56"/>
  <c r="J60" i="56"/>
  <c r="M60" i="56" s="1"/>
  <c r="K59" i="56"/>
  <c r="J59" i="56"/>
  <c r="M59" i="56" s="1"/>
  <c r="K58" i="56"/>
  <c r="K57" i="56"/>
  <c r="J57" i="56"/>
  <c r="M57" i="56" s="1"/>
  <c r="K75" i="56"/>
  <c r="J75" i="56"/>
  <c r="K27" i="56"/>
  <c r="J27" i="56"/>
  <c r="M27" i="56" s="1"/>
  <c r="G20" i="56"/>
  <c r="G28" i="56" s="1"/>
  <c r="J19" i="56"/>
  <c r="M19" i="56" s="1"/>
  <c r="K19" i="56"/>
  <c r="K25" i="56"/>
  <c r="J25" i="56"/>
  <c r="M25" i="56" s="1"/>
  <c r="K31" i="41"/>
  <c r="K16" i="56"/>
  <c r="J16" i="56"/>
  <c r="M16" i="56" s="1"/>
  <c r="K15" i="56"/>
  <c r="J15" i="56"/>
  <c r="M15" i="56" s="1"/>
  <c r="K14" i="56"/>
  <c r="J14" i="56"/>
  <c r="M14" i="56" s="1"/>
  <c r="K13" i="56"/>
  <c r="J13" i="56"/>
  <c r="M13" i="56" s="1"/>
  <c r="K9" i="56"/>
  <c r="J9" i="56"/>
  <c r="M9" i="56" s="1"/>
  <c r="K8" i="56"/>
  <c r="J8" i="56"/>
  <c r="M8" i="56" s="1"/>
  <c r="K17" i="56"/>
  <c r="J17" i="56"/>
  <c r="M17" i="56" s="1"/>
  <c r="M60" i="57" l="1"/>
  <c r="M70" i="57" s="1"/>
  <c r="M79" i="57" s="1"/>
  <c r="J103" i="60"/>
  <c r="J105" i="60" s="1"/>
  <c r="M106" i="60"/>
  <c r="M105" i="60"/>
  <c r="M104" i="60"/>
  <c r="M109" i="60" s="1"/>
  <c r="M103" i="60"/>
  <c r="M108" i="60" s="1"/>
  <c r="J70" i="59"/>
  <c r="J72" i="59" s="1"/>
  <c r="M71" i="59"/>
  <c r="M70" i="59"/>
  <c r="M73" i="59"/>
  <c r="M72" i="59"/>
  <c r="J91" i="58"/>
  <c r="J92" i="58" s="1"/>
  <c r="M92" i="58"/>
  <c r="M97" i="58" s="1"/>
  <c r="M91" i="58"/>
  <c r="M94" i="58"/>
  <c r="M93" i="58"/>
  <c r="J77" i="57"/>
  <c r="J78" i="57" s="1"/>
  <c r="M78" i="57"/>
  <c r="M77" i="57"/>
  <c r="M75" i="56"/>
  <c r="G76" i="56"/>
  <c r="G89" i="56" s="1"/>
  <c r="M20" i="56"/>
  <c r="J20" i="56"/>
  <c r="M101" i="56"/>
  <c r="K84" i="56"/>
  <c r="J84" i="56"/>
  <c r="M84" i="56" s="1"/>
  <c r="K83" i="56"/>
  <c r="J83" i="56"/>
  <c r="M83" i="56" s="1"/>
  <c r="K82" i="56"/>
  <c r="J82" i="56"/>
  <c r="M82" i="56" s="1"/>
  <c r="K79" i="56"/>
  <c r="M79" i="56"/>
  <c r="K52" i="56"/>
  <c r="M52" i="56"/>
  <c r="K54" i="56"/>
  <c r="M54" i="56"/>
  <c r="K53" i="56"/>
  <c r="J53" i="56"/>
  <c r="M53" i="56" s="1"/>
  <c r="K51" i="56"/>
  <c r="J51" i="56"/>
  <c r="M51" i="56" s="1"/>
  <c r="K50" i="56"/>
  <c r="J50" i="56"/>
  <c r="M50" i="56" s="1"/>
  <c r="K49" i="56"/>
  <c r="J49" i="56"/>
  <c r="M49" i="56" s="1"/>
  <c r="K48" i="56"/>
  <c r="J48" i="56"/>
  <c r="M48" i="56" s="1"/>
  <c r="K47" i="56"/>
  <c r="J47" i="56"/>
  <c r="M47" i="56" s="1"/>
  <c r="K46" i="56"/>
  <c r="J46" i="56"/>
  <c r="M46" i="56" s="1"/>
  <c r="K45" i="56"/>
  <c r="J45" i="56"/>
  <c r="M45" i="56" s="1"/>
  <c r="K44" i="56"/>
  <c r="J44" i="56"/>
  <c r="M44" i="56" s="1"/>
  <c r="K43" i="56"/>
  <c r="J43" i="56"/>
  <c r="M43" i="56" s="1"/>
  <c r="K42" i="56"/>
  <c r="J42" i="56"/>
  <c r="M42" i="56" s="1"/>
  <c r="K41" i="56"/>
  <c r="J41" i="56"/>
  <c r="M41" i="56" s="1"/>
  <c r="K40" i="56"/>
  <c r="J40" i="56"/>
  <c r="M40" i="56" s="1"/>
  <c r="K39" i="56"/>
  <c r="J39" i="56"/>
  <c r="M39" i="56" s="1"/>
  <c r="K38" i="56"/>
  <c r="J38" i="56"/>
  <c r="M38" i="56" s="1"/>
  <c r="K26" i="56"/>
  <c r="J26" i="56"/>
  <c r="M26" i="56" s="1"/>
  <c r="K24" i="56"/>
  <c r="J24" i="56"/>
  <c r="M24" i="56" s="1"/>
  <c r="M76" i="59" l="1"/>
  <c r="M82" i="57"/>
  <c r="M75" i="59"/>
  <c r="M96" i="58"/>
  <c r="J104" i="60"/>
  <c r="J71" i="59"/>
  <c r="J93" i="58"/>
  <c r="M80" i="57"/>
  <c r="M83" i="57" s="1"/>
  <c r="J79" i="57"/>
  <c r="J76" i="56"/>
  <c r="J89" i="56" s="1"/>
  <c r="M76" i="56"/>
  <c r="M89" i="56" s="1"/>
  <c r="J28" i="56"/>
  <c r="M28" i="56"/>
  <c r="M97" i="56" s="1"/>
  <c r="M96" i="56" l="1"/>
  <c r="J96" i="56"/>
  <c r="J97" i="56" s="1"/>
  <c r="M98" i="56"/>
  <c r="M99" i="56"/>
  <c r="J98" i="56" l="1"/>
  <c r="M74" i="41"/>
  <c r="M72" i="55"/>
  <c r="J35" i="55"/>
  <c r="M35" i="55" s="1"/>
  <c r="K58" i="41"/>
  <c r="J58" i="41"/>
  <c r="M58" i="41" s="1"/>
  <c r="G58" i="41"/>
  <c r="K50" i="41"/>
  <c r="J50" i="41"/>
  <c r="M50" i="41" s="1"/>
  <c r="K49" i="41"/>
  <c r="J49" i="41"/>
  <c r="M49" i="41" s="1"/>
  <c r="K48" i="41"/>
  <c r="J48" i="41"/>
  <c r="M48" i="41" s="1"/>
  <c r="K47" i="41"/>
  <c r="J47" i="41"/>
  <c r="M47" i="41" s="1"/>
  <c r="K46" i="41"/>
  <c r="J46" i="41"/>
  <c r="M46" i="41" s="1"/>
  <c r="K45" i="41"/>
  <c r="J45" i="41"/>
  <c r="M45" i="41" s="1"/>
  <c r="K44" i="41"/>
  <c r="J44" i="41"/>
  <c r="M44" i="41" s="1"/>
  <c r="K43" i="41"/>
  <c r="J43" i="41"/>
  <c r="M43" i="41" s="1"/>
  <c r="K42" i="41"/>
  <c r="J42" i="41"/>
  <c r="M42" i="41" s="1"/>
  <c r="K41" i="41"/>
  <c r="J41" i="41"/>
  <c r="M41" i="41" s="1"/>
  <c r="K40" i="41"/>
  <c r="J40" i="41"/>
  <c r="M40" i="41" s="1"/>
  <c r="K39" i="41"/>
  <c r="J39" i="41"/>
  <c r="M39" i="41" s="1"/>
  <c r="K38" i="41"/>
  <c r="J38" i="41"/>
  <c r="M38" i="41" s="1"/>
  <c r="K37" i="41"/>
  <c r="J37" i="41"/>
  <c r="M37" i="41" s="1"/>
  <c r="K36" i="41"/>
  <c r="J36" i="41"/>
  <c r="M36" i="41" s="1"/>
  <c r="J35" i="41"/>
  <c r="M35" i="41" s="1"/>
  <c r="J34" i="41"/>
  <c r="M34" i="41" s="1"/>
  <c r="J33" i="41"/>
  <c r="M33" i="41" s="1"/>
  <c r="J32" i="41"/>
  <c r="M32" i="41" s="1"/>
  <c r="J31" i="41"/>
  <c r="M31" i="41" s="1"/>
  <c r="J29" i="41"/>
  <c r="M29" i="41" s="1"/>
  <c r="J41" i="55"/>
  <c r="M41" i="55" s="1"/>
  <c r="K54" i="55"/>
  <c r="J54" i="55"/>
  <c r="M54" i="55" s="1"/>
  <c r="K53" i="55"/>
  <c r="J53" i="55"/>
  <c r="M53" i="55" s="1"/>
  <c r="K52" i="55"/>
  <c r="J52" i="55"/>
  <c r="M52" i="55" s="1"/>
  <c r="K51" i="55"/>
  <c r="J51" i="55"/>
  <c r="M51" i="55" s="1"/>
  <c r="K50" i="55"/>
  <c r="J50" i="55"/>
  <c r="M50" i="55" s="1"/>
  <c r="K49" i="55"/>
  <c r="J49" i="55"/>
  <c r="M49" i="55" s="1"/>
  <c r="K48" i="55"/>
  <c r="J48" i="55"/>
  <c r="M48" i="55" s="1"/>
  <c r="K47" i="55"/>
  <c r="J47" i="55"/>
  <c r="M47" i="55" s="1"/>
  <c r="K46" i="55"/>
  <c r="J46" i="55"/>
  <c r="M46" i="55" s="1"/>
  <c r="K45" i="55"/>
  <c r="J45" i="55"/>
  <c r="M45" i="55" s="1"/>
  <c r="K44" i="55"/>
  <c r="J44" i="55"/>
  <c r="M44" i="55" s="1"/>
  <c r="K17" i="41"/>
  <c r="K16" i="41"/>
  <c r="J17" i="41"/>
  <c r="M17" i="41" s="1"/>
  <c r="J16" i="41"/>
  <c r="M16" i="41" s="1"/>
  <c r="J15" i="41"/>
  <c r="M15" i="41" s="1"/>
  <c r="K60" i="41"/>
  <c r="J60" i="41"/>
  <c r="M60" i="41" s="1"/>
  <c r="K59" i="41"/>
  <c r="J59" i="41"/>
  <c r="M59" i="41" s="1"/>
  <c r="K57" i="41"/>
  <c r="J57" i="41"/>
  <c r="M57" i="41" s="1"/>
  <c r="K56" i="41"/>
  <c r="J56" i="41"/>
  <c r="M56" i="41" s="1"/>
  <c r="K35" i="41"/>
  <c r="K34" i="41"/>
  <c r="K33" i="41"/>
  <c r="K32" i="41"/>
  <c r="K30" i="41"/>
  <c r="J30" i="41"/>
  <c r="M30" i="41" s="1"/>
  <c r="K29" i="41"/>
  <c r="K15" i="41"/>
  <c r="K14" i="41"/>
  <c r="J14" i="41"/>
  <c r="M14" i="41" s="1"/>
  <c r="G10" i="41"/>
  <c r="G19" i="41" s="1"/>
  <c r="K14" i="55"/>
  <c r="J14" i="55"/>
  <c r="M14" i="55" s="1"/>
  <c r="K13" i="55"/>
  <c r="J13" i="55"/>
  <c r="M13" i="55" s="1"/>
  <c r="K12" i="55"/>
  <c r="J12" i="55"/>
  <c r="M12" i="55" s="1"/>
  <c r="K11" i="55"/>
  <c r="J11" i="55"/>
  <c r="M11" i="55" s="1"/>
  <c r="K10" i="55"/>
  <c r="J10" i="55"/>
  <c r="M10" i="55" s="1"/>
  <c r="K9" i="55"/>
  <c r="J9" i="55"/>
  <c r="M9" i="55" s="1"/>
  <c r="K8" i="55"/>
  <c r="J8" i="55"/>
  <c r="K23" i="55"/>
  <c r="J23" i="55"/>
  <c r="M23" i="55" s="1"/>
  <c r="K22" i="55"/>
  <c r="J22" i="55"/>
  <c r="M22" i="55" s="1"/>
  <c r="G23" i="55"/>
  <c r="G22" i="55"/>
  <c r="G21" i="55"/>
  <c r="K62" i="55"/>
  <c r="J62" i="55"/>
  <c r="M62" i="55" s="1"/>
  <c r="K61" i="55"/>
  <c r="J61" i="55"/>
  <c r="M61" i="55" s="1"/>
  <c r="K60" i="55"/>
  <c r="J60" i="55"/>
  <c r="M60" i="55" s="1"/>
  <c r="K43" i="55"/>
  <c r="J43" i="55"/>
  <c r="M43" i="55" s="1"/>
  <c r="K42" i="55"/>
  <c r="J42" i="55"/>
  <c r="M42" i="55" s="1"/>
  <c r="K41" i="55"/>
  <c r="K40" i="55"/>
  <c r="J40" i="55"/>
  <c r="M40" i="55" s="1"/>
  <c r="K39" i="55"/>
  <c r="J39" i="55"/>
  <c r="M39" i="55" s="1"/>
  <c r="K38" i="55"/>
  <c r="J38" i="55"/>
  <c r="M38" i="55" s="1"/>
  <c r="K37" i="55"/>
  <c r="J37" i="55"/>
  <c r="M37" i="55" s="1"/>
  <c r="K36" i="55"/>
  <c r="J36" i="55"/>
  <c r="M36" i="55" s="1"/>
  <c r="K35" i="55"/>
  <c r="K21" i="55"/>
  <c r="J21" i="55"/>
  <c r="M21" i="55" s="1"/>
  <c r="G17" i="55"/>
  <c r="J30" i="54"/>
  <c r="M30" i="54" s="1"/>
  <c r="J28" i="54"/>
  <c r="J39" i="54"/>
  <c r="M39" i="54" s="1"/>
  <c r="J63" i="54"/>
  <c r="M63" i="54" s="1"/>
  <c r="J62" i="54"/>
  <c r="M62" i="54" s="1"/>
  <c r="J61" i="54"/>
  <c r="M61" i="54" s="1"/>
  <c r="J60" i="54"/>
  <c r="M60" i="54" s="1"/>
  <c r="J59" i="54"/>
  <c r="M59" i="54" s="1"/>
  <c r="J58" i="54"/>
  <c r="M58" i="54" s="1"/>
  <c r="J57" i="54"/>
  <c r="M57" i="54" s="1"/>
  <c r="J55" i="54"/>
  <c r="M55" i="54" s="1"/>
  <c r="K49" i="54"/>
  <c r="J49" i="54"/>
  <c r="M49" i="54" s="1"/>
  <c r="K48" i="54"/>
  <c r="J48" i="54"/>
  <c r="M48" i="54" s="1"/>
  <c r="K47" i="54"/>
  <c r="J47" i="54"/>
  <c r="M47" i="54" s="1"/>
  <c r="K46" i="54"/>
  <c r="J46" i="54"/>
  <c r="M46" i="54" s="1"/>
  <c r="K45" i="54"/>
  <c r="J45" i="54"/>
  <c r="M45" i="54" s="1"/>
  <c r="K44" i="54"/>
  <c r="J44" i="54"/>
  <c r="M44" i="54" s="1"/>
  <c r="G49" i="54"/>
  <c r="G39" i="54"/>
  <c r="G52" i="54" s="1"/>
  <c r="J41" i="54"/>
  <c r="M41" i="54" s="1"/>
  <c r="J10" i="52"/>
  <c r="K10" i="52"/>
  <c r="M10" i="52"/>
  <c r="G19" i="52"/>
  <c r="J19" i="52"/>
  <c r="M19" i="52" s="1"/>
  <c r="K19" i="52"/>
  <c r="G20" i="52"/>
  <c r="J20" i="52"/>
  <c r="M20" i="52" s="1"/>
  <c r="K20" i="52"/>
  <c r="J18" i="52"/>
  <c r="M18" i="52" s="1"/>
  <c r="K18" i="52"/>
  <c r="G16" i="52"/>
  <c r="J16" i="52"/>
  <c r="J17" i="52"/>
  <c r="J9" i="52"/>
  <c r="M9" i="52" s="1"/>
  <c r="K9" i="52"/>
  <c r="K63" i="54"/>
  <c r="K62" i="54"/>
  <c r="K61" i="54"/>
  <c r="K60" i="54"/>
  <c r="K59" i="54"/>
  <c r="K58" i="54"/>
  <c r="K57" i="54"/>
  <c r="K56" i="54"/>
  <c r="J56" i="54"/>
  <c r="M56" i="54" s="1"/>
  <c r="K55" i="54"/>
  <c r="K43" i="54"/>
  <c r="J43" i="54"/>
  <c r="M43" i="54" s="1"/>
  <c r="K42" i="54"/>
  <c r="J42" i="54"/>
  <c r="M42" i="54" s="1"/>
  <c r="K41" i="54"/>
  <c r="K40" i="54"/>
  <c r="J40" i="54"/>
  <c r="M40" i="54" s="1"/>
  <c r="K39" i="54"/>
  <c r="K38" i="54"/>
  <c r="J38" i="54"/>
  <c r="M38" i="54" s="1"/>
  <c r="K37" i="54"/>
  <c r="J37" i="54"/>
  <c r="M37" i="54" s="1"/>
  <c r="K36" i="54"/>
  <c r="J36" i="54"/>
  <c r="M36" i="54" s="1"/>
  <c r="K35" i="54"/>
  <c r="J35" i="54"/>
  <c r="M35" i="54" s="1"/>
  <c r="K34" i="54"/>
  <c r="J34" i="54"/>
  <c r="M34" i="54" s="1"/>
  <c r="K33" i="54"/>
  <c r="J33" i="54"/>
  <c r="M33" i="54" s="1"/>
  <c r="K32" i="54"/>
  <c r="J32" i="54"/>
  <c r="M32" i="54" s="1"/>
  <c r="K31" i="54"/>
  <c r="J31" i="54"/>
  <c r="M31" i="54" s="1"/>
  <c r="K30" i="54"/>
  <c r="K29" i="54"/>
  <c r="J29" i="54"/>
  <c r="M29" i="54" s="1"/>
  <c r="K28" i="54"/>
  <c r="K16" i="54"/>
  <c r="J16" i="54"/>
  <c r="M16" i="54" s="1"/>
  <c r="K15" i="54"/>
  <c r="J15" i="54"/>
  <c r="M15" i="54" s="1"/>
  <c r="J11" i="54"/>
  <c r="G11" i="54"/>
  <c r="G18" i="54" s="1"/>
  <c r="M44" i="53"/>
  <c r="K44" i="53"/>
  <c r="K48" i="53"/>
  <c r="J48" i="53"/>
  <c r="M48" i="53" s="1"/>
  <c r="K47" i="53"/>
  <c r="J47" i="53"/>
  <c r="M47" i="53" s="1"/>
  <c r="K46" i="53"/>
  <c r="J46" i="53"/>
  <c r="M46" i="53" s="1"/>
  <c r="K45" i="53"/>
  <c r="J45" i="53"/>
  <c r="M45" i="53" s="1"/>
  <c r="K43" i="53"/>
  <c r="J43" i="53"/>
  <c r="M43" i="53" s="1"/>
  <c r="K42" i="53"/>
  <c r="J42" i="53"/>
  <c r="M42" i="53" s="1"/>
  <c r="K41" i="53"/>
  <c r="J41" i="53"/>
  <c r="M41" i="53" s="1"/>
  <c r="K40" i="53"/>
  <c r="J40" i="53"/>
  <c r="M40" i="53" s="1"/>
  <c r="K39" i="53"/>
  <c r="J39" i="53"/>
  <c r="M39" i="53" s="1"/>
  <c r="K38" i="53"/>
  <c r="J38" i="53"/>
  <c r="M38" i="53" s="1"/>
  <c r="K37" i="53"/>
  <c r="J37" i="53"/>
  <c r="M37" i="53" s="1"/>
  <c r="K36" i="53"/>
  <c r="J36" i="53"/>
  <c r="M36" i="53" s="1"/>
  <c r="K35" i="53"/>
  <c r="J35" i="53"/>
  <c r="M35" i="53" s="1"/>
  <c r="K68" i="53"/>
  <c r="J68" i="53"/>
  <c r="M68" i="53" s="1"/>
  <c r="K67" i="53"/>
  <c r="J67" i="53"/>
  <c r="M67" i="53" s="1"/>
  <c r="K66" i="53"/>
  <c r="J66" i="53"/>
  <c r="M66" i="53" s="1"/>
  <c r="K65" i="53"/>
  <c r="J65" i="53"/>
  <c r="M65" i="53" s="1"/>
  <c r="K64" i="53"/>
  <c r="J64" i="53"/>
  <c r="M64" i="53" s="1"/>
  <c r="K63" i="53"/>
  <c r="J63" i="53"/>
  <c r="M63" i="53" s="1"/>
  <c r="K62" i="53"/>
  <c r="J62" i="53"/>
  <c r="M62" i="53" s="1"/>
  <c r="K61" i="53"/>
  <c r="J61" i="53"/>
  <c r="M61" i="53" s="1"/>
  <c r="K60" i="53"/>
  <c r="J60" i="53"/>
  <c r="M60" i="53" s="1"/>
  <c r="K59" i="53"/>
  <c r="J59" i="53"/>
  <c r="M59" i="53" s="1"/>
  <c r="K58" i="53"/>
  <c r="J58" i="53"/>
  <c r="M58" i="53" s="1"/>
  <c r="K8" i="53"/>
  <c r="J8" i="53"/>
  <c r="M8" i="53" s="1"/>
  <c r="G8" i="53"/>
  <c r="G13" i="53" s="1"/>
  <c r="K57" i="53"/>
  <c r="J57" i="53"/>
  <c r="M57" i="53" s="1"/>
  <c r="K56" i="53"/>
  <c r="K50" i="53"/>
  <c r="M50" i="53"/>
  <c r="K49" i="53"/>
  <c r="J49" i="53"/>
  <c r="M49" i="53" s="1"/>
  <c r="K34" i="53"/>
  <c r="J34" i="53"/>
  <c r="M34" i="53" s="1"/>
  <c r="K33" i="53"/>
  <c r="J33" i="53"/>
  <c r="M33" i="53" s="1"/>
  <c r="K32" i="53"/>
  <c r="J32" i="53"/>
  <c r="M32" i="53" s="1"/>
  <c r="K31" i="53"/>
  <c r="J31" i="53"/>
  <c r="M31" i="53" s="1"/>
  <c r="K30" i="53"/>
  <c r="J30" i="53"/>
  <c r="K18" i="53"/>
  <c r="J18" i="53"/>
  <c r="M18" i="53" s="1"/>
  <c r="K17" i="53"/>
  <c r="J17" i="53"/>
  <c r="M17" i="53" s="1"/>
  <c r="K11" i="53"/>
  <c r="J11" i="53"/>
  <c r="M11" i="53" s="1"/>
  <c r="K10" i="53"/>
  <c r="J10" i="53"/>
  <c r="M10" i="53" s="1"/>
  <c r="K9" i="53"/>
  <c r="J9" i="53"/>
  <c r="M9" i="53" s="1"/>
  <c r="K35" i="52"/>
  <c r="J35" i="52"/>
  <c r="M35" i="52" s="1"/>
  <c r="G35" i="52"/>
  <c r="J17" i="55" l="1"/>
  <c r="J25" i="55" s="1"/>
  <c r="M8" i="55"/>
  <c r="M17" i="55" s="1"/>
  <c r="M25" i="55" s="1"/>
  <c r="M53" i="41"/>
  <c r="M62" i="41" s="1"/>
  <c r="G53" i="41"/>
  <c r="G62" i="41" s="1"/>
  <c r="J10" i="41"/>
  <c r="J19" i="41" s="1"/>
  <c r="M10" i="41"/>
  <c r="M19" i="41" s="1"/>
  <c r="J53" i="41"/>
  <c r="J62" i="41" s="1"/>
  <c r="G25" i="55"/>
  <c r="G57" i="55"/>
  <c r="G64" i="55" s="1"/>
  <c r="M57" i="55"/>
  <c r="M64" i="55" s="1"/>
  <c r="J57" i="55"/>
  <c r="J64" i="55" s="1"/>
  <c r="J52" i="54"/>
  <c r="J65" i="54" s="1"/>
  <c r="G65" i="54"/>
  <c r="J18" i="54"/>
  <c r="M11" i="54"/>
  <c r="M18" i="54" s="1"/>
  <c r="M28" i="54"/>
  <c r="M56" i="53"/>
  <c r="G53" i="53"/>
  <c r="G70" i="53" s="1"/>
  <c r="G20" i="53"/>
  <c r="J53" i="53"/>
  <c r="J70" i="53" s="1"/>
  <c r="M13" i="53"/>
  <c r="M20" i="53" s="1"/>
  <c r="J13" i="53"/>
  <c r="J20" i="53" s="1"/>
  <c r="M30" i="53"/>
  <c r="M53" i="53" s="1"/>
  <c r="J32" i="52"/>
  <c r="M32" i="52" s="1"/>
  <c r="G50" i="52"/>
  <c r="G46" i="52"/>
  <c r="G39" i="52"/>
  <c r="G43" i="52" s="1"/>
  <c r="J40" i="52"/>
  <c r="M40" i="52" s="1"/>
  <c r="J39" i="52"/>
  <c r="M39" i="52" s="1"/>
  <c r="J38" i="52"/>
  <c r="M38" i="52" s="1"/>
  <c r="J37" i="52"/>
  <c r="M37" i="52" s="1"/>
  <c r="J36" i="52"/>
  <c r="M36" i="52" s="1"/>
  <c r="J34" i="52"/>
  <c r="M34" i="52" s="1"/>
  <c r="J33" i="52"/>
  <c r="K17" i="52"/>
  <c r="M17" i="52"/>
  <c r="K16" i="52"/>
  <c r="M16" i="52"/>
  <c r="K50" i="52"/>
  <c r="J50" i="52"/>
  <c r="M50" i="52" s="1"/>
  <c r="K49" i="52"/>
  <c r="J49" i="52"/>
  <c r="M49" i="52" s="1"/>
  <c r="K48" i="52"/>
  <c r="J48" i="52"/>
  <c r="M48" i="52" s="1"/>
  <c r="K47" i="52"/>
  <c r="J47" i="52"/>
  <c r="M47" i="52" s="1"/>
  <c r="K46" i="52"/>
  <c r="J46" i="52"/>
  <c r="M46" i="52" s="1"/>
  <c r="K40" i="52"/>
  <c r="K39" i="52"/>
  <c r="K38" i="52"/>
  <c r="K37" i="52"/>
  <c r="K36" i="52"/>
  <c r="K34" i="52"/>
  <c r="K33" i="52"/>
  <c r="K32" i="52"/>
  <c r="K8" i="52"/>
  <c r="J8" i="52"/>
  <c r="M8" i="52" s="1"/>
  <c r="J75" i="53" l="1"/>
  <c r="J76" i="53" s="1"/>
  <c r="J70" i="54"/>
  <c r="J71" i="54" s="1"/>
  <c r="M70" i="55"/>
  <c r="M69" i="55"/>
  <c r="M67" i="55"/>
  <c r="O69" i="55" s="1"/>
  <c r="M68" i="55"/>
  <c r="O70" i="55" s="1"/>
  <c r="J67" i="55"/>
  <c r="M72" i="41"/>
  <c r="M71" i="41"/>
  <c r="M70" i="41"/>
  <c r="M69" i="41"/>
  <c r="J69" i="41"/>
  <c r="M52" i="54"/>
  <c r="M65" i="54" s="1"/>
  <c r="M70" i="53"/>
  <c r="G52" i="52"/>
  <c r="J12" i="52"/>
  <c r="J22" i="52" s="1"/>
  <c r="G12" i="52"/>
  <c r="G22" i="52" s="1"/>
  <c r="J43" i="52"/>
  <c r="J52" i="52" s="1"/>
  <c r="M12" i="52"/>
  <c r="M22" i="52" s="1"/>
  <c r="M33" i="52"/>
  <c r="M43" i="52" s="1"/>
  <c r="M52" i="52" s="1"/>
  <c r="O71" i="41" l="1"/>
  <c r="J69" i="55"/>
  <c r="J68" i="55"/>
  <c r="O72" i="41"/>
  <c r="J71" i="41"/>
  <c r="J70" i="41"/>
  <c r="J58" i="52"/>
  <c r="J59" i="52" s="1"/>
</calcChain>
</file>

<file path=xl/sharedStrings.xml><?xml version="1.0" encoding="utf-8"?>
<sst xmlns="http://schemas.openxmlformats.org/spreadsheetml/2006/main" count="6081" uniqueCount="1944">
  <si>
    <t>OSAKA S.A.</t>
  </si>
  <si>
    <t>RECUPERACION DE CARTERA /PAGO COMISIONES</t>
  </si>
  <si>
    <t>Vendedor : Leumin Soledispa</t>
  </si>
  <si>
    <t>TOTAL</t>
  </si>
  <si>
    <t>Cobro</t>
  </si>
  <si>
    <t>Dias</t>
  </si>
  <si>
    <t>%</t>
  </si>
  <si>
    <t>Total</t>
  </si>
  <si>
    <t xml:space="preserve">CLIENTE </t>
  </si>
  <si>
    <t>CIUDAD</t>
  </si>
  <si>
    <t>FACTURA</t>
  </si>
  <si>
    <t>F/FACTURA</t>
  </si>
  <si>
    <t>VTA. BRUTA</t>
  </si>
  <si>
    <t>COBRADO</t>
  </si>
  <si>
    <t>IVA</t>
  </si>
  <si>
    <t>FECHA DE PAGO</t>
  </si>
  <si>
    <t>Neto</t>
  </si>
  <si>
    <t>Com.</t>
  </si>
  <si>
    <t>GUAYAQUIL</t>
  </si>
  <si>
    <t>Mas: Cheques post fechados:</t>
  </si>
  <si>
    <t xml:space="preserve">N° Cheques </t>
  </si>
  <si>
    <t>Fact.</t>
  </si>
  <si>
    <t>Vendedor : Carlos Constante</t>
  </si>
  <si>
    <t xml:space="preserve">QUITO </t>
  </si>
  <si>
    <t>LOJA</t>
  </si>
  <si>
    <t>PAPELES SOTO IMPORSOPAPEL S.A.</t>
  </si>
  <si>
    <t>MANTA</t>
  </si>
  <si>
    <t>DURAN</t>
  </si>
  <si>
    <t>PROMO-003</t>
  </si>
  <si>
    <t>TOTAL CARTERA</t>
  </si>
  <si>
    <t>CUENCA</t>
  </si>
  <si>
    <t>NARANJITO</t>
  </si>
  <si>
    <t>MACHALA</t>
  </si>
  <si>
    <t>ZAMORA</t>
  </si>
  <si>
    <t>OLMEDO ALVAREZ C.A.</t>
  </si>
  <si>
    <t>ROGER ESQUETINE T.</t>
  </si>
  <si>
    <t>COMERCIAL ARAUJO</t>
  </si>
  <si>
    <t xml:space="preserve">IBARRA </t>
  </si>
  <si>
    <t>SALAN CANDO BETSY JACQUELIN</t>
  </si>
  <si>
    <t>Comisión</t>
  </si>
  <si>
    <t>AGILIDER S.A.</t>
  </si>
  <si>
    <t>COVERSA</t>
  </si>
  <si>
    <t>SUKER S.A.</t>
  </si>
  <si>
    <t>SUMOFICOMPU S.A.</t>
  </si>
  <si>
    <t>SANTANA PILAY WILLIAM ALBERTO</t>
  </si>
  <si>
    <t>LUZURIAGA ESPINOZA GUIDO HONORIO</t>
  </si>
  <si>
    <t>DROUET MURILLO FELIX CARLOS</t>
  </si>
  <si>
    <t>SANCHEZ FIERRO BLANCA YOLANDA</t>
  </si>
  <si>
    <t>AGUILAR JAURA LUZ VICTORIA</t>
  </si>
  <si>
    <t>TODOENPAPELERIA S.A.</t>
  </si>
  <si>
    <t>DSCTO.</t>
  </si>
  <si>
    <t>GODOY LOPEZ LIBIA ESTELA</t>
  </si>
  <si>
    <t>MERVASA S.A.</t>
  </si>
  <si>
    <t>RUIZ MORENO MARIA JOSE</t>
  </si>
  <si>
    <t>MORAYMA RAMIREZ ROMERO</t>
  </si>
  <si>
    <t>FABIAN TEODORO CORONEL AGUILAR</t>
  </si>
  <si>
    <t>CAMPOVERDE BRAVO CORINA RENE</t>
  </si>
  <si>
    <t>HUAQUILLAS</t>
  </si>
  <si>
    <t>TIPAN BRITO CARLOS HUMBERTO</t>
  </si>
  <si>
    <t>MILAGRO</t>
  </si>
  <si>
    <t>OÑA DIAZ MIGUEL ANGEL MARIA</t>
  </si>
  <si>
    <t>SANTA ROSA</t>
  </si>
  <si>
    <t>DEYSY MAGALY PINELA MANTUANO</t>
  </si>
  <si>
    <t>EL GUABO</t>
  </si>
  <si>
    <t>PAJAN</t>
  </si>
  <si>
    <t>BENALCAZAR RAMON MAYRA ALEJANDRA</t>
  </si>
  <si>
    <t>.</t>
  </si>
  <si>
    <t>PROMO-006</t>
  </si>
  <si>
    <t>AGUIRRE ROSADO TATIANA MARICELA</t>
  </si>
  <si>
    <t>ACUÑA AGUIRRE VIVIANA PAOLA</t>
  </si>
  <si>
    <t>PROMO-005</t>
  </si>
  <si>
    <t>LUXAL CORP S.A.S.</t>
  </si>
  <si>
    <t>PROMO-007</t>
  </si>
  <si>
    <t>UNIVERSIDAD CATOLICA DE SANTIAGO DE GUAYAQUIL</t>
  </si>
  <si>
    <t>CONVERTIDORA PAPELERIA PEÑA C.A. PEÑAPAPEL</t>
  </si>
  <si>
    <t>RIOBAMBA</t>
  </si>
  <si>
    <t>JUAN MARCET CIA. LTDA</t>
  </si>
  <si>
    <t>CASTILLO PINTO MILTON IVAN</t>
  </si>
  <si>
    <t>CAÑARTE SALTOS SIMON DAVID</t>
  </si>
  <si>
    <t>NARVAEZ ROSA CELINA</t>
  </si>
  <si>
    <t>DELIVERY EXPRESS S.A. DELIEXPRESS</t>
  </si>
  <si>
    <t>MENDOZA SALTOS MARIANO NICASIO</t>
  </si>
  <si>
    <t>SUMBA GARCIA MARCOS ANTONIO</t>
  </si>
  <si>
    <t>JIPIJAPA</t>
  </si>
  <si>
    <t>YANZATZA</t>
  </si>
  <si>
    <t>PROVEEDORA ONEROM CIA LTDA</t>
  </si>
  <si>
    <t>SARI PAPELERIA POPULAR S.A.</t>
  </si>
  <si>
    <t>JORGE CARRERA/DICAV</t>
  </si>
  <si>
    <t>LUBRIPERNOS S.A.</t>
  </si>
  <si>
    <t>UTIMPOR S.A.</t>
  </si>
  <si>
    <t>TODO EN PAPELERIA</t>
  </si>
  <si>
    <t>PORRAS BENITEZ JONATHAN ANDRES</t>
  </si>
  <si>
    <t>PUMA GUERRERO JUAN</t>
  </si>
  <si>
    <t>IMPRENTA OCHOA LEON</t>
  </si>
  <si>
    <t>TORRES PESANTEZ FRANCISCO GILBERTO</t>
  </si>
  <si>
    <t>PASAJE</t>
  </si>
  <si>
    <t>CEDEÑO CEDEÑO BETTY AZUCENA</t>
  </si>
  <si>
    <t>TIPAN BRITO ALEXANDRA</t>
  </si>
  <si>
    <t>ANGEL JAVIER NAULA CEPEDA</t>
  </si>
  <si>
    <t>CEDEÑO CEDEÑO ROSA MARINA</t>
  </si>
  <si>
    <t>ORTIZ RIVERA MONICA GABRIELA</t>
  </si>
  <si>
    <t>LIBRERIA - JMM S.A.</t>
  </si>
  <si>
    <t>FRANCO CHINCHAY REBECA MARIANA</t>
  </si>
  <si>
    <t>NAULA CEPEDA ANGEL JAVIER</t>
  </si>
  <si>
    <t>PAPELERIA CENTRAL</t>
  </si>
  <si>
    <t>PINCAY ROMERO LAURA EUGENIA</t>
  </si>
  <si>
    <t>LOAIZA ROMERO Y COMPAÑIA</t>
  </si>
  <si>
    <t>GONZALEZ CONTRERAS JOSE VINICIO</t>
  </si>
  <si>
    <t>DAULE</t>
  </si>
  <si>
    <t>GUALACEO</t>
  </si>
  <si>
    <t>PARROQUIA ECLESIASTICA DE PASAJE</t>
  </si>
  <si>
    <t>LEONCIO SOLANO GAONA-LIB.GUAYAC0</t>
  </si>
  <si>
    <t xml:space="preserve">             </t>
  </si>
  <si>
    <t>AGPSA ALMACENES GENERALES DE PRODUCTOS SOCIEDAD ANONIMA</t>
  </si>
  <si>
    <t>SANCHEZ ROMERO SANDRA BETHAMIA</t>
  </si>
  <si>
    <t>LIBCO S.A. - LIBRERIA COQUITO</t>
  </si>
  <si>
    <t>CEDEÑO MIELES IDALIA MIGDALIA</t>
  </si>
  <si>
    <t>MERO ESPINOZA DIANA ELIZABETH</t>
  </si>
  <si>
    <t>HEVER DAVID MOREIRA CABRERA</t>
  </si>
  <si>
    <t>UNIDAD EDUCATIVA SAN JOSE LA SALLE</t>
  </si>
  <si>
    <t>PORTOVIEJO</t>
  </si>
  <si>
    <t>ESPINOZA CUENCA FANNY ADRIANA</t>
  </si>
  <si>
    <t>PEREZ ESMERALDAS ROSA YESSENIA</t>
  </si>
  <si>
    <t>ROCAFUERTE</t>
  </si>
  <si>
    <t>02316C</t>
  </si>
  <si>
    <t>DE LA ROSA AMAIQUEMA FREDDY FERNANDO</t>
  </si>
  <si>
    <t>CARDENAS HERRERA JUDITH ELIANA</t>
  </si>
  <si>
    <t>SALVADOR VITERI SOFIA GABRIELA</t>
  </si>
  <si>
    <t>CARDENAS HERRERA ISABEL EDITH</t>
  </si>
  <si>
    <t>JACOME SANMARTIN ORLANDO EDUARDO</t>
  </si>
  <si>
    <t>LA-PAPELERIA S.A.S.</t>
  </si>
  <si>
    <t>PROVESUM &amp; CIA</t>
  </si>
  <si>
    <t>CEDEÑO CEDEÑO LUZ MARIA</t>
  </si>
  <si>
    <t>SANGOLQUI</t>
  </si>
  <si>
    <t>MENDIETA DURAN NEPTALI MARTIN</t>
  </si>
  <si>
    <t>Mes : DICIEMBRE/2023</t>
  </si>
  <si>
    <t>DORA ALICE IRALA AYALA</t>
  </si>
  <si>
    <t>02639C</t>
  </si>
  <si>
    <t>02644C</t>
  </si>
  <si>
    <t>02704C</t>
  </si>
  <si>
    <t>PICHINCHA CH#4385</t>
  </si>
  <si>
    <t>PICHINCHA CH#6514</t>
  </si>
  <si>
    <t>PICHINCHA CH#4386</t>
  </si>
  <si>
    <t>02651C</t>
  </si>
  <si>
    <t>02664C</t>
  </si>
  <si>
    <t>02667C</t>
  </si>
  <si>
    <t>02673C</t>
  </si>
  <si>
    <t>02689C</t>
  </si>
  <si>
    <t>JUAN PUMA GUERRERO</t>
  </si>
  <si>
    <t>02551C</t>
  </si>
  <si>
    <t>02555C</t>
  </si>
  <si>
    <t>02568C</t>
  </si>
  <si>
    <t>02571C</t>
  </si>
  <si>
    <t>02586C</t>
  </si>
  <si>
    <t>02658C</t>
  </si>
  <si>
    <t>PROMO-016-2023</t>
  </si>
  <si>
    <t>PACIFICO CH#8742</t>
  </si>
  <si>
    <t>AUSTRO CH#18</t>
  </si>
  <si>
    <t>BOLIVARIANO CH#7417</t>
  </si>
  <si>
    <t>AUSTRO CH#39</t>
  </si>
  <si>
    <t>BOLIVARIANO CH#353</t>
  </si>
  <si>
    <t>02598C</t>
  </si>
  <si>
    <t>02663C</t>
  </si>
  <si>
    <t>02674C</t>
  </si>
  <si>
    <t>02685C</t>
  </si>
  <si>
    <t>02695C</t>
  </si>
  <si>
    <t>02665C</t>
  </si>
  <si>
    <t>02653C</t>
  </si>
  <si>
    <t>02666C</t>
  </si>
  <si>
    <t>02714C</t>
  </si>
  <si>
    <t>PICHINCHA CH#13830</t>
  </si>
  <si>
    <t>PICHINCHA CH#6540</t>
  </si>
  <si>
    <t>02654C</t>
  </si>
  <si>
    <t>02710C</t>
  </si>
  <si>
    <t>02607C</t>
  </si>
  <si>
    <t>Mes : ENERO/2024</t>
  </si>
  <si>
    <t>02583C</t>
  </si>
  <si>
    <t>02584C</t>
  </si>
  <si>
    <t>02593C</t>
  </si>
  <si>
    <t>02594C</t>
  </si>
  <si>
    <t>02597C</t>
  </si>
  <si>
    <t>02601C</t>
  </si>
  <si>
    <t>02602C</t>
  </si>
  <si>
    <t>02612C</t>
  </si>
  <si>
    <t>02632C</t>
  </si>
  <si>
    <t>02637C</t>
  </si>
  <si>
    <t>02646C</t>
  </si>
  <si>
    <t>02647C</t>
  </si>
  <si>
    <t>02648C</t>
  </si>
  <si>
    <t>02656C</t>
  </si>
  <si>
    <t>02657C</t>
  </si>
  <si>
    <t>02662C</t>
  </si>
  <si>
    <t>02676C</t>
  </si>
  <si>
    <t>02697C</t>
  </si>
  <si>
    <t>02709C</t>
  </si>
  <si>
    <t>PROMO-001-2024</t>
  </si>
  <si>
    <t>BOLIVARIANO CH#39550</t>
  </si>
  <si>
    <t>AUSTRO CH#58</t>
  </si>
  <si>
    <t>AUSTRO CH#56</t>
  </si>
  <si>
    <t>MACHALA CH#26416</t>
  </si>
  <si>
    <t>BANCO GUAYAQUIL CH#11823</t>
  </si>
  <si>
    <t>BANCO GUAYAQUIL CH#11734</t>
  </si>
  <si>
    <t>MACHALA CH#13352</t>
  </si>
  <si>
    <t>MACHALA CH#13362</t>
  </si>
  <si>
    <t>MACHALA CH#13384</t>
  </si>
  <si>
    <t>GUAYAQUIL CH#11831</t>
  </si>
  <si>
    <t>02652C</t>
  </si>
  <si>
    <t>02672C</t>
  </si>
  <si>
    <t>02696C</t>
  </si>
  <si>
    <t>02702C</t>
  </si>
  <si>
    <t>02713C</t>
  </si>
  <si>
    <t>02715C</t>
  </si>
  <si>
    <t>02716C</t>
  </si>
  <si>
    <t>02721C</t>
  </si>
  <si>
    <t>02723C</t>
  </si>
  <si>
    <t>02724C</t>
  </si>
  <si>
    <t>02728C</t>
  </si>
  <si>
    <t>02731C</t>
  </si>
  <si>
    <t>02735C</t>
  </si>
  <si>
    <t>Mes : FEBRERO/2024</t>
  </si>
  <si>
    <t>PICHINCHA CH#4441</t>
  </si>
  <si>
    <t>GUAYAQUIL CH#2332</t>
  </si>
  <si>
    <t>02717C</t>
  </si>
  <si>
    <t>02745C</t>
  </si>
  <si>
    <t>ROSA PEREZ ESMERALDAS</t>
  </si>
  <si>
    <t>SANDOVAL BARRERA MARCIA ELIZABETH</t>
  </si>
  <si>
    <t>MENDIETA BRAVO CARLOS</t>
  </si>
  <si>
    <t>PROMO-009-2023</t>
  </si>
  <si>
    <t>02585C</t>
  </si>
  <si>
    <t>ARENILLAS</t>
  </si>
  <si>
    <t>02619C</t>
  </si>
  <si>
    <t>02621C</t>
  </si>
  <si>
    <t>02623C</t>
  </si>
  <si>
    <t>02624C</t>
  </si>
  <si>
    <t>02629C</t>
  </si>
  <si>
    <t>02634C</t>
  </si>
  <si>
    <t>02635C</t>
  </si>
  <si>
    <t>02636C</t>
  </si>
  <si>
    <t>02736C</t>
  </si>
  <si>
    <t>02739C</t>
  </si>
  <si>
    <t>02741C</t>
  </si>
  <si>
    <t>02753C</t>
  </si>
  <si>
    <t>02757C</t>
  </si>
  <si>
    <t>02761C</t>
  </si>
  <si>
    <t>02762C</t>
  </si>
  <si>
    <t>02765C</t>
  </si>
  <si>
    <t>02766C</t>
  </si>
  <si>
    <t>02784C</t>
  </si>
  <si>
    <t>PRODUBANCO CH#1980</t>
  </si>
  <si>
    <t>AUSTRO CH#100</t>
  </si>
  <si>
    <t>BOLIVARIANO CH#39604</t>
  </si>
  <si>
    <t>BOLIVARIANO CH#39609</t>
  </si>
  <si>
    <t>BOLIVARIANO CH#450</t>
  </si>
  <si>
    <t>GUAYAQUIL CH#11841</t>
  </si>
  <si>
    <t>BOLIVARIANO CH#39692</t>
  </si>
  <si>
    <t>BOLIVARIANO CH#14620</t>
  </si>
  <si>
    <t>02682C</t>
  </si>
  <si>
    <t>02690C</t>
  </si>
  <si>
    <t>02734C</t>
  </si>
  <si>
    <t>02751C</t>
  </si>
  <si>
    <t>02758C</t>
  </si>
  <si>
    <t>02759C</t>
  </si>
  <si>
    <t>02769C</t>
  </si>
  <si>
    <t>02779C</t>
  </si>
  <si>
    <t>02785C</t>
  </si>
  <si>
    <t>Mes : MARZO/2024</t>
  </si>
  <si>
    <t>PICHINCHA CH#6566</t>
  </si>
  <si>
    <t>02748C</t>
  </si>
  <si>
    <t>02780C</t>
  </si>
  <si>
    <t>02802C</t>
  </si>
  <si>
    <t>02700C</t>
  </si>
  <si>
    <t>02711C</t>
  </si>
  <si>
    <t>02725C</t>
  </si>
  <si>
    <t>02763C</t>
  </si>
  <si>
    <t>02768C</t>
  </si>
  <si>
    <t>02778C</t>
  </si>
  <si>
    <t>02799C</t>
  </si>
  <si>
    <t>Mes : ABRIL/2024</t>
  </si>
  <si>
    <t>PICHINCHA CH#6583</t>
  </si>
  <si>
    <t>INTERNACIONAL CH#4249</t>
  </si>
  <si>
    <t>PICHINCHA CH#6593</t>
  </si>
  <si>
    <t>02841C</t>
  </si>
  <si>
    <t>02861C</t>
  </si>
  <si>
    <t>02889C</t>
  </si>
  <si>
    <t>02895C</t>
  </si>
  <si>
    <t>PICHINCHA CH#2122</t>
  </si>
  <si>
    <t>MACHALA CH#13613</t>
  </si>
  <si>
    <t>BANCO MACHALA CH#13759</t>
  </si>
  <si>
    <t>02786C</t>
  </si>
  <si>
    <t>02792C</t>
  </si>
  <si>
    <t>02848C</t>
  </si>
  <si>
    <t>SUMINISTROS CARDENAS SUMICAR SA</t>
  </si>
  <si>
    <t>MONTESINOS ROMAN JOSE OSWALDO</t>
  </si>
  <si>
    <t>02643C</t>
  </si>
  <si>
    <t>02660C</t>
  </si>
  <si>
    <t>02692C</t>
  </si>
  <si>
    <t>02698C</t>
  </si>
  <si>
    <t>02699C</t>
  </si>
  <si>
    <t>02703C</t>
  </si>
  <si>
    <t>02781C</t>
  </si>
  <si>
    <t>02783C</t>
  </si>
  <si>
    <t>02789C</t>
  </si>
  <si>
    <t>02790C</t>
  </si>
  <si>
    <t>02795C</t>
  </si>
  <si>
    <t>02818C</t>
  </si>
  <si>
    <t>02828C</t>
  </si>
  <si>
    <t>02829C</t>
  </si>
  <si>
    <t>02830C</t>
  </si>
  <si>
    <t>02837C</t>
  </si>
  <si>
    <t>AUSTRO CH#147</t>
  </si>
  <si>
    <t>MACHALA CH#13760</t>
  </si>
  <si>
    <t>GUAYAQUIL CH#12161</t>
  </si>
  <si>
    <t>AUSTRO CH#169</t>
  </si>
  <si>
    <t>BOLIVARIANO CH#39969</t>
  </si>
  <si>
    <t>02808C</t>
  </si>
  <si>
    <t>02849C</t>
  </si>
  <si>
    <t>02855C</t>
  </si>
  <si>
    <t>02863C</t>
  </si>
  <si>
    <t>02680C</t>
  </si>
  <si>
    <t>02684C</t>
  </si>
  <si>
    <t>02686C</t>
  </si>
  <si>
    <t>02687C</t>
  </si>
  <si>
    <t>02691C</t>
  </si>
  <si>
    <t>02705C</t>
  </si>
  <si>
    <t>02706C</t>
  </si>
  <si>
    <t>02708C</t>
  </si>
  <si>
    <t>02718C</t>
  </si>
  <si>
    <t>02719C</t>
  </si>
  <si>
    <t>02743C</t>
  </si>
  <si>
    <t>02764C</t>
  </si>
  <si>
    <t>02767C</t>
  </si>
  <si>
    <t>02775C</t>
  </si>
  <si>
    <t>02798C</t>
  </si>
  <si>
    <t>02817C</t>
  </si>
  <si>
    <t>02847C</t>
  </si>
  <si>
    <t>02851C</t>
  </si>
  <si>
    <t>02852C</t>
  </si>
  <si>
    <t>02860C</t>
  </si>
  <si>
    <t>02870C</t>
  </si>
  <si>
    <t>02884C</t>
  </si>
  <si>
    <t>02850C</t>
  </si>
  <si>
    <t>carlos</t>
  </si>
  <si>
    <t>leumin</t>
  </si>
  <si>
    <t>02801C</t>
  </si>
  <si>
    <t>02804C</t>
  </si>
  <si>
    <t>02856C</t>
  </si>
  <si>
    <t>02857C</t>
  </si>
  <si>
    <t>02866C</t>
  </si>
  <si>
    <t>02874C</t>
  </si>
  <si>
    <t>02876C</t>
  </si>
  <si>
    <t>02800C</t>
  </si>
  <si>
    <t>02912C</t>
  </si>
  <si>
    <t>02918C</t>
  </si>
  <si>
    <t>02930C</t>
  </si>
  <si>
    <t>02726C</t>
  </si>
  <si>
    <t>02727C</t>
  </si>
  <si>
    <t>02733C</t>
  </si>
  <si>
    <t>02737C</t>
  </si>
  <si>
    <t>02740C</t>
  </si>
  <si>
    <t>02742C</t>
  </si>
  <si>
    <t>02750C</t>
  </si>
  <si>
    <t>02760C</t>
  </si>
  <si>
    <t>02776C</t>
  </si>
  <si>
    <t>02777C</t>
  </si>
  <si>
    <t>02788C</t>
  </si>
  <si>
    <t>02797C</t>
  </si>
  <si>
    <t>02805C</t>
  </si>
  <si>
    <t>02807C</t>
  </si>
  <si>
    <t>02809C</t>
  </si>
  <si>
    <t>02810C</t>
  </si>
  <si>
    <t>02814C</t>
  </si>
  <si>
    <t>02834C</t>
  </si>
  <si>
    <t>02835C</t>
  </si>
  <si>
    <t>02838C</t>
  </si>
  <si>
    <t>02839C</t>
  </si>
  <si>
    <t>02840C</t>
  </si>
  <si>
    <t>02846C</t>
  </si>
  <si>
    <t>02878C</t>
  </si>
  <si>
    <t>MEDRANDA CEDEÑO GEORGINA MARGARITA</t>
  </si>
  <si>
    <t>02883C</t>
  </si>
  <si>
    <t>02886C</t>
  </si>
  <si>
    <t>02891C</t>
  </si>
  <si>
    <t>02896C</t>
  </si>
  <si>
    <t>02898C</t>
  </si>
  <si>
    <t>02899C</t>
  </si>
  <si>
    <t>02925C</t>
  </si>
  <si>
    <t>02980C</t>
  </si>
  <si>
    <t>02831C</t>
  </si>
  <si>
    <t>02881C</t>
  </si>
  <si>
    <t>02904C</t>
  </si>
  <si>
    <t>02920C</t>
  </si>
  <si>
    <t>02926C</t>
  </si>
  <si>
    <t>02929C</t>
  </si>
  <si>
    <t>02978C</t>
  </si>
  <si>
    <t>02981C</t>
  </si>
  <si>
    <t>02976C</t>
  </si>
  <si>
    <t>02811C</t>
  </si>
  <si>
    <t>02813C</t>
  </si>
  <si>
    <t>02910C</t>
  </si>
  <si>
    <t>02909C</t>
  </si>
  <si>
    <t>02911C</t>
  </si>
  <si>
    <t>PICHINCHA CH#252</t>
  </si>
  <si>
    <t>02842C</t>
  </si>
  <si>
    <t>PACIFICO CH#838</t>
  </si>
  <si>
    <t>02833C</t>
  </si>
  <si>
    <t>INTERNACIONAL CH#4592-4612</t>
  </si>
  <si>
    <t>BOLIVARIANO CH#40044</t>
  </si>
  <si>
    <t>BOLIVARIANO CH#40119</t>
  </si>
  <si>
    <t>BOLIVARIANO CH#40192</t>
  </si>
  <si>
    <t>AUSTRO CH#210</t>
  </si>
  <si>
    <t>MACHALA CH#14055</t>
  </si>
  <si>
    <t>MACHALA CH#14061</t>
  </si>
  <si>
    <t>Mes : MAYO/2024</t>
  </si>
  <si>
    <t>PRODUBANCO CH#2646</t>
  </si>
  <si>
    <t>PICHINCHA CH#6613</t>
  </si>
  <si>
    <t>02877C</t>
  </si>
  <si>
    <t>02803C</t>
  </si>
  <si>
    <t>02812C</t>
  </si>
  <si>
    <t>02820C</t>
  </si>
  <si>
    <t>Mes : JUNIO/2024</t>
  </si>
  <si>
    <t>GOMEZ ERAS JOSSELYN ANDREA</t>
  </si>
  <si>
    <t>02796C</t>
  </si>
  <si>
    <t>02806C</t>
  </si>
  <si>
    <t>02821C</t>
  </si>
  <si>
    <t>02826C</t>
  </si>
  <si>
    <t>02832C</t>
  </si>
  <si>
    <t>02836C</t>
  </si>
  <si>
    <t>02853C</t>
  </si>
  <si>
    <t>02858C</t>
  </si>
  <si>
    <t>02859C</t>
  </si>
  <si>
    <t>02864C</t>
  </si>
  <si>
    <t>02865C</t>
  </si>
  <si>
    <t>02867C</t>
  </si>
  <si>
    <t>02869C</t>
  </si>
  <si>
    <t>02872C</t>
  </si>
  <si>
    <t>02924C</t>
  </si>
  <si>
    <t>02931C</t>
  </si>
  <si>
    <t>02935C</t>
  </si>
  <si>
    <t>02946C</t>
  </si>
  <si>
    <t>02948C</t>
  </si>
  <si>
    <t>02957C</t>
  </si>
  <si>
    <t>02994C</t>
  </si>
  <si>
    <t>03010C</t>
  </si>
  <si>
    <t>03016C</t>
  </si>
  <si>
    <t>03017C</t>
  </si>
  <si>
    <t>PRODUBANCO CH#25</t>
  </si>
  <si>
    <t>BOLIVARIANO CH#40291</t>
  </si>
  <si>
    <t>BOLIVARIANO CH#684</t>
  </si>
  <si>
    <t>GUAYAQUIL CH#21283</t>
  </si>
  <si>
    <t>MACHALA CH#14174</t>
  </si>
  <si>
    <t>02968C</t>
  </si>
  <si>
    <t>03001C</t>
  </si>
  <si>
    <t>03009C</t>
  </si>
  <si>
    <t>03015C</t>
  </si>
  <si>
    <t>03021C</t>
  </si>
  <si>
    <t>03034C</t>
  </si>
  <si>
    <t>PICHINCHA CH#14007</t>
  </si>
  <si>
    <t>PICHINCHA CH#4652</t>
  </si>
  <si>
    <t>PICHINCHA CH#6621</t>
  </si>
  <si>
    <t>02854C</t>
  </si>
  <si>
    <t>02928C</t>
  </si>
  <si>
    <t>03022C</t>
  </si>
  <si>
    <t>03032C</t>
  </si>
  <si>
    <t>02921C</t>
  </si>
  <si>
    <t>02937C</t>
  </si>
  <si>
    <t>03008C</t>
  </si>
  <si>
    <t>Mes : JULIO/2024</t>
  </si>
  <si>
    <t>02885C</t>
  </si>
  <si>
    <t>03007C</t>
  </si>
  <si>
    <t>PROMO-002</t>
  </si>
  <si>
    <t>03040C</t>
  </si>
  <si>
    <t>03060C</t>
  </si>
  <si>
    <t>PICHINCHA CH#1709</t>
  </si>
  <si>
    <t>PICHINCHA CH#1709-1710</t>
  </si>
  <si>
    <t>PICHINCHA CH#6630</t>
  </si>
  <si>
    <t>PICHINCHA CH#1711</t>
  </si>
  <si>
    <t>CASTILLO QUEZADA JORGE EMILIO</t>
  </si>
  <si>
    <t>CHIRIGUAYA RODRIGUEZ ANDREA GABRIELA</t>
  </si>
  <si>
    <t>JOSE ROBERTO MERA MENENDEZ</t>
  </si>
  <si>
    <t>02827C</t>
  </si>
  <si>
    <t>02873C</t>
  </si>
  <si>
    <t>02894C</t>
  </si>
  <si>
    <t>02897C</t>
  </si>
  <si>
    <t>02903C</t>
  </si>
  <si>
    <t>02907C</t>
  </si>
  <si>
    <t>02908C</t>
  </si>
  <si>
    <t>02942C</t>
  </si>
  <si>
    <t>02943C</t>
  </si>
  <si>
    <t>02949C</t>
  </si>
  <si>
    <t>02958C</t>
  </si>
  <si>
    <t>02970C</t>
  </si>
  <si>
    <t>02973C</t>
  </si>
  <si>
    <t>02975C</t>
  </si>
  <si>
    <t>PROMO-004</t>
  </si>
  <si>
    <t>02997C</t>
  </si>
  <si>
    <t>02998C</t>
  </si>
  <si>
    <t>03000C</t>
  </si>
  <si>
    <t>03012C</t>
  </si>
  <si>
    <t>03013C</t>
  </si>
  <si>
    <t>03023C</t>
  </si>
  <si>
    <t>03024C</t>
  </si>
  <si>
    <t>03025C</t>
  </si>
  <si>
    <t>03029C</t>
  </si>
  <si>
    <t>03038C</t>
  </si>
  <si>
    <t>03048C</t>
  </si>
  <si>
    <t>03049C</t>
  </si>
  <si>
    <t>03050C</t>
  </si>
  <si>
    <t>LA LIBERTAD</t>
  </si>
  <si>
    <t>03063C</t>
  </si>
  <si>
    <t>03068C</t>
  </si>
  <si>
    <t>INTERNACIONAL CH#2452</t>
  </si>
  <si>
    <t>PRODUBANCO CH#914</t>
  </si>
  <si>
    <t>PICHINCHA CH#5836</t>
  </si>
  <si>
    <t>PRODUBANCO CH#915</t>
  </si>
  <si>
    <t>PRODUBANCO CH#916-914</t>
  </si>
  <si>
    <t>AUSTRO CH#256</t>
  </si>
  <si>
    <t>BOLIVARIANO CH#40337</t>
  </si>
  <si>
    <t>AUSTRO CH#257</t>
  </si>
  <si>
    <t>BOLIVARIANO CH#40336</t>
  </si>
  <si>
    <t>GUAYAQUIL CH#12136</t>
  </si>
  <si>
    <t>02815C</t>
  </si>
  <si>
    <t>02816C</t>
  </si>
  <si>
    <t>02955C</t>
  </si>
  <si>
    <t>02969C</t>
  </si>
  <si>
    <t>02971C</t>
  </si>
  <si>
    <t>02972C</t>
  </si>
  <si>
    <t>02977C</t>
  </si>
  <si>
    <t>02996C</t>
  </si>
  <si>
    <t>03026C</t>
  </si>
  <si>
    <t>03035C</t>
  </si>
  <si>
    <t>03036C</t>
  </si>
  <si>
    <t>03039C</t>
  </si>
  <si>
    <t>03044C</t>
  </si>
  <si>
    <t>03059C</t>
  </si>
  <si>
    <t>03031C</t>
  </si>
  <si>
    <t>Mes : AGOSTO/2024</t>
  </si>
  <si>
    <t>02900C</t>
  </si>
  <si>
    <t>02914C</t>
  </si>
  <si>
    <t>02915C</t>
  </si>
  <si>
    <t>02917C</t>
  </si>
  <si>
    <t>02922C</t>
  </si>
  <si>
    <t>02923C</t>
  </si>
  <si>
    <t>02939C</t>
  </si>
  <si>
    <t>02953C</t>
  </si>
  <si>
    <t>02974C</t>
  </si>
  <si>
    <t>03042C</t>
  </si>
  <si>
    <t>03047C</t>
  </si>
  <si>
    <t>SANTACRUZ TERAN JANNETH EULALIA</t>
  </si>
  <si>
    <t>NIETO LOYOLA EMMA ESPERANZA</t>
  </si>
  <si>
    <t>03071C</t>
  </si>
  <si>
    <t>03084C</t>
  </si>
  <si>
    <t>03087C</t>
  </si>
  <si>
    <t>03093C</t>
  </si>
  <si>
    <t>03107C</t>
  </si>
  <si>
    <t>03121C</t>
  </si>
  <si>
    <t>BOLIVARIANO CH#4352</t>
  </si>
  <si>
    <t>AUSTRO CH#275</t>
  </si>
  <si>
    <t>BOLIVARIANO CH#40582</t>
  </si>
  <si>
    <t>AUSTRO CH#274</t>
  </si>
  <si>
    <t>03069C</t>
  </si>
  <si>
    <t>03092C</t>
  </si>
  <si>
    <t>03096C</t>
  </si>
  <si>
    <t>03100C</t>
  </si>
  <si>
    <t>03103C</t>
  </si>
  <si>
    <t>02913C</t>
  </si>
  <si>
    <t>02916C</t>
  </si>
  <si>
    <t>02951C</t>
  </si>
  <si>
    <t>02983C</t>
  </si>
  <si>
    <t>03046C</t>
  </si>
  <si>
    <t>03066C</t>
  </si>
  <si>
    <t>03106C</t>
  </si>
  <si>
    <t>PICHINCHA CH#6664</t>
  </si>
  <si>
    <t>PICHINCHA CH#6652</t>
  </si>
  <si>
    <t>03094C</t>
  </si>
  <si>
    <t>03105C</t>
  </si>
  <si>
    <t>03123C</t>
  </si>
  <si>
    <t>Mes : SEPTIEMBRE/2024</t>
  </si>
  <si>
    <t>SALVADOR VITERI GABRIELA</t>
  </si>
  <si>
    <t>MARIA LAURA MALES MORALES</t>
  </si>
  <si>
    <t>02919C</t>
  </si>
  <si>
    <t>02952C</t>
  </si>
  <si>
    <t>02985C</t>
  </si>
  <si>
    <t>02986C</t>
  </si>
  <si>
    <t>02993C</t>
  </si>
  <si>
    <t>03067C</t>
  </si>
  <si>
    <t>03076C</t>
  </si>
  <si>
    <t>03079C</t>
  </si>
  <si>
    <t>03102C</t>
  </si>
  <si>
    <t>03124C</t>
  </si>
  <si>
    <t>03127C</t>
  </si>
  <si>
    <t>PICHINCHA CH#4782</t>
  </si>
  <si>
    <t>PACIFICO CH#11281</t>
  </si>
  <si>
    <t>03108C</t>
  </si>
  <si>
    <t>03141C</t>
  </si>
  <si>
    <t>02843C</t>
  </si>
  <si>
    <t>02875C</t>
  </si>
  <si>
    <t>02888C</t>
  </si>
  <si>
    <t>02901C</t>
  </si>
  <si>
    <t>02902C</t>
  </si>
  <si>
    <t>02906C</t>
  </si>
  <si>
    <t>02934C</t>
  </si>
  <si>
    <t>02940C</t>
  </si>
  <si>
    <t>02941C</t>
  </si>
  <si>
    <t>02945C</t>
  </si>
  <si>
    <t>02947C</t>
  </si>
  <si>
    <t>02967C</t>
  </si>
  <si>
    <t>02991C</t>
  </si>
  <si>
    <t>02992C</t>
  </si>
  <si>
    <t>CORDOVA HERRERA GALO ANTONIO</t>
  </si>
  <si>
    <t>03004C</t>
  </si>
  <si>
    <t>03005C</t>
  </si>
  <si>
    <t>03014C</t>
  </si>
  <si>
    <t>03018C</t>
  </si>
  <si>
    <t>03020C</t>
  </si>
  <si>
    <t>03027C</t>
  </si>
  <si>
    <t>03028C</t>
  </si>
  <si>
    <t>03037C</t>
  </si>
  <si>
    <t>03045C</t>
  </si>
  <si>
    <t>03055C</t>
  </si>
  <si>
    <t>03070C</t>
  </si>
  <si>
    <t>03072C</t>
  </si>
  <si>
    <t>03077C</t>
  </si>
  <si>
    <t>03088C</t>
  </si>
  <si>
    <t>TAPIA OLVERA CRISTIAN FELIPE</t>
  </si>
  <si>
    <t>UNIDAD EDUCATIVA FISCOMISIONAL ALICIA LOZA MENESES</t>
  </si>
  <si>
    <t>LAINEZ LEON HECTOR LUIGGI</t>
  </si>
  <si>
    <t>VILLALTA YUMBLA MARTHA ELOISA</t>
  </si>
  <si>
    <t>03132C</t>
  </si>
  <si>
    <t>03133C</t>
  </si>
  <si>
    <t>03135C</t>
  </si>
  <si>
    <t>03136C</t>
  </si>
  <si>
    <t>03147C</t>
  </si>
  <si>
    <t>03160C</t>
  </si>
  <si>
    <t>03164C</t>
  </si>
  <si>
    <t>02999C</t>
  </si>
  <si>
    <t>PICHINCHA CH#5875</t>
  </si>
  <si>
    <t>03114C</t>
  </si>
  <si>
    <t>03122C</t>
  </si>
  <si>
    <t>03130C</t>
  </si>
  <si>
    <t>BOLIVARIANO CH#40648 CTA.CTE.#085-500483-5</t>
  </si>
  <si>
    <t>BOLIVARIANO CH#40649</t>
  </si>
  <si>
    <t>PICHINCHA CH#73</t>
  </si>
  <si>
    <t>BOLIVARIANO CH#7961</t>
  </si>
  <si>
    <t>MACHALA CH#14533</t>
  </si>
  <si>
    <t>03138C</t>
  </si>
  <si>
    <t>03139C</t>
  </si>
  <si>
    <t>03140C</t>
  </si>
  <si>
    <t>03143C</t>
  </si>
  <si>
    <t>MACHALA CH#14596</t>
  </si>
  <si>
    <t>MACHALA CH#14597</t>
  </si>
  <si>
    <t>MACHALA CH#26966</t>
  </si>
  <si>
    <t>03168C</t>
  </si>
  <si>
    <t>03172C</t>
  </si>
  <si>
    <t>03174C</t>
  </si>
  <si>
    <t>INTERNACIONAL CH#11989</t>
  </si>
  <si>
    <t>03080C</t>
  </si>
  <si>
    <t>03081C</t>
  </si>
  <si>
    <t>INTERNACIONAL CH#4378-4379</t>
  </si>
  <si>
    <t>03091C</t>
  </si>
  <si>
    <t>03125C</t>
  </si>
  <si>
    <t>03142C</t>
  </si>
  <si>
    <t>doscientos cuarenta y nueve</t>
  </si>
  <si>
    <t>cuatrocientos cuarenta</t>
  </si>
  <si>
    <t>cuatrocientos cincuenta y dos</t>
  </si>
  <si>
    <t>Mes : OCTUBRE/2024</t>
  </si>
  <si>
    <t>02984C</t>
  </si>
  <si>
    <t>03090C</t>
  </si>
  <si>
    <t>03165C</t>
  </si>
  <si>
    <t>03183C</t>
  </si>
  <si>
    <t>03204C</t>
  </si>
  <si>
    <t>03234C</t>
  </si>
  <si>
    <t>NOTEBOOK PAPELERIA S.A.S.</t>
  </si>
  <si>
    <t>03237C</t>
  </si>
  <si>
    <t>03238C</t>
  </si>
  <si>
    <t>03240C</t>
  </si>
  <si>
    <t>PACIFICO CH#11333</t>
  </si>
  <si>
    <t>03181C</t>
  </si>
  <si>
    <t>03184C</t>
  </si>
  <si>
    <t>PICHINCHA CH#6706</t>
  </si>
  <si>
    <t>03230C</t>
  </si>
  <si>
    <t>03242C</t>
  </si>
  <si>
    <t>PICHINCHA CH#6713</t>
  </si>
  <si>
    <t>03244C</t>
  </si>
  <si>
    <t>02936C</t>
  </si>
  <si>
    <t>03053C</t>
  </si>
  <si>
    <t>03051C</t>
  </si>
  <si>
    <t>03052C</t>
  </si>
  <si>
    <t>03064C</t>
  </si>
  <si>
    <t>03075C</t>
  </si>
  <si>
    <t>03104C</t>
  </si>
  <si>
    <t>03112C</t>
  </si>
  <si>
    <t>03115C</t>
  </si>
  <si>
    <t>03116C</t>
  </si>
  <si>
    <t>03119C</t>
  </si>
  <si>
    <t>RUBIO CABRERA CHRISTIAN MARCELO</t>
  </si>
  <si>
    <t>03137C</t>
  </si>
  <si>
    <t>03149C</t>
  </si>
  <si>
    <t>03148C</t>
  </si>
  <si>
    <t>SANCHEZ MALDONADO LUCIO REINERIO</t>
  </si>
  <si>
    <t>03150C</t>
  </si>
  <si>
    <t>03167C</t>
  </si>
  <si>
    <t>LUZUCAM S.A.S.</t>
  </si>
  <si>
    <t>03170C</t>
  </si>
  <si>
    <t>03166C</t>
  </si>
  <si>
    <t>JUAN FERNANDO FIGUEROA JADAN</t>
  </si>
  <si>
    <t>03177C</t>
  </si>
  <si>
    <t>03182C</t>
  </si>
  <si>
    <t>03186C</t>
  </si>
  <si>
    <t>03189C</t>
  </si>
  <si>
    <t>SANTISTEVAN AGUILAR CRUZ ANGELICA</t>
  </si>
  <si>
    <t>03207C</t>
  </si>
  <si>
    <t>03208C</t>
  </si>
  <si>
    <t>03216C</t>
  </si>
  <si>
    <t>03226C</t>
  </si>
  <si>
    <t>03233C</t>
  </si>
  <si>
    <t>PACIFICO#2911</t>
  </si>
  <si>
    <t>03095C</t>
  </si>
  <si>
    <t>PICHINCHA CH#710</t>
  </si>
  <si>
    <t>03153C</t>
  </si>
  <si>
    <t>GUAYAQUIL CH#12373</t>
  </si>
  <si>
    <t>03193C</t>
  </si>
  <si>
    <t>BOLIVARIANO CH#948</t>
  </si>
  <si>
    <t>03205C</t>
  </si>
  <si>
    <t>BOLIVARIANO CH#949</t>
  </si>
  <si>
    <t>03209C</t>
  </si>
  <si>
    <t>PICHINCHA CH#1953</t>
  </si>
  <si>
    <t>03210C</t>
  </si>
  <si>
    <t>BOLIVARIANO CH#951</t>
  </si>
  <si>
    <t>03212C</t>
  </si>
  <si>
    <t>BOLIVARIANO CH#8094</t>
  </si>
  <si>
    <t>03222C</t>
  </si>
  <si>
    <t>BOLIVARIANO CH#996</t>
  </si>
  <si>
    <t>03227C</t>
  </si>
  <si>
    <t>Mes : NOVIEMBRE/2024</t>
  </si>
  <si>
    <t>03098C</t>
  </si>
  <si>
    <t>03152C</t>
  </si>
  <si>
    <t>03158C</t>
  </si>
  <si>
    <t>03169C</t>
  </si>
  <si>
    <t>03201C</t>
  </si>
  <si>
    <t>PICHINCHA CH#6724</t>
  </si>
  <si>
    <t>03254C</t>
  </si>
  <si>
    <t>SAQUICELA ZHUNIO SANTIAGO DANILO</t>
  </si>
  <si>
    <t>03019C</t>
  </si>
  <si>
    <t>03043C</t>
  </si>
  <si>
    <t>03056C</t>
  </si>
  <si>
    <t>03065C</t>
  </si>
  <si>
    <t>03073C</t>
  </si>
  <si>
    <t>03074C</t>
  </si>
  <si>
    <t>03078C</t>
  </si>
  <si>
    <t>03109C</t>
  </si>
  <si>
    <t>03117C</t>
  </si>
  <si>
    <t>03120C</t>
  </si>
  <si>
    <t>03131C</t>
  </si>
  <si>
    <t>03134C</t>
  </si>
  <si>
    <t>03145C</t>
  </si>
  <si>
    <t>03146C</t>
  </si>
  <si>
    <t>03156C</t>
  </si>
  <si>
    <t>03188C</t>
  </si>
  <si>
    <t>03195C</t>
  </si>
  <si>
    <t>03198C</t>
  </si>
  <si>
    <t>03199C</t>
  </si>
  <si>
    <t>03220C</t>
  </si>
  <si>
    <t>03229C</t>
  </si>
  <si>
    <t>03231C</t>
  </si>
  <si>
    <t>03232C</t>
  </si>
  <si>
    <t>03248C</t>
  </si>
  <si>
    <t>03253C</t>
  </si>
  <si>
    <t>FA001-011-000000002</t>
  </si>
  <si>
    <t>INTERNACIONAL CH#2575</t>
  </si>
  <si>
    <t>02966C</t>
  </si>
  <si>
    <t>BOLIVARIANO CH#1078</t>
  </si>
  <si>
    <t>03262C</t>
  </si>
  <si>
    <t>03126C</t>
  </si>
  <si>
    <t>Mes : DICIEMBRE/2024</t>
  </si>
  <si>
    <t>Mes : ENERO/2025</t>
  </si>
  <si>
    <t>03033C</t>
  </si>
  <si>
    <t>03054C</t>
  </si>
  <si>
    <t>03097C</t>
  </si>
  <si>
    <t>03099C</t>
  </si>
  <si>
    <t>03101C</t>
  </si>
  <si>
    <t>03110C</t>
  </si>
  <si>
    <t>03111C</t>
  </si>
  <si>
    <t>03144C</t>
  </si>
  <si>
    <t>03154C</t>
  </si>
  <si>
    <t>03159C</t>
  </si>
  <si>
    <t>03175C</t>
  </si>
  <si>
    <t>03180C</t>
  </si>
  <si>
    <t>03187C</t>
  </si>
  <si>
    <t>03194C</t>
  </si>
  <si>
    <t>03196C</t>
  </si>
  <si>
    <t>03197C</t>
  </si>
  <si>
    <t>03200C</t>
  </si>
  <si>
    <t>03211C</t>
  </si>
  <si>
    <t>03215C</t>
  </si>
  <si>
    <t>03243C</t>
  </si>
  <si>
    <t>03249C</t>
  </si>
  <si>
    <t>03264C</t>
  </si>
  <si>
    <t>03268C</t>
  </si>
  <si>
    <t>FA001-011-000000004</t>
  </si>
  <si>
    <t>FA001-011-000000013</t>
  </si>
  <si>
    <t>FA001-011-000000017</t>
  </si>
  <si>
    <t>FA001-011-000000025</t>
  </si>
  <si>
    <t>GAONA CUMBICOS SANTIAGO</t>
  </si>
  <si>
    <t>SIERRA DORADO MARIA SUSANA</t>
  </si>
  <si>
    <t>FA001-011-000000029</t>
  </si>
  <si>
    <t>FA001-011-000000033</t>
  </si>
  <si>
    <t>FA001-011-000000034</t>
  </si>
  <si>
    <t>FA001-011-000000035</t>
  </si>
  <si>
    <t>FA001-011-000000037</t>
  </si>
  <si>
    <t>FA001-011-000000042</t>
  </si>
  <si>
    <t>FA001-011-000000043</t>
  </si>
  <si>
    <t>FA001-011-000000051</t>
  </si>
  <si>
    <t>MACHALA CH#14985</t>
  </si>
  <si>
    <t>FA001-011-000000026</t>
  </si>
  <si>
    <t>03157C</t>
  </si>
  <si>
    <t>03176C</t>
  </si>
  <si>
    <t>03185C</t>
  </si>
  <si>
    <t>03202C</t>
  </si>
  <si>
    <t>03203C</t>
  </si>
  <si>
    <t>03213C</t>
  </si>
  <si>
    <t>03217C</t>
  </si>
  <si>
    <t>03218C</t>
  </si>
  <si>
    <t>03219C</t>
  </si>
  <si>
    <t>03236C</t>
  </si>
  <si>
    <t>03241C</t>
  </si>
  <si>
    <t>03250C</t>
  </si>
  <si>
    <t>03257C</t>
  </si>
  <si>
    <t>03258C</t>
  </si>
  <si>
    <t>03261C</t>
  </si>
  <si>
    <t>03266C</t>
  </si>
  <si>
    <t>FA001-011-000000003</t>
  </si>
  <si>
    <t>FA001-011-000000007</t>
  </si>
  <si>
    <t>FA001-011-000000008</t>
  </si>
  <si>
    <t>FA001-011-000000011</t>
  </si>
  <si>
    <t>FA001-011-000000012</t>
  </si>
  <si>
    <t>FA001-011-000000084</t>
  </si>
  <si>
    <t>FA001-011-000000086</t>
  </si>
  <si>
    <t>FA001-011-000000087</t>
  </si>
  <si>
    <t>FA001-011-000000082</t>
  </si>
  <si>
    <t>FA001-011-000000081</t>
  </si>
  <si>
    <t>FA001-011-000000075</t>
  </si>
  <si>
    <t>FA001-011-000000076</t>
  </si>
  <si>
    <t>FA001-011-000000065</t>
  </si>
  <si>
    <t>FA001-011-000000067</t>
  </si>
  <si>
    <t>FA001-011-000000061</t>
  </si>
  <si>
    <t>FA001-011-000000058</t>
  </si>
  <si>
    <t>FA001-011-000000054</t>
  </si>
  <si>
    <t>CONVERTIDORA PAPELERIA PEÑA C.A.</t>
  </si>
  <si>
    <t>INTERNACIONAL CH#4929</t>
  </si>
  <si>
    <t>PICHINCHA CH#4934</t>
  </si>
  <si>
    <t>MACHALA CH#15088</t>
  </si>
  <si>
    <t>PICHINCHA CH#6756</t>
  </si>
  <si>
    <t>GUAYAQUIL CH#12552</t>
  </si>
  <si>
    <t>MACHALA CH#15114</t>
  </si>
  <si>
    <t>BOLIVARIANO CH#1193</t>
  </si>
  <si>
    <t xml:space="preserve">PICHINCHA CH#6760 </t>
  </si>
  <si>
    <t>BOLIVARIANO CH#6266</t>
  </si>
  <si>
    <t>PICHINCHA CH#6767</t>
  </si>
  <si>
    <t>BOLIVARIANO CH#1294</t>
  </si>
  <si>
    <t>03252C</t>
  </si>
  <si>
    <t>FA001-011-000000050</t>
  </si>
  <si>
    <t>FA001-011-000000055</t>
  </si>
  <si>
    <t>FA001-011-000000057</t>
  </si>
  <si>
    <t>FA001-011-000000059</t>
  </si>
  <si>
    <t>FA001-011-000000063</t>
  </si>
  <si>
    <t>FA001-011-000000064</t>
  </si>
  <si>
    <t>FA001-011-000000074</t>
  </si>
  <si>
    <t>FA001-011-000000080</t>
  </si>
  <si>
    <t>FA001-011-000000083</t>
  </si>
  <si>
    <t>FA001-011-000000095</t>
  </si>
  <si>
    <t>FA001-011-000000096</t>
  </si>
  <si>
    <t>PICHINCHA CH#4933</t>
  </si>
  <si>
    <t>BOLIVARIANO CH#152680</t>
  </si>
  <si>
    <t>03251C</t>
  </si>
  <si>
    <t>03265C</t>
  </si>
  <si>
    <t>03235C</t>
  </si>
  <si>
    <t>JOSE</t>
  </si>
  <si>
    <t>decimo</t>
  </si>
  <si>
    <t>vacaciones</t>
  </si>
  <si>
    <t>Mes : FEBRERO/2025</t>
  </si>
  <si>
    <t>BOLIVARIANO CH#41445</t>
  </si>
  <si>
    <t>03214C</t>
  </si>
  <si>
    <t>03259C</t>
  </si>
  <si>
    <t>03263C</t>
  </si>
  <si>
    <t>BOLIVARIANO CH#41445-41446</t>
  </si>
  <si>
    <t>FA001-011-000000020</t>
  </si>
  <si>
    <t>FA001-011-000000031</t>
  </si>
  <si>
    <t>FA001-011-000000036</t>
  </si>
  <si>
    <t>BOLIVARIANO CH#1326</t>
  </si>
  <si>
    <t>GUAYAQUIL CH#12564</t>
  </si>
  <si>
    <t>BOLIVARIANO CH#41447</t>
  </si>
  <si>
    <t>FA001-011-000000108</t>
  </si>
  <si>
    <t>FA001-011-000000110</t>
  </si>
  <si>
    <t>FA001-011-000000128</t>
  </si>
  <si>
    <t>BOLIVARIANO CH#41446</t>
  </si>
  <si>
    <t>Acaro Guamán Felicita Susana</t>
  </si>
  <si>
    <t>CANDO TOBAR MARTHA PATRICIA</t>
  </si>
  <si>
    <t>02944C</t>
  </si>
  <si>
    <t>03113C</t>
  </si>
  <si>
    <t>03192C</t>
  </si>
  <si>
    <t>FA001-011-000000001</t>
  </si>
  <si>
    <t>FA001-011-000000005</t>
  </si>
  <si>
    <t>FA001-011-000000009</t>
  </si>
  <si>
    <t>FA001-011-000000010</t>
  </si>
  <si>
    <t>FA001-011-000000018</t>
  </si>
  <si>
    <t>FA001-011-000000028</t>
  </si>
  <si>
    <t>FA001-011-000000044</t>
  </si>
  <si>
    <t>FA001-011-000000045</t>
  </si>
  <si>
    <t>FA001-011-000000046</t>
  </si>
  <si>
    <t>FA001-011-000000047</t>
  </si>
  <si>
    <t>FA001-011-000000053</t>
  </si>
  <si>
    <t>FA001-011-000000069</t>
  </si>
  <si>
    <t>FA001-011-000000093</t>
  </si>
  <si>
    <t>FA001-011-000000094</t>
  </si>
  <si>
    <t>FA001-011-000000103</t>
  </si>
  <si>
    <t>CATAMAYO</t>
  </si>
  <si>
    <t>FA001-011-000000106</t>
  </si>
  <si>
    <t>FA001-011-000000109</t>
  </si>
  <si>
    <t>FA001-011-000000124</t>
  </si>
  <si>
    <t>FA001-011-000000131</t>
  </si>
  <si>
    <t>FA001-011-000000134</t>
  </si>
  <si>
    <t>Mes : MARZO/2025</t>
  </si>
  <si>
    <t>HERVER DAVID MOREIRA CABRERA</t>
  </si>
  <si>
    <t>ZAMORA ACOSTA DAYANA JANINE</t>
  </si>
  <si>
    <t>03228C</t>
  </si>
  <si>
    <t>FA001-011-000000006</t>
  </si>
  <si>
    <t>FA001-011-000000016</t>
  </si>
  <si>
    <t>FA001-011-000000030</t>
  </si>
  <si>
    <t>FA001-011-000000038</t>
  </si>
  <si>
    <t>FA001-011-000000048</t>
  </si>
  <si>
    <t>FA001-011-000000056</t>
  </si>
  <si>
    <t>FA001-011-000000066</t>
  </si>
  <si>
    <t>FA001-011-000000071</t>
  </si>
  <si>
    <t>FA001-011-000000077</t>
  </si>
  <si>
    <t>FA001-011-000000078</t>
  </si>
  <si>
    <t>FA001-011-000000092</t>
  </si>
  <si>
    <t>FA001-011-000000097</t>
  </si>
  <si>
    <t>FA001-011-000000100</t>
  </si>
  <si>
    <t>FA001-011-000000105</t>
  </si>
  <si>
    <t>FA001-011-000000117</t>
  </si>
  <si>
    <t>FA001-011-000000118</t>
  </si>
  <si>
    <t>FA001-011-000000125</t>
  </si>
  <si>
    <t>FA001-011-000000149</t>
  </si>
  <si>
    <t>FA001-011-000000153</t>
  </si>
  <si>
    <t>CABRERA GUERRERO FREDY MANUEL</t>
  </si>
  <si>
    <t>FA001-011-000000162</t>
  </si>
  <si>
    <t>FA001-011-000000164</t>
  </si>
  <si>
    <t>FA001-011-000000189</t>
  </si>
  <si>
    <t>PICHINCHA CH#2625</t>
  </si>
  <si>
    <t>BOLIVARIANO CH#41507</t>
  </si>
  <si>
    <t>PICHINCHA CH#6792</t>
  </si>
  <si>
    <t>MACHALA CH#15411</t>
  </si>
  <si>
    <t>MACHALA CH#15432</t>
  </si>
  <si>
    <t>MACHALA CH#15479</t>
  </si>
  <si>
    <t>BOLIVARIANO CH#41629</t>
  </si>
  <si>
    <t>FA001-011-000000150</t>
  </si>
  <si>
    <t>FA001-011-000000151</t>
  </si>
  <si>
    <t>FA001-011-000000154</t>
  </si>
  <si>
    <t>FA001-011-000000156</t>
  </si>
  <si>
    <t>FA001-011-000000159</t>
  </si>
  <si>
    <t>FA001-011-000000169</t>
  </si>
  <si>
    <t>FA001-011-000000187</t>
  </si>
  <si>
    <t>FA001-011-000000079</t>
  </si>
  <si>
    <t>FA001-011-000000101</t>
  </si>
  <si>
    <t>FA001-011-000000186</t>
  </si>
  <si>
    <t>BOLIVARIANO CH#8387</t>
  </si>
  <si>
    <t>PACIFICO CH#11535</t>
  </si>
  <si>
    <t>PICHINCHA CH#2623</t>
  </si>
  <si>
    <t>Mes : ABRIL/2025</t>
  </si>
  <si>
    <t>DIANA GABRIELA LOJA PESANTEZ</t>
  </si>
  <si>
    <t>CHIFLA LITUMA GIANELA NATALY</t>
  </si>
  <si>
    <t>UNIDAD EDUCATIVA SAN JOSE</t>
  </si>
  <si>
    <t>FA001-011-000000019</t>
  </si>
  <si>
    <t>FA001-011-000000039</t>
  </si>
  <si>
    <t>FA001-011-000000049</t>
  </si>
  <si>
    <t>FA001-011-000000052</t>
  </si>
  <si>
    <t>FA001-011-000000072</t>
  </si>
  <si>
    <t>FA001-011-000000089</t>
  </si>
  <si>
    <t>FA001-011-000000098</t>
  </si>
  <si>
    <t>FA001-011-000000104</t>
  </si>
  <si>
    <t>FA001-011-000000113</t>
  </si>
  <si>
    <t>FA001-011-000000114</t>
  </si>
  <si>
    <t>FA001-011-000000115</t>
  </si>
  <si>
    <t>FA001-011-000000116</t>
  </si>
  <si>
    <t>FA001-011-000000119</t>
  </si>
  <si>
    <t>FA001-011-000000135</t>
  </si>
  <si>
    <t>FA001-011-000000152</t>
  </si>
  <si>
    <t>FA001-011-000000157</t>
  </si>
  <si>
    <t>FA001-011-000000158</t>
  </si>
  <si>
    <t>FA001-011-000000165</t>
  </si>
  <si>
    <t>FA001-011-000000168</t>
  </si>
  <si>
    <t>FA001-011-000000170</t>
  </si>
  <si>
    <t>FA001-011-000000192</t>
  </si>
  <si>
    <t>FA001-011-000000195</t>
  </si>
  <si>
    <t>FA001-011-000000196</t>
  </si>
  <si>
    <t>FA001-011-000000198</t>
  </si>
  <si>
    <t>FA001-011-000000201</t>
  </si>
  <si>
    <t>FA001-011-000000203</t>
  </si>
  <si>
    <t>FA001-011-000000205</t>
  </si>
  <si>
    <t>FA001-011-000000209</t>
  </si>
  <si>
    <t>FA001-011-000000223</t>
  </si>
  <si>
    <t>FA001-011-000000234</t>
  </si>
  <si>
    <t>FA001-011-000000238</t>
  </si>
  <si>
    <t>LIBRERIA-JMM S.A.</t>
  </si>
  <si>
    <t>PRODUBANCO CH# 957</t>
  </si>
  <si>
    <t>PACIFICO CH#608-606-607</t>
  </si>
  <si>
    <t>GUAYAQUIL CH#3209</t>
  </si>
  <si>
    <t>PICHINCHA CH#6845</t>
  </si>
  <si>
    <t>GUAYAQUIL CH#3209-3210</t>
  </si>
  <si>
    <t>GUAYAQUIL CH#12662</t>
  </si>
  <si>
    <t>BOLIVARIANO CH#41730</t>
  </si>
  <si>
    <t>MACHALA#15575</t>
  </si>
  <si>
    <t>MACHALA CH#15590</t>
  </si>
  <si>
    <t>BOLIVARIANO CH#470</t>
  </si>
  <si>
    <t>GUAYAQUIL CH#12679</t>
  </si>
  <si>
    <t>GUAYAQUIL CH#666</t>
  </si>
  <si>
    <t>MACHALA CH#15652</t>
  </si>
  <si>
    <t>GUAYAQUIL CH#53</t>
  </si>
  <si>
    <t>FA001-011-000000014</t>
  </si>
  <si>
    <t>FA001-011-000000136</t>
  </si>
  <si>
    <t>FA001-011-000000161</t>
  </si>
  <si>
    <t>FA001-011-000000180</t>
  </si>
  <si>
    <t>FA001-011-000000190</t>
  </si>
  <si>
    <t>FA001-011-000000193</t>
  </si>
  <si>
    <t>FA001-011-000000197</t>
  </si>
  <si>
    <t>FA001-011-000000210</t>
  </si>
  <si>
    <t>FA001-011-000000218</t>
  </si>
  <si>
    <t>FA001-011-000000233</t>
  </si>
  <si>
    <t>FA001-011-000000236</t>
  </si>
  <si>
    <t>FA001-011-000000243</t>
  </si>
  <si>
    <t>FA001-011-000000245</t>
  </si>
  <si>
    <t>FA001-011-000000249</t>
  </si>
  <si>
    <t>FA001-011-000000263</t>
  </si>
  <si>
    <t>BOLIVARIANO CH#1586</t>
  </si>
  <si>
    <t>FA001-011-000000253</t>
  </si>
  <si>
    <t>FA001-011-000000199</t>
  </si>
  <si>
    <t>Mes : MAY/2025</t>
  </si>
  <si>
    <t xml:space="preserve">TODOENPAPELERIA S.A. </t>
  </si>
  <si>
    <t>FA001-011-000000021</t>
  </si>
  <si>
    <t>FA001-011-000000022</t>
  </si>
  <si>
    <t>FA001-011-000000023</t>
  </si>
  <si>
    <t>FA001-011-000000024</t>
  </si>
  <si>
    <t>PYCCA S.A.</t>
  </si>
  <si>
    <t>PAZMIÑO ERAS SABRINA MARISOL</t>
  </si>
  <si>
    <t>LOAIZA ROMERO Y COMPAÑÍA</t>
  </si>
  <si>
    <t>FA001-011-000000060</t>
  </si>
  <si>
    <t>FA001-011-000000062</t>
  </si>
  <si>
    <t>FA001-011-000000111</t>
  </si>
  <si>
    <t>FA001-011-000000112</t>
  </si>
  <si>
    <t>FA001-011-000000122</t>
  </si>
  <si>
    <t>FA001-011-000000126</t>
  </si>
  <si>
    <t>FA001-011-000000127</t>
  </si>
  <si>
    <t>FA001-011-000000129</t>
  </si>
  <si>
    <t>FA001-011-000000133</t>
  </si>
  <si>
    <t>FA001-011-000000155</t>
  </si>
  <si>
    <t>FA001-011-000000160</t>
  </si>
  <si>
    <t>FA001-011-000000172</t>
  </si>
  <si>
    <t>FA001-011-000000179</t>
  </si>
  <si>
    <t>FA001-011-000000182</t>
  </si>
  <si>
    <t>FA001-011-000000185</t>
  </si>
  <si>
    <t>FA001-011-000000191</t>
  </si>
  <si>
    <t>FA001-011-000000202</t>
  </si>
  <si>
    <t>FA001-011-000000219</t>
  </si>
  <si>
    <t>FA001-011-000000226</t>
  </si>
  <si>
    <t>FA001-011-000000241</t>
  </si>
  <si>
    <t>FA001-011-000000252</t>
  </si>
  <si>
    <t>FA001-011-000000250</t>
  </si>
  <si>
    <t>FA001-011-000000255</t>
  </si>
  <si>
    <t>FA001-011-000000256</t>
  </si>
  <si>
    <t>FA001-011-000000266</t>
  </si>
  <si>
    <t>FA001-011-000000273</t>
  </si>
  <si>
    <t>FA001-011-000000276</t>
  </si>
  <si>
    <t>FA001-011-000000285</t>
  </si>
  <si>
    <t>FA001-011-000000292</t>
  </si>
  <si>
    <t>FA001-011-000000299</t>
  </si>
  <si>
    <t>INTERNACIONAL CH#5024</t>
  </si>
  <si>
    <t>GUAYAQUIL CH#12911</t>
  </si>
  <si>
    <t>BOLIVARIANO CH#8496</t>
  </si>
  <si>
    <t>FA001-011-000000032</t>
  </si>
  <si>
    <t>FA001-011-000000270</t>
  </si>
  <si>
    <t>FA001-011-000000282</t>
  </si>
  <si>
    <t>PACIFICO CH#29819</t>
  </si>
  <si>
    <t>FA001-011-000000244</t>
  </si>
  <si>
    <t>FA001-011-000000260</t>
  </si>
  <si>
    <t>FA001-011-000000271</t>
  </si>
  <si>
    <t>Mes : JUN/2025</t>
  </si>
  <si>
    <t>ZAMBRANO CEDEÑO DIGNA MODESTA</t>
  </si>
  <si>
    <t>ALMACEN PATRICIA</t>
  </si>
  <si>
    <t>YANZA MALACATUS MARIA CAROLINA</t>
  </si>
  <si>
    <t>FA001-011-000000073</t>
  </si>
  <si>
    <t>FA001-011-000000107</t>
  </si>
  <si>
    <t>FA001-011-000000120</t>
  </si>
  <si>
    <t>FA001-011-000000121</t>
  </si>
  <si>
    <t>FA001-011-000000123</t>
  </si>
  <si>
    <t>FA001-011-000000163</t>
  </si>
  <si>
    <t>FA001-011-000000171</t>
  </si>
  <si>
    <t>FA001-011-000000181</t>
  </si>
  <si>
    <t>FA001-011-000000194</t>
  </si>
  <si>
    <t>FA001-011-000000211</t>
  </si>
  <si>
    <t>FA001-011-000000224</t>
  </si>
  <si>
    <t>FA001-011-000000232</t>
  </si>
  <si>
    <t>FA001-011-000000247</t>
  </si>
  <si>
    <t>FA001-011-000000259</t>
  </si>
  <si>
    <t>FA001-011-000000272</t>
  </si>
  <si>
    <t>FA001-011-000000277</t>
  </si>
  <si>
    <t>FA001-011-000000278</t>
  </si>
  <si>
    <t>FA001-011-000000279</t>
  </si>
  <si>
    <t>FA001-011-000000280</t>
  </si>
  <si>
    <t>FA001-011-000000283</t>
  </si>
  <si>
    <t>FA001-011-000000288</t>
  </si>
  <si>
    <t>FA001-011-000000291</t>
  </si>
  <si>
    <t>FA001-011-000000294</t>
  </si>
  <si>
    <t>FA001-011-000000301</t>
  </si>
  <si>
    <t>FA001-011-000000322</t>
  </si>
  <si>
    <t>FA001-011-000000324</t>
  </si>
  <si>
    <t>FA001-011-000000349</t>
  </si>
  <si>
    <t>INTERNACIONAL CH#2790</t>
  </si>
  <si>
    <t>BOLIVARIANO CH#42049</t>
  </si>
  <si>
    <t>MACHALA CH#15842</t>
  </si>
  <si>
    <t>BOLIVARIANO CH#42050</t>
  </si>
  <si>
    <t>BOLIVARIANO CH#8561</t>
  </si>
  <si>
    <t>MACHALA CH#15986</t>
  </si>
  <si>
    <t>FA001-011-000000184</t>
  </si>
  <si>
    <t>FA001-011-000000275</t>
  </si>
  <si>
    <t>FA001-011-000000305</t>
  </si>
  <si>
    <t>FA001-011-000000306</t>
  </si>
  <si>
    <t>FA001-011-000000317</t>
  </si>
  <si>
    <t>FA001-011-000000319</t>
  </si>
  <si>
    <t>FA001-011-000000340</t>
  </si>
  <si>
    <t>FA001-011-000000242</t>
  </si>
  <si>
    <t>Vendedor : Marco Fabre Bonilla</t>
  </si>
  <si>
    <t>Mes : JUL/2025</t>
  </si>
  <si>
    <t>NELSON NJC S.A.S.</t>
  </si>
  <si>
    <t>NELJOSUPER S.A.</t>
  </si>
  <si>
    <t>FA001-011-000000138</t>
  </si>
  <si>
    <t>FA001-011-000000167</t>
  </si>
  <si>
    <t>FA001-011-000000204</t>
  </si>
  <si>
    <t>FA001-011-000000216</t>
  </si>
  <si>
    <t>FA001-011-000000217</t>
  </si>
  <si>
    <t>FA001-011-000000221</t>
  </si>
  <si>
    <t>FA001-011-000000225</t>
  </si>
  <si>
    <t>FA001-011-000000235</t>
  </si>
  <si>
    <t>FA001-011-000000261</t>
  </si>
  <si>
    <t>FA001-011-000000287</t>
  </si>
  <si>
    <t>FA001-011-000000289</t>
  </si>
  <si>
    <t>FA001-011-000000293</t>
  </si>
  <si>
    <t>FA001-011-000000296</t>
  </si>
  <si>
    <t>FA001-011-000000313</t>
  </si>
  <si>
    <t>FA001-011-000000314</t>
  </si>
  <si>
    <t>FA001-011-000000316</t>
  </si>
  <si>
    <t>FA001-011-000000321</t>
  </si>
  <si>
    <t>FA001-011-000000331</t>
  </si>
  <si>
    <t>FA001-011-000000336</t>
  </si>
  <si>
    <t>FA001-011-000000338</t>
  </si>
  <si>
    <t>FA001-011-000000354</t>
  </si>
  <si>
    <t>FA001-011-000000357</t>
  </si>
  <si>
    <t>FA001-011-000000358</t>
  </si>
  <si>
    <t>FA001-011-000000360</t>
  </si>
  <si>
    <t>FA001-011-000000365</t>
  </si>
  <si>
    <t>FA001-011-000000366</t>
  </si>
  <si>
    <t>FA001-011-000000369</t>
  </si>
  <si>
    <t>FA001-011-000000370</t>
  </si>
  <si>
    <t>FA001-011-000000371</t>
  </si>
  <si>
    <t>FA001-011-000000372</t>
  </si>
  <si>
    <t>FA001-011-000000374</t>
  </si>
  <si>
    <t>FA001-011-000000376</t>
  </si>
  <si>
    <t>FA001-011-000000390</t>
  </si>
  <si>
    <t>FA001-011-000000391</t>
  </si>
  <si>
    <t>BOLIVARIANO CH#185</t>
  </si>
  <si>
    <t>BOLIVARIANO CH#313</t>
  </si>
  <si>
    <t>BOLIVARIANO CH#9041</t>
  </si>
  <si>
    <t>PICHINCHA CH#6388</t>
  </si>
  <si>
    <t>BOLIVARIANO CH#42210</t>
  </si>
  <si>
    <t>BOLIVARIANO Ch#42211</t>
  </si>
  <si>
    <t>PICHINCHA CH#6843</t>
  </si>
  <si>
    <t>PACIFICO CH#390</t>
  </si>
  <si>
    <t>BOLIVARIANO CH#15028</t>
  </si>
  <si>
    <t>BOLIVARIANO CH#8617</t>
  </si>
  <si>
    <t>BOLIVARIANO CH#503</t>
  </si>
  <si>
    <t>NARANJO SANPEDRO MARIA ELENA</t>
  </si>
  <si>
    <t>MENDOZA ESTRELLA DAVID EDGARDO</t>
  </si>
  <si>
    <t>DOMINGUEZ MENA MARIA EUGENIA</t>
  </si>
  <si>
    <t>NUÑEZ MANUEL ALFREDO</t>
  </si>
  <si>
    <t>GONZALEZ JACOME JOHANA LORENA</t>
  </si>
  <si>
    <t>JAIRO DAMIAN CANTOS NAVARRETE</t>
  </si>
  <si>
    <t>FA001-011-000000308</t>
  </si>
  <si>
    <t>FA001-011-000000332</t>
  </si>
  <si>
    <t>FA001-011-000000350</t>
  </si>
  <si>
    <t>FA001-011-000000362</t>
  </si>
  <si>
    <t>FA001-011-000000363</t>
  </si>
  <si>
    <t>FA001-011-000000367</t>
  </si>
  <si>
    <t>AMBATO</t>
  </si>
  <si>
    <t>GUARANDA</t>
  </si>
  <si>
    <t>JUNIN</t>
  </si>
  <si>
    <t>PRODUBANCO CH#8145</t>
  </si>
  <si>
    <t>FA001-011-000000298</t>
  </si>
  <si>
    <t>FA001-011-000000130</t>
  </si>
  <si>
    <t>FA001-011-000000394</t>
  </si>
  <si>
    <t>Mes : AGO/2025</t>
  </si>
  <si>
    <t>FA001-011-000000248</t>
  </si>
  <si>
    <t>FA001-011-000000254</t>
  </si>
  <si>
    <t>FA001-011-000000257</t>
  </si>
  <si>
    <t>FA001-011-000000265</t>
  </si>
  <si>
    <t>FA001-011-000000269</t>
  </si>
  <si>
    <t>FA001-011-000000281</t>
  </si>
  <si>
    <t>FA001-011-000000295</t>
  </si>
  <si>
    <t>FA001-011-000000302</t>
  </si>
  <si>
    <t>FA001-011-000000315</t>
  </si>
  <si>
    <t>FA001-011-000000323</t>
  </si>
  <si>
    <t>FA001-011-000000327</t>
  </si>
  <si>
    <t>FA001-011-000000328</t>
  </si>
  <si>
    <t>FA001-011-000000329</t>
  </si>
  <si>
    <t>FA001-011-000000339</t>
  </si>
  <si>
    <t>FA001-011-000000341</t>
  </si>
  <si>
    <t>FA001-011-000000351</t>
  </si>
  <si>
    <t>FA001-011-000000373</t>
  </si>
  <si>
    <t>MORQUECHO LOPEZ ELISABETH JEAKEINE</t>
  </si>
  <si>
    <t>HIDALGO BRAVO RONAL XAVIER</t>
  </si>
  <si>
    <t>FA001-011-000000381</t>
  </si>
  <si>
    <t>FA001-011-000000387</t>
  </si>
  <si>
    <t>FA001-011-000000397</t>
  </si>
  <si>
    <t>FA001-011-000000399</t>
  </si>
  <si>
    <t>FA001-011-000000403</t>
  </si>
  <si>
    <t>FA001-011-000000407</t>
  </si>
  <si>
    <t>FA001-011-000000422</t>
  </si>
  <si>
    <t>FA001-011-000000430</t>
  </si>
  <si>
    <t>FA001-011-000000432</t>
  </si>
  <si>
    <t>GARCIA QUIROZ JESUS MIGUEL</t>
  </si>
  <si>
    <t>INTERNACIONAL CH#2906</t>
  </si>
  <si>
    <t>PRODUBANCO CH#1815</t>
  </si>
  <si>
    <t>AUSTRO CH#13031</t>
  </si>
  <si>
    <t>PICHINCHA CH#6423</t>
  </si>
  <si>
    <t>FA001-011-000000286</t>
  </si>
  <si>
    <t>FA001-011-000000290</t>
  </si>
  <si>
    <t>FA001-011-000000300</t>
  </si>
  <si>
    <t>FA001-011-000000312</t>
  </si>
  <si>
    <t>PICHINCHA CH#1180-1181</t>
  </si>
  <si>
    <t>PICHINCHA CH#1182</t>
  </si>
  <si>
    <t>PACIFICO CH#3023</t>
  </si>
  <si>
    <t>BOLIVARIANO CH#1237</t>
  </si>
  <si>
    <t>MACHALA CH#16242</t>
  </si>
  <si>
    <t>FA001-011-000000334</t>
  </si>
  <si>
    <t>FA001-011-000000335</t>
  </si>
  <si>
    <t>FA001-011-000000375</t>
  </si>
  <si>
    <t>FA001-011-000000415</t>
  </si>
  <si>
    <t>FA001-011-000000423</t>
  </si>
  <si>
    <t>MORALES TOBAR ARCESIO</t>
  </si>
  <si>
    <t>PICHINCHA CH#8052</t>
  </si>
  <si>
    <t>FA001-011-000000385</t>
  </si>
  <si>
    <t>CABAY CABAY SHARON MAYTE</t>
  </si>
  <si>
    <t>PASCUALES</t>
  </si>
  <si>
    <t>FA001-011-000000418</t>
  </si>
  <si>
    <t>PICHINCHA CH#1180</t>
  </si>
  <si>
    <t>PICHINCHA CH#1181-1182</t>
  </si>
  <si>
    <t>MEGAPOPULAR S.A.S.</t>
  </si>
  <si>
    <t>LATACUNGA</t>
  </si>
  <si>
    <t>FA001-011-000000333</t>
  </si>
  <si>
    <t>FA001-011-000000412</t>
  </si>
  <si>
    <t>MOROCHO JANETA RAUL OSWALDO</t>
  </si>
  <si>
    <t>JOSE LUIS ITURRALDE LOZADA</t>
  </si>
  <si>
    <t>VEGA RAZO MARIA AUGUSTA</t>
  </si>
  <si>
    <t>CORDOVA OÑATE JULIA PAULINA</t>
  </si>
  <si>
    <t>YAGUACHI HIPO NOE JESUS</t>
  </si>
  <si>
    <t>TIBAN JOSE HERMEL</t>
  </si>
  <si>
    <t>ALAJO GUEVARA PATRICIA ISABEL</t>
  </si>
  <si>
    <t>FA001-011-000000307</t>
  </si>
  <si>
    <t>FA001-011-000000353</t>
  </si>
  <si>
    <t>FA001-011-000000384</t>
  </si>
  <si>
    <t>FA001-011-000000383</t>
  </si>
  <si>
    <t>FA001-011-000000386</t>
  </si>
  <si>
    <t>FA001-011-000000442</t>
  </si>
  <si>
    <t>FA001-011-000000443</t>
  </si>
  <si>
    <t>Mes : SEP/2025</t>
  </si>
  <si>
    <t>FA001-011-000000311</t>
  </si>
  <si>
    <t>PACIFICO CH#9323</t>
  </si>
  <si>
    <t>PICHINCHA CH#6862</t>
  </si>
  <si>
    <t>PACIFICO CH#30002</t>
  </si>
  <si>
    <t>FA001-011-000000419</t>
  </si>
  <si>
    <t>FA001-011-000000421</t>
  </si>
  <si>
    <t>MACHALA CH#16278</t>
  </si>
  <si>
    <t>PICHINCHA CH#6874</t>
  </si>
  <si>
    <t>FA001-011-000000451</t>
  </si>
  <si>
    <t>FA001-011-000000454</t>
  </si>
  <si>
    <t>JORGE CARRERA VALENCIA</t>
  </si>
  <si>
    <t>UNIVERSIDAD POLITECNICA SALESIANA</t>
  </si>
  <si>
    <t>FA001-011-000000137</t>
  </si>
  <si>
    <t>FA001-011-000000208</t>
  </si>
  <si>
    <t>FA001-011-000000228</t>
  </si>
  <si>
    <t>FA001-011-000000303</t>
  </si>
  <si>
    <t>FA001-011-000000304</t>
  </si>
  <si>
    <t>FA001-011-000000309</t>
  </si>
  <si>
    <t>FA001-011-000000310</t>
  </si>
  <si>
    <t>FA001-011-000000318</t>
  </si>
  <si>
    <t>FA001-011-000000320</t>
  </si>
  <si>
    <t>FA001-011-000000326</t>
  </si>
  <si>
    <t>FA001-011-000000330</t>
  </si>
  <si>
    <t>FA001-011-000000364</t>
  </si>
  <si>
    <t>FA001-011-000000380</t>
  </si>
  <si>
    <t>FA001-011-000000395</t>
  </si>
  <si>
    <t>FA001-011-000000414</t>
  </si>
  <si>
    <t>FA001-011-000000427</t>
  </si>
  <si>
    <t>FA001-011-000000436</t>
  </si>
  <si>
    <t>FA001-011-000000439</t>
  </si>
  <si>
    <t>FA001-011-000000441</t>
  </si>
  <si>
    <t>FA001-011-000000445</t>
  </si>
  <si>
    <t>FA001-011-000000447</t>
  </si>
  <si>
    <t>FA001-011-000000448</t>
  </si>
  <si>
    <t>FA001-011-000000452</t>
  </si>
  <si>
    <t>FA001-011-000000457</t>
  </si>
  <si>
    <t>FA001-011-000000463</t>
  </si>
  <si>
    <t>FA001-011-000000464</t>
  </si>
  <si>
    <t>FA001-011-000000465</t>
  </si>
  <si>
    <t>FA001-011-000000474</t>
  </si>
  <si>
    <t>FA001-011-000000477</t>
  </si>
  <si>
    <t>FA001-011-000000480</t>
  </si>
  <si>
    <t>FA001-011-000000481</t>
  </si>
  <si>
    <t>FA001-011-000000486</t>
  </si>
  <si>
    <t>MACHALA CH#16328</t>
  </si>
  <si>
    <t>FA001-011-000000473</t>
  </si>
  <si>
    <t>FA001-011-000000227</t>
  </si>
  <si>
    <t>Mes : OCT/2025</t>
  </si>
  <si>
    <t>VIZCAINO HERRERA JANETH ELIZABETH</t>
  </si>
  <si>
    <t>CHICAIZA DELGADO STEEB ALBERTO</t>
  </si>
  <si>
    <t>OFFICE SUMOFF S. A. S.</t>
  </si>
  <si>
    <t>IBARRA</t>
  </si>
  <si>
    <t>001-011-000000402</t>
  </si>
  <si>
    <t>001-011-000000401</t>
  </si>
  <si>
    <t>001-011-000000424</t>
  </si>
  <si>
    <t>001-011-000000469</t>
  </si>
  <si>
    <t>001-011-000000497</t>
  </si>
  <si>
    <t>VEGA ROSALES XIMENA ALEXANDRA</t>
  </si>
  <si>
    <t>001-011-000000512</t>
  </si>
  <si>
    <t>001-011-000000183</t>
  </si>
  <si>
    <t>001-011-000000181</t>
  </si>
  <si>
    <t>001-011-000000484</t>
  </si>
  <si>
    <t>001-011-000000392</t>
  </si>
  <si>
    <t>001-011-000000507</t>
  </si>
  <si>
    <t>001-011-000000479</t>
  </si>
  <si>
    <t>001-011-000000511</t>
  </si>
  <si>
    <t>ZAMORACHINCHIPE</t>
  </si>
  <si>
    <t>001-011-000000426</t>
  </si>
  <si>
    <t>001-011-000000208</t>
  </si>
  <si>
    <t>001-011-000000466</t>
  </si>
  <si>
    <t>001-011-000000476</t>
  </si>
  <si>
    <t>001-011-000000377</t>
  </si>
  <si>
    <t>001-011-000000456</t>
  </si>
  <si>
    <t>001-011-000000490</t>
  </si>
  <si>
    <t>001-011-000000468</t>
  </si>
  <si>
    <t>001-011-000000171</t>
  </si>
  <si>
    <t>001-011-000000315</t>
  </si>
  <si>
    <t>001-011-000000413</t>
  </si>
  <si>
    <t>001-011-000000379</t>
  </si>
  <si>
    <t>001-011-000000435</t>
  </si>
  <si>
    <t>001-011-000000302</t>
  </si>
  <si>
    <t>001-011-000000406</t>
  </si>
  <si>
    <t>001-011-000000445</t>
  </si>
  <si>
    <t>001-011-000000337</t>
  </si>
  <si>
    <t>001-011-000000501</t>
  </si>
  <si>
    <t>PICHINCHA CH#2400</t>
  </si>
  <si>
    <t>PICHINCHA CH#6876</t>
  </si>
  <si>
    <t>BOLIVARIANO CH#8789</t>
  </si>
  <si>
    <t>PACIFICO CH#6503</t>
  </si>
  <si>
    <t>PICHINCHA CH#6886</t>
  </si>
  <si>
    <t>001-011-000000492</t>
  </si>
  <si>
    <t>001-011-000000478</t>
  </si>
  <si>
    <t>001-011-000000505</t>
  </si>
  <si>
    <t>001-011-000000524</t>
  </si>
  <si>
    <t>001-011-000000500</t>
  </si>
  <si>
    <t>Mes : NOV/2025</t>
  </si>
  <si>
    <t>Mes : DIC/2025</t>
  </si>
  <si>
    <t>Mes : ENE/2026</t>
  </si>
  <si>
    <t>001-011-000000528</t>
  </si>
  <si>
    <t>001-011-000000537</t>
  </si>
  <si>
    <t>001-011-000000535</t>
  </si>
  <si>
    <t>001-011-000000533</t>
  </si>
  <si>
    <t>001-011-000000525</t>
  </si>
  <si>
    <t>001-011-000000510</t>
  </si>
  <si>
    <t>001-011-000000496</t>
  </si>
  <si>
    <t>001-011-000000494</t>
  </si>
  <si>
    <t>001-011-000000487</t>
  </si>
  <si>
    <t>001-011-000000489</t>
  </si>
  <si>
    <t>001-011-000000485</t>
  </si>
  <si>
    <t>001-011-000000462</t>
  </si>
  <si>
    <t>001-011-000000404</t>
  </si>
  <si>
    <t>001-011-000000539</t>
  </si>
  <si>
    <t>CH#8806 BOLIVARIANO</t>
  </si>
  <si>
    <t>CH#8810 BOLIVARIANO</t>
  </si>
  <si>
    <t>CH#13043 GUAYAQUIL</t>
  </si>
  <si>
    <t>CH#8812 BOLIVARIANO</t>
  </si>
  <si>
    <t>CH#2767 PICHINCHA</t>
  </si>
  <si>
    <t>CH#2158 PICHINCHA</t>
  </si>
  <si>
    <t>001-011-000000531</t>
  </si>
  <si>
    <t>001-011-000000536</t>
  </si>
  <si>
    <t>001-011-000000523</t>
  </si>
  <si>
    <t>001-011-000000540</t>
  </si>
  <si>
    <t>001-011-000000472</t>
  </si>
  <si>
    <t>001-011-000000470</t>
  </si>
  <si>
    <t>PAREDES HEREDIA HILDA CONSUELO</t>
  </si>
  <si>
    <t>PUJILI</t>
  </si>
  <si>
    <t>001-011-000000417</t>
  </si>
  <si>
    <t>001-011-000000541</t>
  </si>
  <si>
    <t>001-011-000000431</t>
  </si>
  <si>
    <t>001-011-000000450</t>
  </si>
  <si>
    <t>001-011-000000495</t>
  </si>
  <si>
    <t>001-010-000003128</t>
  </si>
  <si>
    <t>001-010-000003129</t>
  </si>
  <si>
    <t>001-011-000000546</t>
  </si>
  <si>
    <t>001-011-000000475</t>
  </si>
  <si>
    <t>001-011-000000303</t>
  </si>
  <si>
    <t>001-011-000000569</t>
  </si>
  <si>
    <t>001-011-000000538</t>
  </si>
  <si>
    <t>001-011-000000526</t>
  </si>
  <si>
    <t>001-011-000000567</t>
  </si>
  <si>
    <t>001-011-000000544</t>
  </si>
  <si>
    <t>001-011-000000522</t>
  </si>
  <si>
    <t>001-011-000000449</t>
  </si>
  <si>
    <t>001-011-000000482</t>
  </si>
  <si>
    <t>001-011-000000440</t>
  </si>
  <si>
    <t>001-011-000000467</t>
  </si>
  <si>
    <t>001-011-000000488</t>
  </si>
  <si>
    <t>001-011-000000420</t>
  </si>
  <si>
    <t>001-011-000000514</t>
  </si>
  <si>
    <t>001-011-000000562</t>
  </si>
  <si>
    <t>001-011-000000563</t>
  </si>
  <si>
    <t>001-011-000000356</t>
  </si>
  <si>
    <t>001-011-000000382</t>
  </si>
  <si>
    <t>001-011-000000398</t>
  </si>
  <si>
    <t>001-011-000000458</t>
  </si>
  <si>
    <t>001-011-000000459</t>
  </si>
  <si>
    <t>001-011-000000527</t>
  </si>
  <si>
    <t>001-010-000002842</t>
  </si>
  <si>
    <t>001-011-000000550</t>
  </si>
  <si>
    <t>001-011-000000549</t>
  </si>
  <si>
    <t>001-011-000000434</t>
  </si>
  <si>
    <t>001-011-000000547</t>
  </si>
  <si>
    <t>001-011-000000516</t>
  </si>
  <si>
    <t>001-011-000000437</t>
  </si>
  <si>
    <t>001-011-000000446</t>
  </si>
  <si>
    <t>001-011-000000504</t>
  </si>
  <si>
    <t>001-011-000000553</t>
  </si>
  <si>
    <t>001-011-000000542</t>
  </si>
  <si>
    <t>001-011-000000444</t>
  </si>
  <si>
    <t>001-011-000000561</t>
  </si>
  <si>
    <t>001-011-000000558</t>
  </si>
  <si>
    <t>001-011-000000555</t>
  </si>
  <si>
    <t>CH#6919 PICHINCHA</t>
  </si>
  <si>
    <t>CH#6908 PICHINCHA</t>
  </si>
  <si>
    <t>CH#1361 PICHINCHA</t>
  </si>
  <si>
    <t>CH#8849 BOLIVARIANO</t>
  </si>
  <si>
    <t>CH#6921 PICHINCHA</t>
  </si>
  <si>
    <t>CH#1362 PICHINCHA</t>
  </si>
  <si>
    <t>Mera Aguas Carlos Armando</t>
  </si>
  <si>
    <t>QUITO</t>
  </si>
  <si>
    <t>001-011-000000513</t>
  </si>
  <si>
    <t>001-011-000000508</t>
  </si>
  <si>
    <t>001-011-000000453</t>
  </si>
  <si>
    <t>001-011-000000534</t>
  </si>
  <si>
    <t>001-011-000000400</t>
  </si>
  <si>
    <t>VERONICA ALEXANDRA EGAS CORDOVA</t>
  </si>
  <si>
    <t>001-011-000000600</t>
  </si>
  <si>
    <t>001-011-000000605</t>
  </si>
  <si>
    <t>001-011-000000471</t>
  </si>
  <si>
    <t>001-011-000000601</t>
  </si>
  <si>
    <t>001-011-000000543</t>
  </si>
  <si>
    <t>001-011-000000442</t>
  </si>
  <si>
    <t>DISTRIBUIDORA GAMA CIA. LTDA.</t>
  </si>
  <si>
    <t>CH#17343 PRODUBANCO</t>
  </si>
  <si>
    <t>001-011-000000612</t>
  </si>
  <si>
    <t>VALENCIA GOMEZ LEONEL ENRIQUE</t>
  </si>
  <si>
    <t>MEDRANDA CEDEÑO MAYRA ALEJANDRA</t>
  </si>
  <si>
    <t>001-011-000000519</t>
  </si>
  <si>
    <t>001-011-000000578</t>
  </si>
  <si>
    <t>001-011-000000532</t>
  </si>
  <si>
    <t>001-011-000000587</t>
  </si>
  <si>
    <t>001-011-000000515</t>
  </si>
  <si>
    <t>001-011-000000576</t>
  </si>
  <si>
    <t>001-011-000000559</t>
  </si>
  <si>
    <t>001-011-000000498</t>
  </si>
  <si>
    <t>001-011-000000595</t>
  </si>
  <si>
    <t>001-011-000000521</t>
  </si>
  <si>
    <t>001-011-000000520</t>
  </si>
  <si>
    <t>001-011-000000551</t>
  </si>
  <si>
    <t>001-011-000000455</t>
  </si>
  <si>
    <t>001-011-000000461</t>
  </si>
  <si>
    <t>001-011-000000598</t>
  </si>
  <si>
    <t>001-011-000000570</t>
  </si>
  <si>
    <t>001-011-000000571</t>
  </si>
  <si>
    <t>001-011-000000574</t>
  </si>
  <si>
    <t>001-011-000000224</t>
  </si>
  <si>
    <t>001-011-000000582</t>
  </si>
  <si>
    <t>001-011-000000585</t>
  </si>
  <si>
    <t>001-011-000000586</t>
  </si>
  <si>
    <t>001-011-000000568</t>
  </si>
  <si>
    <t>001-011-000000565</t>
  </si>
  <si>
    <t>001-011-000000552</t>
  </si>
  <si>
    <t>TODOENPAPELERIA</t>
  </si>
  <si>
    <t>CH#8926 BOLIVARIANO</t>
  </si>
  <si>
    <t>CH#6942 PICHINCHA</t>
  </si>
  <si>
    <t>CH#2688 PRODUBANCO</t>
  </si>
  <si>
    <t>001-011-000000602</t>
  </si>
  <si>
    <t>001-011-000000577</t>
  </si>
  <si>
    <t>001-011-000000579</t>
  </si>
  <si>
    <t>001-011-000000608</t>
  </si>
  <si>
    <t>001-011-000000518</t>
  </si>
  <si>
    <t>MARCO</t>
  </si>
  <si>
    <t>CARLOS</t>
  </si>
  <si>
    <t>Mes : FEB/2026</t>
  </si>
  <si>
    <t>Mes : MAR/2026</t>
  </si>
  <si>
    <t>Mes : ABR/2026</t>
  </si>
  <si>
    <t>NAULA RODRIGUEZ DOLORES ALICIA</t>
  </si>
  <si>
    <t>001-011-000000615</t>
  </si>
  <si>
    <t>ZAMORA CHINCHIPE</t>
  </si>
  <si>
    <t>001-011-000000557</t>
  </si>
  <si>
    <t>001-011-000000618</t>
  </si>
  <si>
    <t>001-011-000000581</t>
  </si>
  <si>
    <t>001-011-000000603</t>
  </si>
  <si>
    <t>001-011-000000610</t>
  </si>
  <si>
    <t>001-011-000000548</t>
  </si>
  <si>
    <t>001-011-000000554</t>
  </si>
  <si>
    <t>001-011-000000564</t>
  </si>
  <si>
    <t>001-011-000000593</t>
  </si>
  <si>
    <t>001-011-000000627</t>
  </si>
  <si>
    <t>001-011-000000583</t>
  </si>
  <si>
    <t>001-011-000000588</t>
  </si>
  <si>
    <t>001-011-000000591</t>
  </si>
  <si>
    <t>001-011-000000611</t>
  </si>
  <si>
    <t>001-011-000000556</t>
  </si>
  <si>
    <t>001-011-000000621</t>
  </si>
  <si>
    <t>SAMBORONDON</t>
  </si>
  <si>
    <t>001-011-000000529</t>
  </si>
  <si>
    <t>001-011-000000560</t>
  </si>
  <si>
    <t>CH#16833 MACHALA</t>
  </si>
  <si>
    <t>CH#13367 GUAYAQUIL</t>
  </si>
  <si>
    <t>CH#6957 PICHINCHA</t>
  </si>
  <si>
    <t>CH#225 BOLIVARIANO</t>
  </si>
  <si>
    <t>CH#2774 PRODUBANCO</t>
  </si>
  <si>
    <t>001-011-000000616</t>
  </si>
  <si>
    <t>001-011-000000630</t>
  </si>
  <si>
    <t>001-011-000000628</t>
  </si>
  <si>
    <t>001-011-000000530</t>
  </si>
  <si>
    <t>001-011-000000573</t>
  </si>
  <si>
    <t>VERGARA SANCHEZ COLOMBIA DE JESUS</t>
  </si>
  <si>
    <t>001-011-000000640</t>
  </si>
  <si>
    <t>001-011-000000590</t>
  </si>
  <si>
    <t>001-011-000000622</t>
  </si>
  <si>
    <t>001-011-000000589</t>
  </si>
  <si>
    <t>001-011-000000597</t>
  </si>
  <si>
    <t>001-011-000000629</t>
  </si>
  <si>
    <t>001-011-000000620</t>
  </si>
  <si>
    <t>001-011-000000631</t>
  </si>
  <si>
    <t>001-011-000000634</t>
  </si>
  <si>
    <t>001-011-000000657</t>
  </si>
  <si>
    <t>001-011-000000681</t>
  </si>
  <si>
    <t>001-011-000000632</t>
  </si>
  <si>
    <t>001-011-000000663</t>
  </si>
  <si>
    <t>001-011-000000664</t>
  </si>
  <si>
    <t>001-011-000000649</t>
  </si>
  <si>
    <t>001-011-000000675</t>
  </si>
  <si>
    <t>001-011-000000697</t>
  </si>
  <si>
    <t>CH#16973 MACHALA</t>
  </si>
  <si>
    <t>CH#17094 MACHALA</t>
  </si>
  <si>
    <t>CH#342 PRODUBANCO</t>
  </si>
  <si>
    <t>CH#946 PACIFICO</t>
  </si>
  <si>
    <t>CH#43289 BOLIVARIANO</t>
  </si>
  <si>
    <t>CH#43290 BOLIVARIANO</t>
  </si>
  <si>
    <t>CH#13214 GUAYAQUIL</t>
  </si>
  <si>
    <t>001-011-000000646</t>
  </si>
  <si>
    <t>001-011-000000661</t>
  </si>
  <si>
    <t>001-011-000000652</t>
  </si>
  <si>
    <t>001-011-000000584</t>
  </si>
  <si>
    <t>001-011-000000639</t>
  </si>
  <si>
    <t>001-011-000000641</t>
  </si>
  <si>
    <t>001-011-000000643</t>
  </si>
  <si>
    <t>001-011-000000644</t>
  </si>
  <si>
    <t>001-011-000000660</t>
  </si>
  <si>
    <t>NOTEBOOK PAPELERÍA S.A.S.</t>
  </si>
  <si>
    <t>001-011-000000638</t>
  </si>
  <si>
    <t>001-011-000000668</t>
  </si>
  <si>
    <t>001-011-000000633</t>
  </si>
  <si>
    <t>001-011-000000710</t>
  </si>
  <si>
    <t>001-011-000000368</t>
  </si>
  <si>
    <t>001-011-000000711</t>
  </si>
  <si>
    <t>001-011-000000720</t>
  </si>
  <si>
    <t>001-011-000000636</t>
  </si>
  <si>
    <t>001-011-000000637</t>
  </si>
  <si>
    <t>001-011-000000676</t>
  </si>
  <si>
    <t>001-011-000000768</t>
  </si>
  <si>
    <t>001-011-000000728</t>
  </si>
  <si>
    <t>001-011-000000759</t>
  </si>
  <si>
    <t>001-011-000000666</t>
  </si>
  <si>
    <t>001-011-000000732</t>
  </si>
  <si>
    <t>001-011-000000737</t>
  </si>
  <si>
    <t>001-011-000000775</t>
  </si>
  <si>
    <t>001-011-000000667</t>
  </si>
  <si>
    <t>001-011-000000635</t>
  </si>
  <si>
    <t>001-011-000000735</t>
  </si>
  <si>
    <t>001-011-000000654</t>
  </si>
  <si>
    <t>001-011-000000685</t>
  </si>
  <si>
    <t>001-011-000000761</t>
  </si>
  <si>
    <t>CH#810 GUAYAQUIL</t>
  </si>
  <si>
    <t>CH#317 AUSTRO</t>
  </si>
  <si>
    <t>CH#6974 PICHINCHA</t>
  </si>
  <si>
    <t>CH#17145 MACHALA</t>
  </si>
  <si>
    <t>CH#9048 BOLIVARIANO</t>
  </si>
  <si>
    <t>CH#17181 MACHALA</t>
  </si>
  <si>
    <t>001-011-000000738</t>
  </si>
  <si>
    <t>001-011-000000594</t>
  </si>
  <si>
    <t>001-011-000000599</t>
  </si>
  <si>
    <t>001-011-000000704</t>
  </si>
  <si>
    <t>001-011-000000747</t>
  </si>
  <si>
    <t>001-011-000000731</t>
  </si>
  <si>
    <t>001-011-000000774</t>
  </si>
  <si>
    <t>LOWNDES MORILLO ROBERTO JAVIER</t>
  </si>
  <si>
    <t>ESMERALDAS</t>
  </si>
  <si>
    <t>001-011-000000772</t>
  </si>
  <si>
    <t>001-011-000000623</t>
  </si>
  <si>
    <t>TECHINSPIRE S.A.S.</t>
  </si>
  <si>
    <t>DISTRIBUCIONES Y COMERCIALIZADORA DISTRICOMVEGA CIA. LTDA.</t>
  </si>
  <si>
    <t>001-011-000000705</t>
  </si>
  <si>
    <t>SUCUMBIOS</t>
  </si>
  <si>
    <t>001-011-000000662</t>
  </si>
  <si>
    <t>001-011-000000614</t>
  </si>
  <si>
    <t>001-011-000000651</t>
  </si>
  <si>
    <t>PEÑAFIEL DIAZ MARIA DE LOURDES</t>
  </si>
  <si>
    <t>DISTRIBUIDORA GAMA CIA LTDA</t>
  </si>
  <si>
    <t>001-011-000000609</t>
  </si>
  <si>
    <t>001-011-000000606</t>
  </si>
  <si>
    <t>001-011-000000575</t>
  </si>
  <si>
    <t>001-011-000000617</t>
  </si>
  <si>
    <t>Mes : MAY/2026</t>
  </si>
  <si>
    <t>TUPAPEL S.A.S.</t>
  </si>
  <si>
    <t>001-011-000000796</t>
  </si>
  <si>
    <t>001-011-000000822</t>
  </si>
  <si>
    <t>001-011-000000792</t>
  </si>
  <si>
    <t>001-011-000000815</t>
  </si>
  <si>
    <t>CALLE RODRIGUEZ JESSENIA ELIZABETH</t>
  </si>
  <si>
    <t>CH#140 PICHINCHA</t>
  </si>
  <si>
    <t>001-011-000000751</t>
  </si>
  <si>
    <t>001-011-000000750</t>
  </si>
  <si>
    <t>001-011-000000749</t>
  </si>
  <si>
    <t>001-011-000000748</t>
  </si>
  <si>
    <t>001-011-000000752</t>
  </si>
  <si>
    <t>001-011-000000672</t>
  </si>
  <si>
    <t>001-011-000000794</t>
  </si>
  <si>
    <t>001-011-000000734</t>
  </si>
  <si>
    <t>001-011-000000592</t>
  </si>
  <si>
    <t>001-011-000000713</t>
  </si>
  <si>
    <t>001-011-000000680</t>
  </si>
  <si>
    <t>001-011-000000729</t>
  </si>
  <si>
    <t>001-011-000000783</t>
  </si>
  <si>
    <t>001-011-000000823</t>
  </si>
  <si>
    <t>001-011-000000648</t>
  </si>
  <si>
    <t>001-011-000000763</t>
  </si>
  <si>
    <t>001-011-000000803</t>
  </si>
  <si>
    <t>001-011-000000678</t>
  </si>
  <si>
    <t>001-011-000000721</t>
  </si>
  <si>
    <t>001-011-000000756</t>
  </si>
  <si>
    <t>001-011-000000782</t>
  </si>
  <si>
    <t>001-011-000000717</t>
  </si>
  <si>
    <t>001-011-000000843</t>
  </si>
  <si>
    <t>001-011-000000755</t>
  </si>
  <si>
    <t>001-011-000000642</t>
  </si>
  <si>
    <t>001-011-000000702</t>
  </si>
  <si>
    <t>001-011-000000673</t>
  </si>
  <si>
    <t>001-011-000000674</t>
  </si>
  <si>
    <t>001-011-000000679</t>
  </si>
  <si>
    <t>001-011-000000769</t>
  </si>
  <si>
    <t>001-011-000000709</t>
  </si>
  <si>
    <t>001-011-000000650</t>
  </si>
  <si>
    <t>001-011-000000811</t>
  </si>
  <si>
    <t>001-011-000000758</t>
  </si>
  <si>
    <t>001-011-000000765</t>
  </si>
  <si>
    <t>001-011-000000647</t>
  </si>
  <si>
    <t>001-011-000000718</t>
  </si>
  <si>
    <t>001-011-000000773</t>
  </si>
  <si>
    <t>001-011-000000653</t>
  </si>
  <si>
    <t>001-011-000000656</t>
  </si>
  <si>
    <t>001-011-000000684</t>
  </si>
  <si>
    <t>001-011-000000787</t>
  </si>
  <si>
    <t>001-011-000000715</t>
  </si>
  <si>
    <t>001-011-000000818</t>
  </si>
  <si>
    <t>001-011-000000719</t>
  </si>
  <si>
    <t>001-011-000000829</t>
  </si>
  <si>
    <t>001-011-000000712</t>
  </si>
  <si>
    <t>001-011-000000847</t>
  </si>
  <si>
    <t>001-011-000000753</t>
  </si>
  <si>
    <t>001-011-000000682</t>
  </si>
  <si>
    <t>CH#43532 BOLIVARIANO</t>
  </si>
  <si>
    <t>CH#43531 BOLIVARIANO</t>
  </si>
  <si>
    <t>CH#6983 PICHINCHA</t>
  </si>
  <si>
    <t>CH#6979 PICHINCHA</t>
  </si>
  <si>
    <t>CH#43530 BOLIVARIANO</t>
  </si>
  <si>
    <t>CH#318 PRODUBANCO</t>
  </si>
  <si>
    <t>CH#349 PRODUBANCO</t>
  </si>
  <si>
    <t>CH#2840 PRODUBANCO</t>
  </si>
  <si>
    <t>CH#2839 PRODUBANCO</t>
  </si>
  <si>
    <t>CH#397 AUSTRO</t>
  </si>
  <si>
    <t>CH#387 AUSTRO</t>
  </si>
  <si>
    <t>CH#9062 BOLIVARIANO</t>
  </si>
  <si>
    <t>CH#3800 PICHINCHA</t>
  </si>
  <si>
    <t>CH#43529 BOLIVARIANO</t>
  </si>
  <si>
    <t>001-011-000000846</t>
  </si>
  <si>
    <t>001-011-000000826</t>
  </si>
  <si>
    <t>001-011-000000806</t>
  </si>
  <si>
    <t>001-011-000000804</t>
  </si>
  <si>
    <t>001-011-000000791</t>
  </si>
  <si>
    <t>001-011-000000767</t>
  </si>
  <si>
    <t>001-011-000000766</t>
  </si>
  <si>
    <t>001-011-000000743</t>
  </si>
  <si>
    <t>001-011-000000740</t>
  </si>
  <si>
    <t>001-011-000000739</t>
  </si>
  <si>
    <t>001-011-000000733</t>
  </si>
  <si>
    <t>001-011-000000714</t>
  </si>
  <si>
    <t>001-011-000000701</t>
  </si>
  <si>
    <t>001-011-000000645</t>
  </si>
  <si>
    <t>001-011-000000626</t>
  </si>
  <si>
    <t>001-011-000000624</t>
  </si>
  <si>
    <t>001-011-000000625</t>
  </si>
  <si>
    <t>001-011-000000798</t>
  </si>
  <si>
    <t>001-011-000000687</t>
  </si>
  <si>
    <t>001-011-000000655</t>
  </si>
  <si>
    <t>001-011-000000665</t>
  </si>
  <si>
    <t>Mes : JUN/2026</t>
  </si>
  <si>
    <t>BASANTES BANDERAS DIEGO FERNANDO</t>
  </si>
  <si>
    <t>CRIOLLO MAYORGA SANDRA JACQUELINE</t>
  </si>
  <si>
    <t>QUISPE CAYO VICTOR HUGO</t>
  </si>
  <si>
    <t>001-011-000000859</t>
  </si>
  <si>
    <t>QUEVEDO</t>
  </si>
  <si>
    <t>001-011-000000797</t>
  </si>
  <si>
    <t>001-011-000000830</t>
  </si>
  <si>
    <t>001-011-000000790</t>
  </si>
  <si>
    <t>001-011-000000876</t>
  </si>
  <si>
    <t>YAMBAY ALVARO ELISA</t>
  </si>
  <si>
    <t>SAMANIEGO CARDENAS LOURDES MELISSA</t>
  </si>
  <si>
    <t>001-011-000000754</t>
  </si>
  <si>
    <t>001-011-000000824</t>
  </si>
  <si>
    <t>001-011-000000833</t>
  </si>
  <si>
    <t>001-011-000000858</t>
  </si>
  <si>
    <t>001-011-000000873</t>
  </si>
  <si>
    <t>001-011-000000874</t>
  </si>
  <si>
    <t>001-011-000000690</t>
  </si>
  <si>
    <t>001-011-000000837</t>
  </si>
  <si>
    <t>001-011-000000871</t>
  </si>
  <si>
    <t>001-011-000000784</t>
  </si>
  <si>
    <t>001-011-000000786</t>
  </si>
  <si>
    <t>001-011-000000809</t>
  </si>
  <si>
    <t>001-011-000000814</t>
  </si>
  <si>
    <t>001-011-000000877</t>
  </si>
  <si>
    <t>001-011-000000778</t>
  </si>
  <si>
    <t>001-011-000000860</t>
  </si>
  <si>
    <t>001-011-000000857</t>
  </si>
  <si>
    <t>001-011-000000813</t>
  </si>
  <si>
    <t>001-011-000000736</t>
  </si>
  <si>
    <t>001-011-000000742</t>
  </si>
  <si>
    <t>001-011-000000789</t>
  </si>
  <si>
    <t>001-011-000000845</t>
  </si>
  <si>
    <t>001-011-000000832</t>
  </si>
  <si>
    <t>001-011-000000686</t>
  </si>
  <si>
    <t>001-011-000000693</t>
  </si>
  <si>
    <t>001-011-000000703</t>
  </si>
  <si>
    <t>001-011-000000688</t>
  </si>
  <si>
    <t>001-011-000000716</t>
  </si>
  <si>
    <t>001-011-000000834</t>
  </si>
  <si>
    <t>001-011-000000689</t>
  </si>
  <si>
    <t>001-011-000000771</t>
  </si>
  <si>
    <t>CH#17353 MACHALA</t>
  </si>
  <si>
    <t>CH#618 BOLIVARIANO</t>
  </si>
  <si>
    <t>CH#22639 PACIFICO</t>
  </si>
  <si>
    <t>001-011-000000865</t>
  </si>
  <si>
    <t>001-011-000000883</t>
  </si>
  <si>
    <t>001-011-000000864</t>
  </si>
  <si>
    <t>Mes : JUL/2026</t>
  </si>
  <si>
    <t>GUEVARA DELGADO MANUEL</t>
  </si>
  <si>
    <t>001-011-000000910</t>
  </si>
  <si>
    <t>001-011-000000913</t>
  </si>
  <si>
    <t>001-011-000000812</t>
  </si>
  <si>
    <t>001-011-000000880</t>
  </si>
  <si>
    <t>001-011-000000816</t>
  </si>
  <si>
    <t>001-011-000000827</t>
  </si>
  <si>
    <t>001-011-000000889</t>
  </si>
  <si>
    <t>001-011-000000726</t>
  </si>
  <si>
    <t>CH#9167 BOLIVARIANO</t>
  </si>
  <si>
    <t>CH#5322 INTERNACIONAL</t>
  </si>
  <si>
    <t>CH#8125 PICHINCHA</t>
  </si>
  <si>
    <t>CH#3240 INTERNACIONAL</t>
  </si>
  <si>
    <t>CH#17477 MACHALA</t>
  </si>
  <si>
    <t>CH#7009 PICHINCHA</t>
  </si>
  <si>
    <t>CH#13447 GUAYAQUIL</t>
  </si>
  <si>
    <t>001-011-000000946</t>
  </si>
  <si>
    <t>001-011-000000793</t>
  </si>
  <si>
    <t>001-011-000000776</t>
  </si>
  <si>
    <t>001-011-000000825</t>
  </si>
  <si>
    <t>001-011-000000930</t>
  </si>
  <si>
    <t>001-011-000000886</t>
  </si>
  <si>
    <t>001-011-000000890</t>
  </si>
  <si>
    <t>001-011-000000939</t>
  </si>
  <si>
    <t>001-011-000000838</t>
  </si>
  <si>
    <t>001-011-000000875</t>
  </si>
  <si>
    <t>001-011-000000949</t>
  </si>
  <si>
    <t>001-011-000000706</t>
  </si>
  <si>
    <t>001-011-000000708</t>
  </si>
  <si>
    <t>001-011-000000724</t>
  </si>
  <si>
    <t>001-011-000000828</t>
  </si>
  <si>
    <t>001-011-000000760</t>
  </si>
  <si>
    <t>001-011-000000788</t>
  </si>
  <si>
    <t>001-011-000000841</t>
  </si>
  <si>
    <t>001-011-000000850</t>
  </si>
  <si>
    <t>001-011-000000580</t>
  </si>
  <si>
    <t>001-011-000000777</t>
  </si>
  <si>
    <t>001-011-000000780</t>
  </si>
  <si>
    <t>001-011-000000839</t>
  </si>
  <si>
    <t>001-011-000000817</t>
  </si>
  <si>
    <t>001-011-000000820</t>
  </si>
  <si>
    <t>001-011-000000862</t>
  </si>
  <si>
    <t>001-011-000000903</t>
  </si>
  <si>
    <t>001-011-000000770</t>
  </si>
  <si>
    <t>001-011-000000821</t>
  </si>
  <si>
    <t>001-011-000000868</t>
  </si>
  <si>
    <t>001-011-000000669</t>
  </si>
  <si>
    <t>001-011-000000670</t>
  </si>
  <si>
    <t>001-011-000000671</t>
  </si>
  <si>
    <t>001-011-000000869</t>
  </si>
  <si>
    <t>001-011-000000781</t>
  </si>
  <si>
    <t>001-011-000000855</t>
  </si>
  <si>
    <t>001-011-000000867</t>
  </si>
  <si>
    <t>001-011-000000795</t>
  </si>
  <si>
    <t>CH#23375 PICHINCHA</t>
  </si>
  <si>
    <t>Mes : AGO/2026</t>
  </si>
  <si>
    <t>MONJE RODAS MARCO FABIAN</t>
  </si>
  <si>
    <t>CORPORATION AYDCOR'S S.A.S.</t>
  </si>
  <si>
    <t>001-011-000000897</t>
  </si>
  <si>
    <t>001-011-000000677</t>
  </si>
  <si>
    <t>001-011-000000908</t>
  </si>
  <si>
    <t>001-011-000000882</t>
  </si>
  <si>
    <t>001-011-000000978</t>
  </si>
  <si>
    <t>001-011-000000979</t>
  </si>
  <si>
    <t>001-011-000000945</t>
  </si>
  <si>
    <t>001-011-000000892</t>
  </si>
  <si>
    <t>001-011-000000835</t>
  </si>
  <si>
    <t>001-011-000000836</t>
  </si>
  <si>
    <t>001-011-000000888</t>
  </si>
  <si>
    <t>001-011-000000722</t>
  </si>
  <si>
    <t>001-011-000000723</t>
  </si>
  <si>
    <t>001-011-000000931</t>
  </si>
  <si>
    <t>001-011-000000840</t>
  </si>
  <si>
    <t>001-011-000000898</t>
  </si>
  <si>
    <t>001-011-000000943</t>
  </si>
  <si>
    <t>001-011-000000881</t>
  </si>
  <si>
    <t>001-011-000000844</t>
  </si>
  <si>
    <t>001-011-000000852</t>
  </si>
  <si>
    <t>001-011-000000854</t>
  </si>
  <si>
    <t>001-011-000000997</t>
  </si>
  <si>
    <t>CH#17612 DE MACHALA</t>
  </si>
  <si>
    <t>CH#43817 DE BOLIVARIANO</t>
  </si>
  <si>
    <t>CH#43818 DE BOLIVARIANO</t>
  </si>
  <si>
    <t>CH#9214 DE BOLIVARIANO</t>
  </si>
  <si>
    <t>CH#30342 DE BOLIVARIANO</t>
  </si>
  <si>
    <t>CH#3159 DE PACIFICO</t>
  </si>
  <si>
    <t>CH#7039 DE PICHINCHA</t>
  </si>
  <si>
    <t>CH#7048 DE PICHINCHA</t>
  </si>
  <si>
    <t>CH#7055 DE PICHINCHA</t>
  </si>
  <si>
    <t>CH#43884 DE BOLIVARIANO</t>
  </si>
  <si>
    <t>CH#43874 DE BOLIVARIANO</t>
  </si>
  <si>
    <t>CH#43875 DE BOLIVARIANO</t>
  </si>
  <si>
    <t>CH#43876 DE BOLIVARIANO</t>
  </si>
  <si>
    <t>CH#17689 DE MACHALA</t>
  </si>
  <si>
    <t>CH#16188 DE</t>
  </si>
  <si>
    <t>001-011-000000973</t>
  </si>
  <si>
    <t>001-011-000000938</t>
  </si>
  <si>
    <t>001-011-000000940</t>
  </si>
  <si>
    <t>001-011-000000955</t>
  </si>
  <si>
    <t>001-011-000000956</t>
  </si>
  <si>
    <t>001-011-000000986</t>
  </si>
  <si>
    <t>001-011-000000948</t>
  </si>
  <si>
    <t>001-011-000000866</t>
  </si>
  <si>
    <t>001-011-000000941</t>
  </si>
  <si>
    <t>001-011-000000966</t>
  </si>
  <si>
    <t>001-011-000000994</t>
  </si>
  <si>
    <t>001-011-000000909</t>
  </si>
  <si>
    <t>001-011-000000914</t>
  </si>
  <si>
    <t>001-011-000000929</t>
  </si>
  <si>
    <t>001-011-000000967</t>
  </si>
  <si>
    <t>001-011-000000976</t>
  </si>
  <si>
    <t>001-011-000000989</t>
  </si>
  <si>
    <t>001-011-000000990</t>
  </si>
  <si>
    <t>001-011-000001014</t>
  </si>
  <si>
    <t>001-011-000001016</t>
  </si>
  <si>
    <t>ERROR</t>
  </si>
  <si>
    <t>Mes : SEPT/2026</t>
  </si>
  <si>
    <t>001-011-000000896</t>
  </si>
  <si>
    <t>001-011-000000969</t>
  </si>
  <si>
    <t>001-011-000000998</t>
  </si>
  <si>
    <t>001-011-000000810</t>
  </si>
  <si>
    <t>001-011-000000819</t>
  </si>
  <si>
    <t>001-011-000000935</t>
  </si>
  <si>
    <t>001-011-000000961</t>
  </si>
  <si>
    <t>001-011-000001045</t>
  </si>
  <si>
    <t>001-011-000000902</t>
  </si>
  <si>
    <t>001-011-000000872</t>
  </si>
  <si>
    <t>001-011-000001023</t>
  </si>
  <si>
    <t>001-011-000000863</t>
  </si>
  <si>
    <t>001-011-000000932</t>
  </si>
  <si>
    <t>001-011-000000947</t>
  </si>
  <si>
    <t>001-011-000000904</t>
  </si>
  <si>
    <t>001-011-000000905</t>
  </si>
  <si>
    <t>001-011-000001020</t>
  </si>
  <si>
    <t>001-011-000001019</t>
  </si>
  <si>
    <t>001-011-000000861</t>
  </si>
  <si>
    <t>001-011-000000959</t>
  </si>
  <si>
    <t>001-011-000000975</t>
  </si>
  <si>
    <t>001-011-000001006</t>
  </si>
  <si>
    <t>001-011-000000958</t>
  </si>
  <si>
    <t>001-011-000001026</t>
  </si>
  <si>
    <t>CHEQUE #017774 DE MACHALA</t>
  </si>
  <si>
    <t>CHEQUE #017719 DE MACHALA</t>
  </si>
  <si>
    <t>CHEQUE #0009278 DE BOLIVARIANO</t>
  </si>
  <si>
    <t>001-011-000001050</t>
  </si>
  <si>
    <t>001-011-000001051</t>
  </si>
  <si>
    <t>001-011-000001028</t>
  </si>
  <si>
    <t>001-011-000001058</t>
  </si>
  <si>
    <t>001-011-000001001</t>
  </si>
  <si>
    <t>CABRERA ORDOÑEZ LUIS ALBERTO</t>
  </si>
  <si>
    <t>MARCILLO BORJA ZOILA GEORGINA</t>
  </si>
  <si>
    <t>MAYA ESPINOSA ANGEL PATRICIO</t>
  </si>
  <si>
    <t>PROVEEDOR INDUSTRIAL DE ACEROS, PLASTICOS Y EJES CROMADOS PROVEIN S.A.S.</t>
  </si>
  <si>
    <t>IMPORTADORA SAGAR IMSAGAR CIA.LTDA.</t>
  </si>
  <si>
    <t>FLOR GAVILANES JUAN JOSE</t>
  </si>
  <si>
    <t>AGUIRRE MARTINEZ MILTON JAVIER</t>
  </si>
  <si>
    <t>REPREMARVA CIA. LTDA.</t>
  </si>
  <si>
    <t>TULCAN</t>
  </si>
  <si>
    <t>001-011-000000952</t>
  </si>
  <si>
    <t>001-011-000000878</t>
  </si>
  <si>
    <t>001-011-000000988</t>
  </si>
  <si>
    <t>001-011-000000981</t>
  </si>
  <si>
    <t>001-011-000001053</t>
  </si>
  <si>
    <t>001-011-000000982</t>
  </si>
  <si>
    <t>001-011-000000962</t>
  </si>
  <si>
    <t>001-011-000001018</t>
  </si>
  <si>
    <t>001-011-000001002</t>
  </si>
  <si>
    <t>001-011-000000848</t>
  </si>
  <si>
    <t>001-011-000000762</t>
  </si>
  <si>
    <t>001-011-000000885</t>
  </si>
  <si>
    <t>CHEQUE #010415 DE PICHINCHA</t>
  </si>
  <si>
    <t>001-011-0000001042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</si>
</sst>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dd/mm/yy;@"/>
    <numFmt numFmtId="166" formatCode="#,##0.00_ ;[Red]\-#,##0.00\ "/>
    <numFmt numFmtId="167" formatCode="0.00_ ;[Red]\-0.00\ "/>
    <numFmt numFmtId="168" formatCode="dd/mm/yyyy;@"/>
    <numFmt numFmtId="169" formatCode="d/m/yy;@"/>
  </numFmts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1"/>
      <color theme="1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2"/>
      <color rgb="FFFF0000"/>
      <name val="Bookman Old Style"/>
      <family val="1"/>
    </font>
    <font>
      <b/>
      <sz val="12"/>
      <name val="Bookman Old Style"/>
      <family val="1"/>
    </font>
    <font>
      <sz val="12"/>
      <name val="Bookman Old Style"/>
      <family val="1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0.5"/>
      <color rgb="FF222222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11"/>
      <color theme="1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b/>
      <sz val="9"/>
      <color theme="1"/>
      <name val="Arial"/>
      <family val="2"/>
    </font>
    <font>
      <sz val="12"/>
      <name val="Arial"/>
      <family val="2"/>
      <charset val="1"/>
    </font>
    <font>
      <sz val="12"/>
      <color theme="1"/>
      <name val="Arial"/>
      <family val="2"/>
      <charset val="1"/>
    </font>
    <font>
      <sz val="10"/>
      <name val="Arial"/>
      <family val="2"/>
      <charset val="1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25" fillId="0" borderId="0"/>
  </cellStyleXfs>
  <cellXfs count="429">
    <xf numFmtId="0" fontId="0" fillId="0" borderId="0" xfId="0"/>
    <xf numFmtId="4" fontId="16" fillId="2" borderId="0" xfId="0" applyNumberFormat="1" applyFont="1" applyFill="1"/>
    <xf numFmtId="0" fontId="10" fillId="2" borderId="3" xfId="1" applyFont="1" applyFill="1" applyBorder="1"/>
    <xf numFmtId="0" fontId="10" fillId="2" borderId="3" xfId="1" applyFont="1" applyFill="1" applyBorder="1" applyAlignment="1">
      <alignment horizontal="center"/>
    </xf>
    <xf numFmtId="4" fontId="10" fillId="2" borderId="3" xfId="1" applyNumberFormat="1" applyFont="1" applyFill="1" applyBorder="1" applyAlignment="1">
      <alignment horizontal="right"/>
    </xf>
    <xf numFmtId="164" fontId="1" fillId="2" borderId="3" xfId="0" applyNumberFormat="1" applyFont="1" applyFill="1" applyBorder="1"/>
    <xf numFmtId="4" fontId="1" fillId="2" borderId="3" xfId="0" applyNumberFormat="1" applyFont="1" applyFill="1" applyBorder="1"/>
    <xf numFmtId="0" fontId="1" fillId="2" borderId="0" xfId="1" applyFill="1"/>
    <xf numFmtId="4" fontId="1" fillId="2" borderId="0" xfId="1" applyNumberFormat="1" applyFill="1"/>
    <xf numFmtId="4" fontId="10" fillId="2" borderId="7" xfId="1" applyNumberFormat="1" applyFont="1" applyFill="1" applyBorder="1"/>
    <xf numFmtId="4" fontId="10" fillId="2" borderId="7" xfId="1" applyNumberFormat="1" applyFont="1" applyFill="1" applyBorder="1" applyAlignment="1">
      <alignment horizontal="right"/>
    </xf>
    <xf numFmtId="0" fontId="7" fillId="2" borderId="3" xfId="0" applyFont="1" applyFill="1" applyBorder="1" applyAlignment="1">
      <alignment horizontal="center"/>
    </xf>
    <xf numFmtId="4" fontId="7" fillId="2" borderId="5" xfId="0" applyNumberFormat="1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4" fontId="7" fillId="2" borderId="7" xfId="0" applyNumberFormat="1" applyFont="1" applyFill="1" applyBorder="1" applyAlignment="1">
      <alignment horizontal="center"/>
    </xf>
    <xf numFmtId="2" fontId="1" fillId="2" borderId="0" xfId="1" applyNumberFormat="1" applyFill="1"/>
    <xf numFmtId="4" fontId="12" fillId="2" borderId="0" xfId="1" applyNumberFormat="1" applyFont="1" applyFill="1"/>
    <xf numFmtId="0" fontId="7" fillId="2" borderId="0" xfId="1" applyFont="1" applyFill="1"/>
    <xf numFmtId="0" fontId="7" fillId="2" borderId="0" xfId="1" applyFont="1" applyFill="1" applyAlignment="1">
      <alignment horizontal="center"/>
    </xf>
    <xf numFmtId="0" fontId="1" fillId="2" borderId="0" xfId="1" applyFill="1" applyAlignment="1">
      <alignment horizontal="center"/>
    </xf>
    <xf numFmtId="164" fontId="4" fillId="2" borderId="0" xfId="0" applyNumberFormat="1" applyFont="1" applyFill="1"/>
    <xf numFmtId="4" fontId="12" fillId="2" borderId="12" xfId="1" applyNumberFormat="1" applyFont="1" applyFill="1" applyBorder="1"/>
    <xf numFmtId="0" fontId="9" fillId="2" borderId="0" xfId="1" applyFont="1" applyFill="1"/>
    <xf numFmtId="4" fontId="12" fillId="2" borderId="5" xfId="1" applyNumberFormat="1" applyFont="1" applyFill="1" applyBorder="1"/>
    <xf numFmtId="4" fontId="2" fillId="2" borderId="0" xfId="0" applyNumberFormat="1" applyFont="1" applyFill="1"/>
    <xf numFmtId="0" fontId="2" fillId="2" borderId="0" xfId="0" applyFont="1" applyFill="1"/>
    <xf numFmtId="0" fontId="3" fillId="2" borderId="0" xfId="1" applyFont="1" applyFill="1" applyAlignment="1">
      <alignment horizontal="right"/>
    </xf>
    <xf numFmtId="0" fontId="3" fillId="2" borderId="0" xfId="1" applyFont="1" applyFill="1"/>
    <xf numFmtId="164" fontId="3" fillId="2" borderId="0" xfId="1" applyNumberFormat="1" applyFont="1" applyFill="1"/>
    <xf numFmtId="4" fontId="3" fillId="2" borderId="0" xfId="1" applyNumberFormat="1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4" fontId="3" fillId="2" borderId="0" xfId="0" applyNumberFormat="1" applyFont="1" applyFill="1"/>
    <xf numFmtId="0" fontId="3" fillId="2" borderId="0" xfId="0" applyFont="1" applyFill="1"/>
    <xf numFmtId="0" fontId="5" fillId="2" borderId="0" xfId="0" applyFont="1" applyFill="1"/>
    <xf numFmtId="4" fontId="2" fillId="2" borderId="1" xfId="0" applyNumberFormat="1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center"/>
    </xf>
    <xf numFmtId="4" fontId="9" fillId="2" borderId="0" xfId="1" applyNumberFormat="1" applyFont="1" applyFill="1"/>
    <xf numFmtId="4" fontId="9" fillId="2" borderId="12" xfId="1" applyNumberFormat="1" applyFont="1" applyFill="1" applyBorder="1"/>
    <xf numFmtId="0" fontId="8" fillId="2" borderId="0" xfId="1" applyFont="1" applyFill="1"/>
    <xf numFmtId="164" fontId="2" fillId="2" borderId="2" xfId="0" applyNumberFormat="1" applyFont="1" applyFill="1" applyBorder="1" applyAlignment="1">
      <alignment horizontal="center"/>
    </xf>
    <xf numFmtId="0" fontId="1" fillId="2" borderId="3" xfId="1" applyFill="1" applyBorder="1"/>
    <xf numFmtId="0" fontId="17" fillId="2" borderId="3" xfId="1" applyFont="1" applyFill="1" applyBorder="1"/>
    <xf numFmtId="0" fontId="17" fillId="2" borderId="3" xfId="1" applyFont="1" applyFill="1" applyBorder="1" applyAlignment="1">
      <alignment horizontal="center"/>
    </xf>
    <xf numFmtId="4" fontId="17" fillId="2" borderId="3" xfId="1" applyNumberFormat="1" applyFont="1" applyFill="1" applyBorder="1" applyAlignment="1">
      <alignment horizontal="right"/>
    </xf>
    <xf numFmtId="4" fontId="17" fillId="2" borderId="7" xfId="1" applyNumberFormat="1" applyFont="1" applyFill="1" applyBorder="1"/>
    <xf numFmtId="4" fontId="17" fillId="2" borderId="7" xfId="1" applyNumberFormat="1" applyFont="1" applyFill="1" applyBorder="1" applyAlignment="1">
      <alignment horizontal="right"/>
    </xf>
    <xf numFmtId="3" fontId="16" fillId="2" borderId="3" xfId="0" applyNumberFormat="1" applyFont="1" applyFill="1" applyBorder="1"/>
    <xf numFmtId="164" fontId="16" fillId="2" borderId="3" xfId="0" applyNumberFormat="1" applyFont="1" applyFill="1" applyBorder="1"/>
    <xf numFmtId="4" fontId="16" fillId="2" borderId="3" xfId="0" applyNumberFormat="1" applyFont="1" applyFill="1" applyBorder="1"/>
    <xf numFmtId="4" fontId="16" fillId="2" borderId="3" xfId="1" applyNumberFormat="1" applyFont="1" applyFill="1" applyBorder="1"/>
    <xf numFmtId="0" fontId="16" fillId="2" borderId="3" xfId="1" applyFont="1" applyFill="1" applyBorder="1"/>
    <xf numFmtId="0" fontId="16" fillId="2" borderId="0" xfId="1" applyFont="1" applyFill="1"/>
    <xf numFmtId="4" fontId="16" fillId="2" borderId="2" xfId="0" applyNumberFormat="1" applyFont="1" applyFill="1" applyBorder="1"/>
    <xf numFmtId="0" fontId="7" fillId="2" borderId="4" xfId="0" applyFont="1" applyFill="1" applyBorder="1" applyAlignment="1">
      <alignment horizontal="center"/>
    </xf>
    <xf numFmtId="0" fontId="13" fillId="2" borderId="3" xfId="1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3" fontId="7" fillId="2" borderId="7" xfId="0" applyNumberFormat="1" applyFont="1" applyFill="1" applyBorder="1" applyAlignment="1">
      <alignment horizontal="center"/>
    </xf>
    <xf numFmtId="164" fontId="7" fillId="2" borderId="7" xfId="0" applyNumberFormat="1" applyFont="1" applyFill="1" applyBorder="1" applyAlignment="1">
      <alignment horizontal="center"/>
    </xf>
    <xf numFmtId="3" fontId="1" fillId="2" borderId="0" xfId="1" applyNumberFormat="1" applyFill="1" applyAlignment="1">
      <alignment horizontal="right"/>
    </xf>
    <xf numFmtId="3" fontId="16" fillId="2" borderId="0" xfId="1" applyNumberFormat="1" applyFont="1" applyFill="1" applyAlignment="1">
      <alignment horizontal="right"/>
    </xf>
    <xf numFmtId="165" fontId="10" fillId="2" borderId="3" xfId="1" applyNumberFormat="1" applyFont="1" applyFill="1" applyBorder="1" applyAlignment="1">
      <alignment horizontal="center"/>
    </xf>
    <xf numFmtId="4" fontId="7" fillId="2" borderId="3" xfId="0" applyNumberFormat="1" applyFont="1" applyFill="1" applyBorder="1" applyAlignment="1">
      <alignment horizontal="center"/>
    </xf>
    <xf numFmtId="165" fontId="1" fillId="2" borderId="0" xfId="1" applyNumberFormat="1" applyFill="1"/>
    <xf numFmtId="165" fontId="2" fillId="2" borderId="0" xfId="0" applyNumberFormat="1" applyFont="1" applyFill="1" applyAlignment="1">
      <alignment horizontal="center"/>
    </xf>
    <xf numFmtId="165" fontId="3" fillId="2" borderId="0" xfId="0" applyNumberFormat="1" applyFont="1" applyFill="1"/>
    <xf numFmtId="165" fontId="7" fillId="2" borderId="3" xfId="0" applyNumberFormat="1" applyFont="1" applyFill="1" applyBorder="1" applyAlignment="1">
      <alignment horizontal="center"/>
    </xf>
    <xf numFmtId="165" fontId="1" fillId="2" borderId="0" xfId="1" applyNumberFormat="1" applyFill="1" applyAlignment="1">
      <alignment horizontal="center"/>
    </xf>
    <xf numFmtId="165" fontId="17" fillId="2" borderId="3" xfId="1" applyNumberFormat="1" applyFont="1" applyFill="1" applyBorder="1" applyAlignment="1">
      <alignment horizontal="center"/>
    </xf>
    <xf numFmtId="165" fontId="2" fillId="2" borderId="0" xfId="0" applyNumberFormat="1" applyFont="1" applyFill="1"/>
    <xf numFmtId="165" fontId="6" fillId="2" borderId="3" xfId="0" applyNumberFormat="1" applyFont="1" applyFill="1" applyBorder="1" applyAlignment="1">
      <alignment horizontal="left"/>
    </xf>
    <xf numFmtId="165" fontId="10" fillId="2" borderId="7" xfId="1" applyNumberFormat="1" applyFont="1" applyFill="1" applyBorder="1" applyAlignment="1">
      <alignment horizontal="center"/>
    </xf>
    <xf numFmtId="165" fontId="17" fillId="2" borderId="7" xfId="1" applyNumberFormat="1" applyFont="1" applyFill="1" applyBorder="1" applyAlignment="1">
      <alignment horizontal="center"/>
    </xf>
    <xf numFmtId="165" fontId="14" fillId="2" borderId="0" xfId="0" applyNumberFormat="1" applyFont="1" applyFill="1" applyAlignment="1">
      <alignment vertical="center"/>
    </xf>
    <xf numFmtId="3" fontId="16" fillId="2" borderId="0" xfId="0" applyNumberFormat="1" applyFont="1" applyFill="1" applyAlignment="1">
      <alignment horizontal="right"/>
    </xf>
    <xf numFmtId="4" fontId="18" fillId="2" borderId="9" xfId="1" applyNumberFormat="1" applyFont="1" applyFill="1" applyBorder="1"/>
    <xf numFmtId="0" fontId="16" fillId="2" borderId="0" xfId="1" applyFont="1" applyFill="1" applyAlignment="1">
      <alignment horizontal="center"/>
    </xf>
    <xf numFmtId="165" fontId="16" fillId="2" borderId="0" xfId="1" applyNumberFormat="1" applyFont="1" applyFill="1" applyAlignment="1">
      <alignment horizontal="center"/>
    </xf>
    <xf numFmtId="4" fontId="16" fillId="2" borderId="0" xfId="1" applyNumberFormat="1" applyFont="1" applyFill="1"/>
    <xf numFmtId="165" fontId="16" fillId="2" borderId="0" xfId="1" applyNumberFormat="1" applyFont="1" applyFill="1"/>
    <xf numFmtId="0" fontId="19" fillId="2" borderId="9" xfId="1" applyFont="1" applyFill="1" applyBorder="1"/>
    <xf numFmtId="165" fontId="19" fillId="2" borderId="9" xfId="1" applyNumberFormat="1" applyFont="1" applyFill="1" applyBorder="1"/>
    <xf numFmtId="0" fontId="19" fillId="2" borderId="0" xfId="1" applyFont="1" applyFill="1"/>
    <xf numFmtId="0" fontId="20" fillId="2" borderId="3" xfId="0" applyFont="1" applyFill="1" applyBorder="1" applyAlignment="1">
      <alignment horizontal="left" wrapText="1" readingOrder="1"/>
    </xf>
    <xf numFmtId="165" fontId="13" fillId="2" borderId="3" xfId="1" applyNumberFormat="1" applyFont="1" applyFill="1" applyBorder="1" applyAlignment="1">
      <alignment horizontal="center"/>
    </xf>
    <xf numFmtId="165" fontId="20" fillId="2" borderId="3" xfId="0" applyNumberFormat="1" applyFont="1" applyFill="1" applyBorder="1" applyAlignment="1">
      <alignment horizontal="center" wrapText="1" readingOrder="1"/>
    </xf>
    <xf numFmtId="4" fontId="20" fillId="2" borderId="3" xfId="0" applyNumberFormat="1" applyFont="1" applyFill="1" applyBorder="1" applyAlignment="1">
      <alignment horizontal="right" wrapText="1" readingOrder="1"/>
    </xf>
    <xf numFmtId="4" fontId="20" fillId="2" borderId="7" xfId="0" applyNumberFormat="1" applyFont="1" applyFill="1" applyBorder="1" applyAlignment="1">
      <alignment horizontal="right" wrapText="1" readingOrder="1"/>
    </xf>
    <xf numFmtId="165" fontId="13" fillId="2" borderId="3" xfId="0" applyNumberFormat="1" applyFont="1" applyFill="1" applyBorder="1" applyAlignment="1">
      <alignment horizontal="center" wrapText="1" readingOrder="1"/>
    </xf>
    <xf numFmtId="165" fontId="13" fillId="2" borderId="7" xfId="1" applyNumberFormat="1" applyFont="1" applyFill="1" applyBorder="1" applyAlignment="1">
      <alignment horizontal="center"/>
    </xf>
    <xf numFmtId="4" fontId="13" fillId="2" borderId="3" xfId="1" applyNumberFormat="1" applyFont="1" applyFill="1" applyBorder="1"/>
    <xf numFmtId="0" fontId="13" fillId="2" borderId="3" xfId="0" applyFont="1" applyFill="1" applyBorder="1" applyAlignment="1">
      <alignment horizontal="left" wrapText="1" readingOrder="1"/>
    </xf>
    <xf numFmtId="4" fontId="13" fillId="2" borderId="3" xfId="0" applyNumberFormat="1" applyFont="1" applyFill="1" applyBorder="1" applyAlignment="1">
      <alignment horizontal="right" wrapText="1" readingOrder="1"/>
    </xf>
    <xf numFmtId="0" fontId="13" fillId="2" borderId="3" xfId="0" applyFont="1" applyFill="1" applyBorder="1" applyAlignment="1">
      <alignment horizontal="center" wrapText="1" readingOrder="1"/>
    </xf>
    <xf numFmtId="4" fontId="11" fillId="2" borderId="7" xfId="1" applyNumberFormat="1" applyFont="1" applyFill="1" applyBorder="1"/>
    <xf numFmtId="0" fontId="20" fillId="2" borderId="3" xfId="0" applyFont="1" applyFill="1" applyBorder="1" applyAlignment="1">
      <alignment horizontal="center" wrapText="1" readingOrder="1"/>
    </xf>
    <xf numFmtId="4" fontId="13" fillId="2" borderId="7" xfId="1" applyNumberFormat="1" applyFont="1" applyFill="1" applyBorder="1"/>
    <xf numFmtId="0" fontId="20" fillId="3" borderId="3" xfId="0" applyFont="1" applyFill="1" applyBorder="1" applyAlignment="1">
      <alignment horizontal="left" wrapText="1" readingOrder="1"/>
    </xf>
    <xf numFmtId="0" fontId="20" fillId="3" borderId="3" xfId="0" applyFont="1" applyFill="1" applyBorder="1" applyAlignment="1">
      <alignment horizontal="center" wrapText="1" readingOrder="1"/>
    </xf>
    <xf numFmtId="4" fontId="20" fillId="3" borderId="3" xfId="0" applyNumberFormat="1" applyFont="1" applyFill="1" applyBorder="1" applyAlignment="1">
      <alignment horizontal="right" wrapText="1" readingOrder="1"/>
    </xf>
    <xf numFmtId="0" fontId="1" fillId="2" borderId="3" xfId="1" applyFill="1" applyBorder="1" applyAlignment="1">
      <alignment horizontal="center"/>
    </xf>
    <xf numFmtId="0" fontId="13" fillId="2" borderId="3" xfId="0" applyFont="1" applyFill="1" applyBorder="1"/>
    <xf numFmtId="0" fontId="13" fillId="2" borderId="3" xfId="0" applyFont="1" applyFill="1" applyBorder="1" applyAlignment="1">
      <alignment horizontal="center"/>
    </xf>
    <xf numFmtId="0" fontId="13" fillId="2" borderId="0" xfId="0" applyFont="1" applyFill="1"/>
    <xf numFmtId="4" fontId="13" fillId="2" borderId="7" xfId="0" applyNumberFormat="1" applyFont="1" applyFill="1" applyBorder="1" applyAlignment="1">
      <alignment horizontal="right" wrapText="1" readingOrder="1"/>
    </xf>
    <xf numFmtId="165" fontId="13" fillId="2" borderId="3" xfId="0" applyNumberFormat="1" applyFont="1" applyFill="1" applyBorder="1" applyAlignment="1">
      <alignment horizontal="center"/>
    </xf>
    <xf numFmtId="165" fontId="13" fillId="2" borderId="7" xfId="0" applyNumberFormat="1" applyFont="1" applyFill="1" applyBorder="1" applyAlignment="1">
      <alignment horizontal="center"/>
    </xf>
    <xf numFmtId="0" fontId="13" fillId="2" borderId="8" xfId="1" applyFont="1" applyFill="1" applyBorder="1" applyAlignment="1">
      <alignment horizontal="center"/>
    </xf>
    <xf numFmtId="165" fontId="20" fillId="2" borderId="6" xfId="0" applyNumberFormat="1" applyFont="1" applyFill="1" applyBorder="1" applyAlignment="1">
      <alignment horizontal="center" wrapText="1" readingOrder="1"/>
    </xf>
    <xf numFmtId="165" fontId="20" fillId="3" borderId="3" xfId="0" applyNumberFormat="1" applyFont="1" applyFill="1" applyBorder="1" applyAlignment="1">
      <alignment horizontal="center" wrapText="1" readingOrder="1"/>
    </xf>
    <xf numFmtId="165" fontId="13" fillId="3" borderId="7" xfId="0" applyNumberFormat="1" applyFont="1" applyFill="1" applyBorder="1" applyAlignment="1">
      <alignment horizontal="center"/>
    </xf>
    <xf numFmtId="0" fontId="11" fillId="2" borderId="8" xfId="1" applyFont="1" applyFill="1" applyBorder="1" applyAlignment="1">
      <alignment horizontal="center"/>
    </xf>
    <xf numFmtId="0" fontId="20" fillId="2" borderId="4" xfId="0" applyFont="1" applyFill="1" applyBorder="1" applyAlignment="1">
      <alignment horizontal="left" wrapText="1" readingOrder="1"/>
    </xf>
    <xf numFmtId="0" fontId="13" fillId="2" borderId="6" xfId="1" applyFont="1" applyFill="1" applyBorder="1" applyAlignment="1">
      <alignment horizontal="center"/>
    </xf>
    <xf numFmtId="165" fontId="20" fillId="2" borderId="7" xfId="0" applyNumberFormat="1" applyFont="1" applyFill="1" applyBorder="1" applyAlignment="1">
      <alignment horizontal="center" wrapText="1" readingOrder="1"/>
    </xf>
    <xf numFmtId="0" fontId="21" fillId="2" borderId="3" xfId="0" applyFont="1" applyFill="1" applyBorder="1" applyAlignment="1">
      <alignment horizontal="left" wrapText="1" readingOrder="1"/>
    </xf>
    <xf numFmtId="0" fontId="16" fillId="2" borderId="3" xfId="1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 wrapText="1" readingOrder="1"/>
    </xf>
    <xf numFmtId="165" fontId="21" fillId="2" borderId="3" xfId="0" applyNumberFormat="1" applyFont="1" applyFill="1" applyBorder="1" applyAlignment="1">
      <alignment horizontal="center" wrapText="1" readingOrder="1"/>
    </xf>
    <xf numFmtId="4" fontId="21" fillId="2" borderId="3" xfId="0" applyNumberFormat="1" applyFont="1" applyFill="1" applyBorder="1" applyAlignment="1">
      <alignment horizontal="right" wrapText="1" readingOrder="1"/>
    </xf>
    <xf numFmtId="4" fontId="1" fillId="2" borderId="7" xfId="1" applyNumberFormat="1" applyFill="1" applyBorder="1"/>
    <xf numFmtId="165" fontId="16" fillId="2" borderId="3" xfId="0" applyNumberFormat="1" applyFont="1" applyFill="1" applyBorder="1" applyAlignment="1">
      <alignment horizontal="center"/>
    </xf>
    <xf numFmtId="165" fontId="16" fillId="2" borderId="3" xfId="1" applyNumberFormat="1" applyFont="1" applyFill="1" applyBorder="1" applyAlignment="1">
      <alignment horizontal="center"/>
    </xf>
    <xf numFmtId="4" fontId="16" fillId="2" borderId="3" xfId="1" applyNumberFormat="1" applyFont="1" applyFill="1" applyBorder="1" applyAlignment="1">
      <alignment horizontal="right"/>
    </xf>
    <xf numFmtId="4" fontId="16" fillId="2" borderId="7" xfId="1" applyNumberFormat="1" applyFont="1" applyFill="1" applyBorder="1"/>
    <xf numFmtId="4" fontId="16" fillId="2" borderId="7" xfId="1" applyNumberFormat="1" applyFont="1" applyFill="1" applyBorder="1" applyAlignment="1">
      <alignment horizontal="right"/>
    </xf>
    <xf numFmtId="165" fontId="16" fillId="2" borderId="7" xfId="1" applyNumberFormat="1" applyFont="1" applyFill="1" applyBorder="1" applyAlignment="1">
      <alignment horizontal="center"/>
    </xf>
    <xf numFmtId="0" fontId="21" fillId="2" borderId="3" xfId="0" applyFont="1" applyFill="1" applyBorder="1" applyAlignment="1">
      <alignment readingOrder="1"/>
    </xf>
    <xf numFmtId="0" fontId="21" fillId="2" borderId="3" xfId="0" applyFont="1" applyFill="1" applyBorder="1" applyAlignment="1">
      <alignment horizontal="left" readingOrder="1"/>
    </xf>
    <xf numFmtId="0" fontId="16" fillId="2" borderId="3" xfId="0" applyFont="1" applyFill="1" applyBorder="1" applyAlignment="1">
      <alignment horizontal="left" wrapText="1" readingOrder="1"/>
    </xf>
    <xf numFmtId="0" fontId="16" fillId="2" borderId="3" xfId="0" applyFont="1" applyFill="1" applyBorder="1"/>
    <xf numFmtId="0" fontId="16" fillId="2" borderId="3" xfId="0" applyFont="1" applyFill="1" applyBorder="1" applyAlignment="1">
      <alignment horizontal="center" wrapText="1" readingOrder="1"/>
    </xf>
    <xf numFmtId="165" fontId="16" fillId="2" borderId="3" xfId="0" applyNumberFormat="1" applyFont="1" applyFill="1" applyBorder="1" applyAlignment="1">
      <alignment horizontal="center" wrapText="1" readingOrder="1"/>
    </xf>
    <xf numFmtId="4" fontId="16" fillId="2" borderId="3" xfId="0" applyNumberFormat="1" applyFont="1" applyFill="1" applyBorder="1" applyAlignment="1">
      <alignment horizontal="right" wrapText="1" readingOrder="1"/>
    </xf>
    <xf numFmtId="165" fontId="16" fillId="2" borderId="7" xfId="0" applyNumberFormat="1" applyFont="1" applyFill="1" applyBorder="1" applyAlignment="1">
      <alignment horizontal="center"/>
    </xf>
    <xf numFmtId="0" fontId="16" fillId="2" borderId="6" xfId="1" applyFont="1" applyFill="1" applyBorder="1" applyAlignment="1">
      <alignment horizontal="center"/>
    </xf>
    <xf numFmtId="0" fontId="16" fillId="2" borderId="8" xfId="1" applyFont="1" applyFill="1" applyBorder="1" applyAlignment="1">
      <alignment horizontal="center"/>
    </xf>
    <xf numFmtId="0" fontId="1" fillId="2" borderId="8" xfId="1" applyFill="1" applyBorder="1" applyAlignment="1">
      <alignment horizontal="center"/>
    </xf>
    <xf numFmtId="165" fontId="1" fillId="2" borderId="3" xfId="1" applyNumberFormat="1" applyFill="1" applyBorder="1" applyAlignment="1">
      <alignment horizontal="center"/>
    </xf>
    <xf numFmtId="4" fontId="1" fillId="2" borderId="3" xfId="1" applyNumberFormat="1" applyFill="1" applyBorder="1" applyAlignment="1">
      <alignment horizontal="right"/>
    </xf>
    <xf numFmtId="4" fontId="1" fillId="2" borderId="7" xfId="1" applyNumberFormat="1" applyFill="1" applyBorder="1" applyAlignment="1">
      <alignment horizontal="right"/>
    </xf>
    <xf numFmtId="0" fontId="16" fillId="2" borderId="3" xfId="0" applyFont="1" applyFill="1" applyBorder="1" applyAlignment="1">
      <alignment horizontal="center"/>
    </xf>
    <xf numFmtId="0" fontId="16" fillId="2" borderId="0" xfId="0" applyFont="1" applyFill="1" applyAlignment="1">
      <alignment horizontal="center"/>
    </xf>
    <xf numFmtId="165" fontId="21" fillId="3" borderId="3" xfId="0" applyNumberFormat="1" applyFont="1" applyFill="1" applyBorder="1" applyAlignment="1">
      <alignment horizontal="center" wrapText="1" readingOrder="1"/>
    </xf>
    <xf numFmtId="4" fontId="21" fillId="3" borderId="3" xfId="0" applyNumberFormat="1" applyFont="1" applyFill="1" applyBorder="1" applyAlignment="1">
      <alignment horizontal="right" wrapText="1" readingOrder="1"/>
    </xf>
    <xf numFmtId="165" fontId="16" fillId="3" borderId="7" xfId="0" applyNumberFormat="1" applyFont="1" applyFill="1" applyBorder="1" applyAlignment="1">
      <alignment horizontal="center"/>
    </xf>
    <xf numFmtId="0" fontId="21" fillId="3" borderId="3" xfId="0" applyFont="1" applyFill="1" applyBorder="1" applyAlignment="1">
      <alignment horizontal="center" wrapText="1" readingOrder="1"/>
    </xf>
    <xf numFmtId="0" fontId="21" fillId="3" borderId="3" xfId="0" applyFont="1" applyFill="1" applyBorder="1" applyAlignment="1">
      <alignment horizontal="left" wrapText="1" readingOrder="1"/>
    </xf>
    <xf numFmtId="165" fontId="16" fillId="2" borderId="7" xfId="0" applyNumberFormat="1" applyFont="1" applyFill="1" applyBorder="1" applyAlignment="1">
      <alignment horizontal="center" wrapText="1" readingOrder="1"/>
    </xf>
    <xf numFmtId="165" fontId="1" fillId="2" borderId="7" xfId="1" applyNumberFormat="1" applyFill="1" applyBorder="1" applyAlignment="1">
      <alignment horizontal="center"/>
    </xf>
    <xf numFmtId="165" fontId="16" fillId="3" borderId="3" xfId="0" applyNumberFormat="1" applyFont="1" applyFill="1" applyBorder="1" applyAlignment="1">
      <alignment horizontal="center"/>
    </xf>
    <xf numFmtId="165" fontId="21" fillId="3" borderId="7" xfId="0" applyNumberFormat="1" applyFont="1" applyFill="1" applyBorder="1" applyAlignment="1">
      <alignment horizontal="center" wrapText="1" readingOrder="1"/>
    </xf>
    <xf numFmtId="0" fontId="13" fillId="2" borderId="2" xfId="0" applyFont="1" applyFill="1" applyBorder="1" applyAlignment="1">
      <alignment horizontal="left" wrapText="1" readingOrder="1"/>
    </xf>
    <xf numFmtId="0" fontId="13" fillId="2" borderId="2" xfId="0" applyFont="1" applyFill="1" applyBorder="1"/>
    <xf numFmtId="0" fontId="13" fillId="2" borderId="2" xfId="0" applyFont="1" applyFill="1" applyBorder="1" applyAlignment="1">
      <alignment horizontal="center" wrapText="1" readingOrder="1"/>
    </xf>
    <xf numFmtId="165" fontId="13" fillId="2" borderId="2" xfId="0" applyNumberFormat="1" applyFont="1" applyFill="1" applyBorder="1" applyAlignment="1">
      <alignment horizontal="center" wrapText="1" readingOrder="1"/>
    </xf>
    <xf numFmtId="4" fontId="13" fillId="2" borderId="2" xfId="0" applyNumberFormat="1" applyFont="1" applyFill="1" applyBorder="1" applyAlignment="1">
      <alignment horizontal="right" wrapText="1" readingOrder="1"/>
    </xf>
    <xf numFmtId="0" fontId="13" fillId="2" borderId="7" xfId="0" applyFont="1" applyFill="1" applyBorder="1"/>
    <xf numFmtId="0" fontId="20" fillId="2" borderId="8" xfId="0" applyFont="1" applyFill="1" applyBorder="1" applyAlignment="1">
      <alignment horizontal="center" wrapText="1" readingOrder="1"/>
    </xf>
    <xf numFmtId="0" fontId="13" fillId="2" borderId="10" xfId="1" applyFont="1" applyFill="1" applyBorder="1" applyAlignment="1">
      <alignment horizontal="center"/>
    </xf>
    <xf numFmtId="0" fontId="13" fillId="2" borderId="7" xfId="1" applyFont="1" applyFill="1" applyBorder="1" applyAlignment="1">
      <alignment horizontal="center"/>
    </xf>
    <xf numFmtId="0" fontId="13" fillId="2" borderId="11" xfId="1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165" fontId="15" fillId="2" borderId="3" xfId="0" applyNumberFormat="1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/>
    </xf>
    <xf numFmtId="4" fontId="15" fillId="2" borderId="5" xfId="0" applyNumberFormat="1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/>
    </xf>
    <xf numFmtId="165" fontId="22" fillId="2" borderId="3" xfId="0" applyNumberFormat="1" applyFont="1" applyFill="1" applyBorder="1" applyAlignment="1">
      <alignment horizontal="left"/>
    </xf>
    <xf numFmtId="4" fontId="15" fillId="2" borderId="7" xfId="0" applyNumberFormat="1" applyFont="1" applyFill="1" applyBorder="1" applyAlignment="1">
      <alignment horizontal="center"/>
    </xf>
    <xf numFmtId="3" fontId="15" fillId="2" borderId="7" xfId="0" applyNumberFormat="1" applyFont="1" applyFill="1" applyBorder="1" applyAlignment="1">
      <alignment horizontal="center"/>
    </xf>
    <xf numFmtId="164" fontId="15" fillId="2" borderId="7" xfId="0" applyNumberFormat="1" applyFont="1" applyFill="1" applyBorder="1" applyAlignment="1">
      <alignment horizontal="center"/>
    </xf>
    <xf numFmtId="0" fontId="23" fillId="2" borderId="3" xfId="0" applyFont="1" applyFill="1" applyBorder="1"/>
    <xf numFmtId="165" fontId="23" fillId="2" borderId="3" xfId="0" applyNumberFormat="1" applyFont="1" applyFill="1" applyBorder="1" applyAlignment="1">
      <alignment horizontal="center"/>
    </xf>
    <xf numFmtId="0" fontId="24" fillId="2" borderId="3" xfId="0" applyFont="1" applyFill="1" applyBorder="1"/>
    <xf numFmtId="165" fontId="24" fillId="2" borderId="3" xfId="0" applyNumberFormat="1" applyFont="1" applyFill="1" applyBorder="1" applyAlignment="1">
      <alignment horizontal="center"/>
    </xf>
    <xf numFmtId="2" fontId="13" fillId="2" borderId="3" xfId="0" applyNumberFormat="1" applyFont="1" applyFill="1" applyBorder="1" applyAlignment="1">
      <alignment horizontal="right" wrapText="1" readingOrder="1"/>
    </xf>
    <xf numFmtId="2" fontId="13" fillId="2" borderId="3" xfId="1" applyNumberFormat="1" applyFont="1" applyFill="1" applyBorder="1"/>
    <xf numFmtId="2" fontId="16" fillId="2" borderId="3" xfId="1" applyNumberFormat="1" applyFont="1" applyFill="1" applyBorder="1"/>
    <xf numFmtId="2" fontId="16" fillId="2" borderId="3" xfId="0" applyNumberFormat="1" applyFont="1" applyFill="1" applyBorder="1"/>
    <xf numFmtId="166" fontId="23" fillId="2" borderId="3" xfId="0" applyNumberFormat="1" applyFont="1" applyFill="1" applyBorder="1"/>
    <xf numFmtId="166" fontId="13" fillId="2" borderId="3" xfId="0" applyNumberFormat="1" applyFont="1" applyFill="1" applyBorder="1"/>
    <xf numFmtId="4" fontId="1" fillId="2" borderId="0" xfId="1" applyNumberForma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4" fillId="2" borderId="3" xfId="0" applyFont="1" applyFill="1" applyBorder="1" applyAlignment="1">
      <alignment horizontal="center"/>
    </xf>
    <xf numFmtId="0" fontId="23" fillId="2" borderId="3" xfId="0" applyFont="1" applyFill="1" applyBorder="1" applyAlignment="1">
      <alignment horizontal="center"/>
    </xf>
    <xf numFmtId="4" fontId="1" fillId="4" borderId="0" xfId="1" applyNumberFormat="1" applyFill="1"/>
    <xf numFmtId="3" fontId="1" fillId="4" borderId="0" xfId="1" applyNumberFormat="1" applyFill="1" applyAlignment="1">
      <alignment horizontal="left"/>
    </xf>
    <xf numFmtId="0" fontId="13" fillId="2" borderId="3" xfId="0" applyFont="1" applyFill="1" applyBorder="1" applyAlignment="1">
      <alignment horizontal="center" wrapText="1"/>
    </xf>
    <xf numFmtId="4" fontId="13" fillId="2" borderId="3" xfId="0" applyNumberFormat="1" applyFont="1" applyFill="1" applyBorder="1"/>
    <xf numFmtId="4" fontId="13" fillId="2" borderId="3" xfId="0" applyNumberFormat="1" applyFont="1" applyFill="1" applyBorder="1" applyAlignment="1">
      <alignment horizontal="center"/>
    </xf>
    <xf numFmtId="4" fontId="23" fillId="2" borderId="3" xfId="0" applyNumberFormat="1" applyFont="1" applyFill="1" applyBorder="1"/>
    <xf numFmtId="0" fontId="20" fillId="2" borderId="3" xfId="0" applyFont="1" applyFill="1" applyBorder="1" applyAlignment="1">
      <alignment horizontal="center" wrapText="1"/>
    </xf>
    <xf numFmtId="165" fontId="20" fillId="2" borderId="7" xfId="0" applyNumberFormat="1" applyFont="1" applyFill="1" applyBorder="1" applyAlignment="1">
      <alignment horizontal="center" wrapText="1"/>
    </xf>
    <xf numFmtId="165" fontId="23" fillId="2" borderId="6" xfId="0" applyNumberFormat="1" applyFont="1" applyFill="1" applyBorder="1" applyAlignment="1">
      <alignment horizontal="center"/>
    </xf>
    <xf numFmtId="165" fontId="20" fillId="2" borderId="3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/>
    </xf>
    <xf numFmtId="166" fontId="24" fillId="2" borderId="3" xfId="0" applyNumberFormat="1" applyFont="1" applyFill="1" applyBorder="1"/>
    <xf numFmtId="165" fontId="6" fillId="2" borderId="3" xfId="0" applyNumberFormat="1" applyFont="1" applyFill="1" applyBorder="1" applyAlignment="1">
      <alignment horizontal="center"/>
    </xf>
    <xf numFmtId="167" fontId="13" fillId="2" borderId="3" xfId="0" applyNumberFormat="1" applyFont="1" applyFill="1" applyBorder="1"/>
    <xf numFmtId="167" fontId="23" fillId="2" borderId="3" xfId="0" applyNumberFormat="1" applyFont="1" applyFill="1" applyBorder="1"/>
    <xf numFmtId="4" fontId="23" fillId="2" borderId="3" xfId="0" applyNumberFormat="1" applyFont="1" applyFill="1" applyBorder="1" applyAlignment="1">
      <alignment horizontal="center"/>
    </xf>
    <xf numFmtId="165" fontId="23" fillId="2" borderId="3" xfId="0" applyNumberFormat="1" applyFont="1" applyFill="1" applyBorder="1"/>
    <xf numFmtId="0" fontId="13" fillId="2" borderId="3" xfId="4" applyFont="1" applyFill="1" applyBorder="1"/>
    <xf numFmtId="0" fontId="13" fillId="2" borderId="3" xfId="4" applyFont="1" applyFill="1" applyBorder="1" applyAlignment="1">
      <alignment horizontal="center"/>
    </xf>
    <xf numFmtId="165" fontId="13" fillId="2" borderId="3" xfId="4" applyNumberFormat="1" applyFont="1" applyFill="1" applyBorder="1" applyAlignment="1">
      <alignment horizontal="center"/>
    </xf>
    <xf numFmtId="0" fontId="24" fillId="2" borderId="3" xfId="4" applyFont="1" applyFill="1" applyBorder="1"/>
    <xf numFmtId="0" fontId="24" fillId="2" borderId="3" xfId="4" applyFont="1" applyFill="1" applyBorder="1" applyAlignment="1">
      <alignment horizontal="center"/>
    </xf>
    <xf numFmtId="165" fontId="24" fillId="2" borderId="3" xfId="4" applyNumberFormat="1" applyFont="1" applyFill="1" applyBorder="1" applyAlignment="1">
      <alignment horizontal="center"/>
    </xf>
    <xf numFmtId="0" fontId="23" fillId="2" borderId="3" xfId="4" applyFont="1" applyFill="1" applyBorder="1"/>
    <xf numFmtId="0" fontId="23" fillId="2" borderId="3" xfId="4" applyFont="1" applyFill="1" applyBorder="1" applyAlignment="1">
      <alignment horizontal="center"/>
    </xf>
    <xf numFmtId="165" fontId="23" fillId="2" borderId="3" xfId="4" applyNumberFormat="1" applyFont="1" applyFill="1" applyBorder="1" applyAlignment="1">
      <alignment horizontal="center"/>
    </xf>
    <xf numFmtId="166" fontId="23" fillId="2" borderId="3" xfId="4" applyNumberFormat="1" applyFont="1" applyFill="1" applyBorder="1"/>
    <xf numFmtId="0" fontId="15" fillId="2" borderId="9" xfId="1" applyFont="1" applyFill="1" applyBorder="1" applyAlignment="1">
      <alignment horizontal="center"/>
    </xf>
    <xf numFmtId="0" fontId="16" fillId="2" borderId="9" xfId="1" applyFont="1" applyFill="1" applyBorder="1" applyAlignment="1">
      <alignment horizontal="center"/>
    </xf>
    <xf numFmtId="165" fontId="13" fillId="2" borderId="3" xfId="0" applyNumberFormat="1" applyFont="1" applyFill="1" applyBorder="1"/>
    <xf numFmtId="167" fontId="23" fillId="2" borderId="7" xfId="0" applyNumberFormat="1" applyFont="1" applyFill="1" applyBorder="1"/>
    <xf numFmtId="165" fontId="23" fillId="2" borderId="7" xfId="0" applyNumberFormat="1" applyFont="1" applyFill="1" applyBorder="1" applyAlignment="1">
      <alignment horizontal="center"/>
    </xf>
    <xf numFmtId="4" fontId="23" fillId="2" borderId="7" xfId="0" applyNumberFormat="1" applyFont="1" applyFill="1" applyBorder="1"/>
    <xf numFmtId="0" fontId="23" fillId="0" borderId="3" xfId="0" applyFont="1" applyBorder="1"/>
    <xf numFmtId="0" fontId="23" fillId="0" borderId="3" xfId="0" applyFont="1" applyBorder="1" applyAlignment="1">
      <alignment horizontal="center"/>
    </xf>
    <xf numFmtId="165" fontId="23" fillId="0" borderId="3" xfId="0" applyNumberFormat="1" applyFont="1" applyBorder="1" applyAlignment="1">
      <alignment horizontal="center"/>
    </xf>
    <xf numFmtId="4" fontId="20" fillId="3" borderId="7" xfId="0" applyNumberFormat="1" applyFont="1" applyFill="1" applyBorder="1" applyAlignment="1">
      <alignment horizontal="right" wrapText="1" readingOrder="1"/>
    </xf>
    <xf numFmtId="4" fontId="13" fillId="0" borderId="3" xfId="0" applyNumberFormat="1" applyFont="1" applyBorder="1"/>
    <xf numFmtId="165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4" fontId="13" fillId="0" borderId="7" xfId="0" applyNumberFormat="1" applyFont="1" applyBorder="1"/>
    <xf numFmtId="4" fontId="11" fillId="2" borderId="3" xfId="1" applyNumberFormat="1" applyFont="1" applyFill="1" applyBorder="1"/>
    <xf numFmtId="165" fontId="13" fillId="3" borderId="3" xfId="0" applyNumberFormat="1" applyFont="1" applyFill="1" applyBorder="1" applyAlignment="1">
      <alignment horizontal="center"/>
    </xf>
    <xf numFmtId="165" fontId="13" fillId="0" borderId="7" xfId="0" applyNumberFormat="1" applyFont="1" applyBorder="1" applyAlignment="1">
      <alignment horizontal="center"/>
    </xf>
    <xf numFmtId="4" fontId="16" fillId="2" borderId="0" xfId="1" applyNumberFormat="1" applyFont="1" applyFill="1" applyAlignment="1">
      <alignment horizontal="right"/>
    </xf>
    <xf numFmtId="0" fontId="13" fillId="2" borderId="7" xfId="0" applyFont="1" applyFill="1" applyBorder="1" applyAlignment="1">
      <alignment horizontal="center"/>
    </xf>
    <xf numFmtId="4" fontId="13" fillId="2" borderId="7" xfId="0" applyNumberFormat="1" applyFont="1" applyFill="1" applyBorder="1"/>
    <xf numFmtId="2" fontId="13" fillId="2" borderId="3" xfId="0" applyNumberFormat="1" applyFont="1" applyFill="1" applyBorder="1"/>
    <xf numFmtId="2" fontId="13" fillId="2" borderId="7" xfId="0" applyNumberFormat="1" applyFont="1" applyFill="1" applyBorder="1"/>
    <xf numFmtId="0" fontId="1" fillId="2" borderId="3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3" xfId="0" quotePrefix="1" applyFont="1" applyFill="1" applyBorder="1" applyAlignment="1">
      <alignment horizontal="center"/>
    </xf>
    <xf numFmtId="168" fontId="1" fillId="2" borderId="3" xfId="0" quotePrefix="1" applyNumberFormat="1" applyFont="1" applyFill="1" applyBorder="1" applyAlignment="1">
      <alignment horizontal="center"/>
    </xf>
    <xf numFmtId="4" fontId="1" fillId="2" borderId="3" xfId="0" quotePrefix="1" applyNumberFormat="1" applyFont="1" applyFill="1" applyBorder="1" applyAlignment="1">
      <alignment horizontal="right"/>
    </xf>
    <xf numFmtId="168" fontId="1" fillId="2" borderId="3" xfId="0" applyNumberFormat="1" applyFont="1" applyFill="1" applyBorder="1" applyAlignment="1">
      <alignment horizontal="center"/>
    </xf>
    <xf numFmtId="4" fontId="21" fillId="2" borderId="7" xfId="0" applyNumberFormat="1" applyFont="1" applyFill="1" applyBorder="1" applyAlignment="1">
      <alignment horizontal="right" wrapText="1" readingOrder="1"/>
    </xf>
    <xf numFmtId="4" fontId="1" fillId="2" borderId="3" xfId="1" applyNumberFormat="1" applyFill="1" applyBorder="1"/>
    <xf numFmtId="169" fontId="1" fillId="2" borderId="0" xfId="1" applyNumberFormat="1" applyFill="1" applyAlignment="1">
      <alignment horizontal="center"/>
    </xf>
    <xf numFmtId="169" fontId="3" fillId="2" borderId="0" xfId="0" applyNumberFormat="1" applyFont="1" applyFill="1" applyAlignment="1">
      <alignment horizontal="center"/>
    </xf>
    <xf numFmtId="169" fontId="2" fillId="2" borderId="0" xfId="0" applyNumberFormat="1" applyFont="1" applyFill="1" applyAlignment="1">
      <alignment horizontal="center"/>
    </xf>
    <xf numFmtId="169" fontId="6" fillId="2" borderId="3" xfId="0" applyNumberFormat="1" applyFont="1" applyFill="1" applyBorder="1" applyAlignment="1">
      <alignment horizontal="center"/>
    </xf>
    <xf numFmtId="169" fontId="13" fillId="2" borderId="7" xfId="0" applyNumberFormat="1" applyFont="1" applyFill="1" applyBorder="1" applyAlignment="1">
      <alignment horizontal="center"/>
    </xf>
    <xf numFmtId="169" fontId="13" fillId="2" borderId="3" xfId="0" applyNumberFormat="1" applyFont="1" applyFill="1" applyBorder="1" applyAlignment="1">
      <alignment horizontal="center"/>
    </xf>
    <xf numFmtId="169" fontId="3" fillId="2" borderId="0" xfId="0" applyNumberFormat="1" applyFont="1" applyFill="1"/>
    <xf numFmtId="169" fontId="2" fillId="2" borderId="0" xfId="0" applyNumberFormat="1" applyFont="1" applyFill="1"/>
    <xf numFmtId="169" fontId="6" fillId="2" borderId="3" xfId="0" applyNumberFormat="1" applyFont="1" applyFill="1" applyBorder="1" applyAlignment="1">
      <alignment horizontal="left"/>
    </xf>
    <xf numFmtId="169" fontId="1" fillId="2" borderId="0" xfId="1" applyNumberFormat="1" applyFill="1"/>
    <xf numFmtId="169" fontId="1" fillId="2" borderId="3" xfId="0" applyNumberFormat="1" applyFont="1" applyFill="1" applyBorder="1" applyAlignment="1">
      <alignment horizontal="center"/>
    </xf>
    <xf numFmtId="0" fontId="16" fillId="2" borderId="7" xfId="1" applyFont="1" applyFill="1" applyBorder="1" applyAlignment="1">
      <alignment horizontal="center"/>
    </xf>
    <xf numFmtId="0" fontId="16" fillId="2" borderId="7" xfId="0" applyFont="1" applyFill="1" applyBorder="1" applyAlignment="1">
      <alignment horizontal="center"/>
    </xf>
    <xf numFmtId="4" fontId="16" fillId="2" borderId="7" xfId="0" applyNumberFormat="1" applyFont="1" applyFill="1" applyBorder="1"/>
    <xf numFmtId="2" fontId="16" fillId="2" borderId="7" xfId="0" applyNumberFormat="1" applyFont="1" applyFill="1" applyBorder="1"/>
    <xf numFmtId="4" fontId="1" fillId="2" borderId="7" xfId="0" applyNumberFormat="1" applyFont="1" applyFill="1" applyBorder="1"/>
    <xf numFmtId="4" fontId="1" fillId="2" borderId="3" xfId="0" applyNumberFormat="1" applyFont="1" applyFill="1" applyBorder="1" applyAlignment="1">
      <alignment horizontal="right"/>
    </xf>
    <xf numFmtId="169" fontId="17" fillId="2" borderId="7" xfId="1" applyNumberFormat="1" applyFont="1" applyFill="1" applyBorder="1" applyAlignment="1">
      <alignment horizontal="center"/>
    </xf>
    <xf numFmtId="169" fontId="19" fillId="2" borderId="9" xfId="1" applyNumberFormat="1" applyFont="1" applyFill="1" applyBorder="1"/>
    <xf numFmtId="169" fontId="16" fillId="2" borderId="0" xfId="1" applyNumberFormat="1" applyFont="1" applyFill="1"/>
    <xf numFmtId="165" fontId="1" fillId="2" borderId="3" xfId="0" applyNumberFormat="1" applyFont="1" applyFill="1" applyBorder="1" applyAlignment="1">
      <alignment horizontal="center"/>
    </xf>
    <xf numFmtId="4" fontId="1" fillId="2" borderId="7" xfId="0" applyNumberFormat="1" applyFont="1" applyFill="1" applyBorder="1" applyAlignment="1">
      <alignment horizontal="right"/>
    </xf>
    <xf numFmtId="4" fontId="16" fillId="2" borderId="3" xfId="0" applyNumberFormat="1" applyFont="1" applyFill="1" applyBorder="1" applyAlignment="1">
      <alignment horizontal="right"/>
    </xf>
    <xf numFmtId="0" fontId="1" fillId="2" borderId="0" xfId="0" applyFont="1" applyFill="1"/>
    <xf numFmtId="4" fontId="1" fillId="2" borderId="3" xfId="0" applyNumberFormat="1" applyFont="1" applyFill="1" applyBorder="1" applyAlignment="1">
      <alignment horizontal="center"/>
    </xf>
    <xf numFmtId="4" fontId="1" fillId="2" borderId="0" xfId="1" applyNumberFormat="1" applyFill="1" applyAlignment="1">
      <alignment horizontal="right"/>
    </xf>
    <xf numFmtId="0" fontId="1" fillId="2" borderId="7" xfId="0" quotePrefix="1" applyFont="1" applyFill="1" applyBorder="1" applyAlignment="1">
      <alignment horizontal="center"/>
    </xf>
    <xf numFmtId="0" fontId="13" fillId="4" borderId="3" xfId="0" applyFont="1" applyFill="1" applyBorder="1" applyAlignment="1">
      <alignment horizontal="left" wrapText="1" readingOrder="1"/>
    </xf>
    <xf numFmtId="0" fontId="13" fillId="4" borderId="3" xfId="1" applyFont="1" applyFill="1" applyBorder="1" applyAlignment="1">
      <alignment horizontal="center"/>
    </xf>
    <xf numFmtId="0" fontId="13" fillId="4" borderId="3" xfId="0" applyFont="1" applyFill="1" applyBorder="1" applyAlignment="1">
      <alignment horizontal="center" wrapText="1" readingOrder="1"/>
    </xf>
    <xf numFmtId="165" fontId="13" fillId="4" borderId="3" xfId="0" applyNumberFormat="1" applyFont="1" applyFill="1" applyBorder="1" applyAlignment="1">
      <alignment horizontal="center" wrapText="1" readingOrder="1"/>
    </xf>
    <xf numFmtId="4" fontId="13" fillId="4" borderId="3" xfId="0" applyNumberFormat="1" applyFont="1" applyFill="1" applyBorder="1" applyAlignment="1">
      <alignment horizontal="right" wrapText="1" readingOrder="1"/>
    </xf>
    <xf numFmtId="4" fontId="13" fillId="4" borderId="7" xfId="1" applyNumberFormat="1" applyFont="1" applyFill="1" applyBorder="1"/>
    <xf numFmtId="165" fontId="13" fillId="4" borderId="7" xfId="0" applyNumberFormat="1" applyFont="1" applyFill="1" applyBorder="1" applyAlignment="1">
      <alignment horizontal="center"/>
    </xf>
    <xf numFmtId="4" fontId="16" fillId="4" borderId="3" xfId="1" applyNumberFormat="1" applyFont="1" applyFill="1" applyBorder="1"/>
    <xf numFmtId="3" fontId="16" fillId="4" borderId="3" xfId="0" applyNumberFormat="1" applyFont="1" applyFill="1" applyBorder="1"/>
    <xf numFmtId="164" fontId="16" fillId="4" borderId="3" xfId="0" applyNumberFormat="1" applyFont="1" applyFill="1" applyBorder="1"/>
    <xf numFmtId="4" fontId="16" fillId="4" borderId="3" xfId="0" applyNumberFormat="1" applyFont="1" applyFill="1" applyBorder="1"/>
    <xf numFmtId="3" fontId="16" fillId="4" borderId="0" xfId="0" applyNumberFormat="1" applyFont="1" applyFill="1" applyAlignment="1">
      <alignment horizontal="right"/>
    </xf>
    <xf numFmtId="4" fontId="16" fillId="4" borderId="0" xfId="1" applyNumberFormat="1" applyFont="1" applyFill="1"/>
    <xf numFmtId="4" fontId="16" fillId="4" borderId="0" xfId="0" applyNumberFormat="1" applyFont="1" applyFill="1"/>
    <xf numFmtId="0" fontId="20" fillId="4" borderId="3" xfId="0" applyFont="1" applyFill="1" applyBorder="1" applyAlignment="1">
      <alignment horizontal="left" wrapText="1" readingOrder="1"/>
    </xf>
    <xf numFmtId="0" fontId="20" fillId="4" borderId="3" xfId="0" applyFont="1" applyFill="1" applyBorder="1" applyAlignment="1">
      <alignment horizontal="center" wrapText="1" readingOrder="1"/>
    </xf>
    <xf numFmtId="165" fontId="20" fillId="4" borderId="3" xfId="0" applyNumberFormat="1" applyFont="1" applyFill="1" applyBorder="1" applyAlignment="1">
      <alignment horizontal="center" wrapText="1" readingOrder="1"/>
    </xf>
    <xf numFmtId="4" fontId="20" fillId="4" borderId="3" xfId="0" applyNumberFormat="1" applyFont="1" applyFill="1" applyBorder="1" applyAlignment="1">
      <alignment horizontal="right" wrapText="1" readingOrder="1"/>
    </xf>
    <xf numFmtId="4" fontId="11" fillId="4" borderId="7" xfId="1" applyNumberFormat="1" applyFont="1" applyFill="1" applyBorder="1"/>
    <xf numFmtId="0" fontId="0" fillId="2" borderId="3" xfId="0" applyFill="1" applyBorder="1"/>
    <xf numFmtId="4" fontId="0" fillId="2" borderId="3" xfId="0" applyNumberFormat="1" applyFill="1" applyBorder="1"/>
    <xf numFmtId="165" fontId="0" fillId="2" borderId="3" xfId="0" applyNumberFormat="1" applyFill="1" applyBorder="1" applyAlignment="1">
      <alignment horizontal="center"/>
    </xf>
    <xf numFmtId="4" fontId="0" fillId="2" borderId="3" xfId="0" applyNumberForma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4" fontId="1" fillId="2" borderId="7" xfId="0" applyNumberFormat="1" applyFont="1" applyFill="1" applyBorder="1" applyAlignment="1">
      <alignment horizontal="center"/>
    </xf>
    <xf numFmtId="165" fontId="1" fillId="2" borderId="7" xfId="0" applyNumberFormat="1" applyFont="1" applyFill="1" applyBorder="1" applyAlignment="1">
      <alignment horizontal="center"/>
    </xf>
    <xf numFmtId="4" fontId="0" fillId="2" borderId="3" xfId="0" applyNumberFormat="1" applyFill="1" applyBorder="1" applyAlignment="1">
      <alignment horizontal="right"/>
    </xf>
    <xf numFmtId="169" fontId="0" fillId="2" borderId="3" xfId="0" applyNumberFormat="1" applyFill="1" applyBorder="1" applyAlignment="1">
      <alignment horizontal="center"/>
    </xf>
    <xf numFmtId="2" fontId="16" fillId="2" borderId="0" xfId="1" applyNumberFormat="1" applyFont="1" applyFill="1"/>
    <xf numFmtId="0" fontId="0" fillId="2" borderId="3" xfId="0" applyFill="1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1" fillId="2" borderId="2" xfId="0" quotePrefix="1" applyFont="1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4" fontId="0" fillId="2" borderId="2" xfId="0" applyNumberFormat="1" applyFill="1" applyBorder="1"/>
    <xf numFmtId="4" fontId="0" fillId="2" borderId="2" xfId="0" applyNumberFormat="1" applyFill="1" applyBorder="1" applyAlignment="1">
      <alignment horizontal="right"/>
    </xf>
    <xf numFmtId="169" fontId="0" fillId="2" borderId="2" xfId="0" applyNumberForma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165" fontId="26" fillId="2" borderId="3" xfId="0" applyNumberFormat="1" applyFont="1" applyFill="1" applyBorder="1" applyAlignment="1">
      <alignment horizontal="center"/>
    </xf>
    <xf numFmtId="169" fontId="26" fillId="2" borderId="3" xfId="0" applyNumberFormat="1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4" fontId="0" fillId="2" borderId="7" xfId="0" applyNumberFormat="1" applyFill="1" applyBorder="1"/>
    <xf numFmtId="4" fontId="0" fillId="2" borderId="7" xfId="0" applyNumberFormat="1" applyFill="1" applyBorder="1" applyAlignment="1">
      <alignment horizontal="right"/>
    </xf>
    <xf numFmtId="165" fontId="0" fillId="2" borderId="7" xfId="0" applyNumberFormat="1" applyFill="1" applyBorder="1" applyAlignment="1">
      <alignment horizontal="center"/>
    </xf>
    <xf numFmtId="14" fontId="0" fillId="2" borderId="3" xfId="0" applyNumberForma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4" fontId="6" fillId="2" borderId="3" xfId="0" applyNumberFormat="1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4" fontId="6" fillId="2" borderId="7" xfId="0" applyNumberFormat="1" applyFont="1" applyFill="1" applyBorder="1" applyAlignment="1">
      <alignment horizontal="center"/>
    </xf>
    <xf numFmtId="3" fontId="6" fillId="2" borderId="7" xfId="0" applyNumberFormat="1" applyFont="1" applyFill="1" applyBorder="1" applyAlignment="1">
      <alignment horizontal="center"/>
    </xf>
    <xf numFmtId="164" fontId="6" fillId="2" borderId="7" xfId="0" applyNumberFormat="1" applyFont="1" applyFill="1" applyBorder="1" applyAlignment="1">
      <alignment horizontal="center"/>
    </xf>
    <xf numFmtId="3" fontId="4" fillId="2" borderId="0" xfId="1" applyNumberFormat="1" applyFont="1" applyFill="1" applyAlignment="1">
      <alignment horizontal="right"/>
    </xf>
    <xf numFmtId="0" fontId="4" fillId="2" borderId="0" xfId="1" applyFont="1" applyFill="1"/>
    <xf numFmtId="4" fontId="6" fillId="2" borderId="5" xfId="0" applyNumberFormat="1" applyFont="1" applyFill="1" applyBorder="1" applyAlignment="1">
      <alignment horizontal="center"/>
    </xf>
    <xf numFmtId="4" fontId="4" fillId="2" borderId="0" xfId="1" applyNumberFormat="1" applyFont="1" applyFill="1"/>
    <xf numFmtId="0" fontId="4" fillId="2" borderId="3" xfId="0" applyFont="1" applyFill="1" applyBorder="1"/>
    <xf numFmtId="0" fontId="2" fillId="2" borderId="0" xfId="0" applyFont="1" applyFill="1" applyAlignment="1">
      <alignment horizontal="center"/>
    </xf>
    <xf numFmtId="0" fontId="15" fillId="2" borderId="9" xfId="1" applyFont="1" applyFill="1" applyBorder="1" applyAlignment="1">
      <alignment horizontal="center"/>
    </xf>
    <xf numFmtId="0" fontId="16" fillId="2" borderId="9" xfId="1" applyFont="1" applyFill="1" applyBorder="1" applyAlignment="1">
      <alignment horizontal="center"/>
    </xf>
    <xf numFmtId="0" fontId="0" fillId="0" borderId="3" xfId="0" applyBorder="1"/>
    <xf numFmtId="165" fontId="0" fillId="0" borderId="3" xfId="0" applyNumberFormat="1" applyFill="1" applyBorder="1" applyAlignment="1">
      <alignment horizontal="center"/>
    </xf>
    <xf numFmtId="4" fontId="1" fillId="0" borderId="3" xfId="0" applyNumberFormat="1" applyFont="1" applyFill="1" applyBorder="1" applyAlignment="1">
      <alignment horizontal="right"/>
    </xf>
    <xf numFmtId="0" fontId="28" fillId="0" borderId="3" xfId="0" applyFont="1" applyFill="1" applyBorder="1"/>
    <xf numFmtId="0" fontId="0" fillId="0" borderId="3" xfId="0" applyFill="1" applyBorder="1"/>
    <xf numFmtId="0" fontId="4" fillId="0" borderId="3" xfId="0" applyFont="1" applyFill="1" applyBorder="1"/>
    <xf numFmtId="0" fontId="0" fillId="0" borderId="0" xfId="0" applyAlignment="1">
      <alignment horizontal="center"/>
    </xf>
    <xf numFmtId="0" fontId="6" fillId="0" borderId="3" xfId="0" applyFont="1" applyFill="1" applyBorder="1" applyAlignment="1">
      <alignment horizontal="center"/>
    </xf>
    <xf numFmtId="165" fontId="6" fillId="0" borderId="3" xfId="0" applyNumberFormat="1" applyFont="1" applyFill="1" applyBorder="1" applyAlignment="1">
      <alignment horizontal="center"/>
    </xf>
    <xf numFmtId="4" fontId="6" fillId="0" borderId="3" xfId="0" applyNumberFormat="1" applyFont="1" applyFill="1" applyBorder="1" applyAlignment="1">
      <alignment horizontal="center"/>
    </xf>
    <xf numFmtId="14" fontId="0" fillId="0" borderId="3" xfId="0" applyNumberFormat="1" applyFill="1" applyBorder="1" applyAlignment="1">
      <alignment horizontal="center"/>
    </xf>
    <xf numFmtId="2" fontId="1" fillId="2" borderId="0" xfId="1" applyNumberFormat="1" applyFill="1" applyAlignment="1">
      <alignment horizontal="center"/>
    </xf>
    <xf numFmtId="4" fontId="2" fillId="2" borderId="0" xfId="0" applyNumberFormat="1" applyFont="1" applyFill="1" applyAlignment="1">
      <alignment horizontal="center"/>
    </xf>
    <xf numFmtId="4" fontId="6" fillId="0" borderId="4" xfId="0" applyNumberFormat="1" applyFont="1" applyFill="1" applyBorder="1" applyAlignment="1">
      <alignment horizontal="center"/>
    </xf>
    <xf numFmtId="4" fontId="6" fillId="0" borderId="6" xfId="0" applyNumberFormat="1" applyFont="1" applyFill="1" applyBorder="1" applyAlignment="1">
      <alignment horizontal="center"/>
    </xf>
    <xf numFmtId="4" fontId="0" fillId="0" borderId="3" xfId="0" applyNumberFormat="1" applyFill="1" applyBorder="1"/>
    <xf numFmtId="4" fontId="27" fillId="0" borderId="3" xfId="0" applyNumberFormat="1" applyFont="1" applyBorder="1"/>
    <xf numFmtId="4" fontId="15" fillId="2" borderId="9" xfId="1" applyNumberFormat="1" applyFont="1" applyFill="1" applyBorder="1" applyAlignment="1">
      <alignment horizontal="center"/>
    </xf>
    <xf numFmtId="4" fontId="0" fillId="0" borderId="0" xfId="0" applyNumberFormat="1"/>
    <xf numFmtId="0" fontId="0" fillId="0" borderId="3" xfId="0" applyFill="1" applyBorder="1" applyAlignment="1">
      <alignment horizontal="center"/>
    </xf>
    <xf numFmtId="0" fontId="21" fillId="0" borderId="3" xfId="0" applyFont="1" applyFill="1" applyBorder="1" applyAlignment="1">
      <alignment horizontal="center"/>
    </xf>
    <xf numFmtId="165" fontId="15" fillId="2" borderId="9" xfId="1" applyNumberFormat="1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3" fontId="16" fillId="0" borderId="3" xfId="0" applyNumberFormat="1" applyFont="1" applyFill="1" applyBorder="1"/>
    <xf numFmtId="164" fontId="1" fillId="0" borderId="3" xfId="0" applyNumberFormat="1" applyFont="1" applyFill="1" applyBorder="1"/>
    <xf numFmtId="4" fontId="1" fillId="0" borderId="3" xfId="0" applyNumberFormat="1" applyFont="1" applyFill="1" applyBorder="1"/>
    <xf numFmtId="3" fontId="1" fillId="0" borderId="0" xfId="1" applyNumberFormat="1" applyFill="1" applyAlignment="1">
      <alignment horizontal="right"/>
    </xf>
    <xf numFmtId="4" fontId="16" fillId="0" borderId="0" xfId="1" applyNumberFormat="1" applyFont="1" applyFill="1"/>
    <xf numFmtId="4" fontId="16" fillId="2" borderId="0" xfId="1" applyNumberFormat="1" applyFont="1" applyFill="1" applyBorder="1"/>
    <xf numFmtId="3" fontId="6" fillId="2" borderId="3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3" fillId="2" borderId="0" xfId="0" applyFont="1" applyFill="1" applyBorder="1" applyAlignment="1">
      <alignment horizontal="center"/>
    </xf>
    <xf numFmtId="165" fontId="2" fillId="2" borderId="0" xfId="0" applyNumberFormat="1" applyFont="1" applyFill="1" applyBorder="1" applyAlignment="1">
      <alignment horizontal="center"/>
    </xf>
    <xf numFmtId="165" fontId="3" fillId="2" borderId="0" xfId="0" applyNumberFormat="1" applyFont="1" applyFill="1" applyBorder="1" applyAlignment="1">
      <alignment horizontal="center"/>
    </xf>
    <xf numFmtId="4" fontId="2" fillId="2" borderId="0" xfId="0" applyNumberFormat="1" applyFont="1" applyFill="1" applyBorder="1" applyAlignment="1">
      <alignment horizontal="center"/>
    </xf>
    <xf numFmtId="4" fontId="3" fillId="2" borderId="0" xfId="0" applyNumberFormat="1" applyFont="1" applyFill="1" applyBorder="1"/>
    <xf numFmtId="4" fontId="2" fillId="2" borderId="0" xfId="0" applyNumberFormat="1" applyFont="1" applyFill="1" applyBorder="1"/>
    <xf numFmtId="4" fontId="3" fillId="2" borderId="0" xfId="1" applyNumberFormat="1" applyFont="1" applyFill="1" applyBorder="1"/>
    <xf numFmtId="0" fontId="3" fillId="2" borderId="0" xfId="1" applyFont="1" applyFill="1" applyBorder="1"/>
    <xf numFmtId="164" fontId="3" fillId="2" borderId="0" xfId="1" applyNumberFormat="1" applyFont="1" applyFill="1" applyBorder="1"/>
    <xf numFmtId="0" fontId="0" fillId="0" borderId="0" xfId="0" applyFill="1"/>
    <xf numFmtId="0" fontId="21" fillId="0" borderId="3" xfId="0" applyFont="1" applyBorder="1"/>
    <xf numFmtId="0" fontId="6" fillId="2" borderId="2" xfId="0" applyFont="1" applyFill="1" applyBorder="1" applyAlignment="1">
      <alignment horizontal="center"/>
    </xf>
    <xf numFmtId="4" fontId="6" fillId="2" borderId="2" xfId="0" applyNumberFormat="1" applyFont="1" applyFill="1" applyBorder="1" applyAlignment="1">
      <alignment horizontal="center"/>
    </xf>
    <xf numFmtId="4" fontId="6" fillId="2" borderId="14" xfId="0" applyNumberFormat="1" applyFont="1" applyFill="1" applyBorder="1" applyAlignment="1">
      <alignment horizontal="center"/>
    </xf>
    <xf numFmtId="4" fontId="6" fillId="2" borderId="15" xfId="0" applyNumberFormat="1" applyFont="1" applyFill="1" applyBorder="1" applyAlignment="1">
      <alignment horizontal="center"/>
    </xf>
    <xf numFmtId="4" fontId="6" fillId="2" borderId="16" xfId="0" applyNumberFormat="1" applyFont="1" applyFill="1" applyBorder="1" applyAlignment="1">
      <alignment horizontal="center"/>
    </xf>
    <xf numFmtId="14" fontId="21" fillId="0" borderId="3" xfId="0" applyNumberFormat="1" applyFont="1" applyBorder="1"/>
    <xf numFmtId="4" fontId="0" fillId="0" borderId="3" xfId="0" applyNumberFormat="1" applyBorder="1"/>
    <xf numFmtId="165" fontId="0" fillId="0" borderId="3" xfId="0" applyNumberFormat="1" applyBorder="1" applyAlignment="1">
      <alignment horizontal="center"/>
    </xf>
    <xf numFmtId="165" fontId="7" fillId="2" borderId="2" xfId="0" applyNumberFormat="1" applyFont="1" applyFill="1" applyBorder="1" applyAlignment="1">
      <alignment horizontal="center"/>
    </xf>
    <xf numFmtId="165" fontId="21" fillId="0" borderId="3" xfId="0" applyNumberFormat="1" applyFont="1" applyBorder="1"/>
    <xf numFmtId="165" fontId="26" fillId="0" borderId="3" xfId="0" applyNumberFormat="1" applyFont="1" applyBorder="1"/>
    <xf numFmtId="164" fontId="16" fillId="2" borderId="7" xfId="0" applyNumberFormat="1" applyFont="1" applyFill="1" applyBorder="1"/>
    <xf numFmtId="0" fontId="16" fillId="2" borderId="0" xfId="1" applyFont="1" applyFill="1" applyBorder="1" applyAlignment="1">
      <alignment horizontal="center"/>
    </xf>
    <xf numFmtId="165" fontId="16" fillId="2" borderId="0" xfId="1" applyNumberFormat="1" applyFont="1" applyFill="1" applyBorder="1" applyAlignment="1">
      <alignment horizontal="center"/>
    </xf>
    <xf numFmtId="4" fontId="16" fillId="2" borderId="0" xfId="1" applyNumberFormat="1" applyFont="1" applyFill="1" applyBorder="1" applyAlignment="1">
      <alignment horizontal="center"/>
    </xf>
    <xf numFmtId="3" fontId="6" fillId="2" borderId="0" xfId="0" applyNumberFormat="1" applyFont="1" applyFill="1" applyBorder="1" applyAlignment="1">
      <alignment horizontal="center"/>
    </xf>
    <xf numFmtId="3" fontId="1" fillId="2" borderId="0" xfId="1" applyNumberFormat="1" applyFill="1" applyBorder="1" applyAlignment="1">
      <alignment horizontal="right"/>
    </xf>
    <xf numFmtId="4" fontId="1" fillId="2" borderId="0" xfId="1" applyNumberFormat="1" applyFill="1" applyBorder="1"/>
    <xf numFmtId="0" fontId="0" fillId="0" borderId="0" xfId="0" applyBorder="1"/>
    <xf numFmtId="0" fontId="16" fillId="2" borderId="0" xfId="1" applyFont="1" applyFill="1" applyBorder="1"/>
    <xf numFmtId="4" fontId="16" fillId="2" borderId="3" xfId="1" applyNumberFormat="1" applyFont="1" applyFill="1" applyBorder="1" applyAlignment="1">
      <alignment horizontal="center"/>
    </xf>
    <xf numFmtId="4" fontId="12" fillId="2" borderId="3" xfId="1" applyNumberFormat="1" applyFont="1" applyFill="1" applyBorder="1"/>
    <xf numFmtId="4" fontId="19" fillId="2" borderId="3" xfId="1" applyNumberFormat="1" applyFont="1" applyFill="1" applyBorder="1"/>
    <xf numFmtId="165" fontId="19" fillId="2" borderId="3" xfId="1" applyNumberFormat="1" applyFont="1" applyFill="1" applyBorder="1" applyAlignment="1">
      <alignment horizontal="center"/>
    </xf>
    <xf numFmtId="4" fontId="18" fillId="2" borderId="3" xfId="1" applyNumberFormat="1" applyFont="1" applyFill="1" applyBorder="1"/>
    <xf numFmtId="0" fontId="19" fillId="2" borderId="3" xfId="1" applyFont="1" applyFill="1" applyBorder="1"/>
    <xf numFmtId="0" fontId="3" fillId="2" borderId="0" xfId="1" applyFont="1" applyFill="1" applyAlignment="1">
      <alignment horizontal="center"/>
    </xf>
    <xf numFmtId="0" fontId="3" fillId="2" borderId="0" xfId="1" applyFont="1" applyFill="1" applyBorder="1" applyAlignment="1">
      <alignment horizontal="center"/>
    </xf>
    <xf numFmtId="4" fontId="16" fillId="0" borderId="3" xfId="1" applyNumberFormat="1" applyFont="1" applyFill="1" applyBorder="1" applyAlignment="1">
      <alignment horizontal="center"/>
    </xf>
    <xf numFmtId="4" fontId="12" fillId="2" borderId="0" xfId="1" applyNumberFormat="1" applyFont="1" applyFill="1" applyAlignment="1">
      <alignment horizontal="center"/>
    </xf>
    <xf numFmtId="4" fontId="18" fillId="2" borderId="3" xfId="1" applyNumberFormat="1" applyFont="1" applyFill="1" applyBorder="1" applyAlignment="1">
      <alignment horizontal="center"/>
    </xf>
    <xf numFmtId="4" fontId="9" fillId="2" borderId="0" xfId="1" applyNumberFormat="1" applyFont="1" applyFill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0" fillId="0" borderId="2" xfId="0" applyBorder="1"/>
    <xf numFmtId="165" fontId="26" fillId="0" borderId="2" xfId="0" applyNumberFormat="1" applyFont="1" applyBorder="1"/>
    <xf numFmtId="4" fontId="0" fillId="0" borderId="2" xfId="0" applyNumberFormat="1" applyBorder="1"/>
    <xf numFmtId="165" fontId="0" fillId="0" borderId="2" xfId="0" applyNumberFormat="1" applyBorder="1" applyAlignment="1">
      <alignment horizontal="center"/>
    </xf>
    <xf numFmtId="4" fontId="4" fillId="2" borderId="13" xfId="0" applyNumberFormat="1" applyFont="1" applyFill="1" applyBorder="1" applyAlignment="1">
      <alignment horizontal="center"/>
    </xf>
    <xf numFmtId="0" fontId="17" fillId="2" borderId="7" xfId="1" applyFont="1" applyFill="1" applyBorder="1"/>
    <xf numFmtId="0" fontId="17" fillId="2" borderId="7" xfId="1" applyFont="1" applyFill="1" applyBorder="1" applyAlignment="1">
      <alignment horizontal="center"/>
    </xf>
    <xf numFmtId="4" fontId="16" fillId="2" borderId="7" xfId="1" applyNumberFormat="1" applyFont="1" applyFill="1" applyBorder="1" applyAlignment="1">
      <alignment horizontal="center"/>
    </xf>
    <xf numFmtId="1" fontId="6" fillId="2" borderId="7" xfId="0" applyNumberFormat="1" applyFont="1" applyFill="1" applyBorder="1" applyAlignment="1">
      <alignment horizontal="center"/>
    </xf>
    <xf numFmtId="4" fontId="0" fillId="0" borderId="0" xfId="0" applyNumberFormat="1" applyBorder="1"/>
    <xf numFmtId="164" fontId="16" fillId="0" borderId="3" xfId="0" applyNumberFormat="1" applyFont="1" applyFill="1" applyBorder="1"/>
    <xf numFmtId="4" fontId="16" fillId="0" borderId="3" xfId="0" applyNumberFormat="1" applyFont="1" applyFill="1" applyBorder="1"/>
    <xf numFmtId="165" fontId="26" fillId="0" borderId="3" xfId="0" applyNumberFormat="1" applyFont="1" applyFill="1" applyBorder="1"/>
    <xf numFmtId="4" fontId="4" fillId="0" borderId="7" xfId="0" applyNumberFormat="1" applyFont="1" applyFill="1" applyBorder="1" applyAlignment="1">
      <alignment horizontal="center"/>
    </xf>
    <xf numFmtId="1" fontId="6" fillId="0" borderId="7" xfId="0" applyNumberFormat="1" applyFont="1" applyFill="1" applyBorder="1" applyAlignment="1">
      <alignment horizontal="center"/>
    </xf>
    <xf numFmtId="3" fontId="4" fillId="0" borderId="0" xfId="1" applyNumberFormat="1" applyFont="1" applyFill="1" applyAlignment="1">
      <alignment horizontal="right"/>
    </xf>
    <xf numFmtId="4" fontId="4" fillId="0" borderId="0" xfId="1" applyNumberFormat="1" applyFont="1" applyFill="1"/>
    <xf numFmtId="4" fontId="4" fillId="2" borderId="3" xfId="0" applyNumberFormat="1" applyFont="1" applyFill="1" applyBorder="1" applyAlignment="1">
      <alignment horizontal="center"/>
    </xf>
    <xf numFmtId="1" fontId="6" fillId="2" borderId="3" xfId="0" applyNumberFormat="1" applyFont="1" applyFill="1" applyBorder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2 2" xfId="3" xr:uid="{00000000-0005-0000-0000-000002000000}"/>
    <cellStyle name="Normal 3" xfId="2" xr:uid="{00000000-0005-0000-0000-000003000000}"/>
    <cellStyle name="Normal 4" xfId="4" xr:uid="{2B3D070E-F958-4006-8B6F-38E6F4F329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5"/>
  <sheetViews>
    <sheetView topLeftCell="A60" workbookViewId="0">
      <selection activeCell="A75" sqref="A75"/>
    </sheetView>
  </sheetViews>
  <sheetFormatPr baseColWidth="10" defaultColWidth="11.44140625" defaultRowHeight="13.2" x14ac:dyDescent="0.25"/>
  <cols>
    <col min="1" max="1" width="32.44140625" style="7" customWidth="1"/>
    <col min="2" max="2" width="27" style="7" customWidth="1"/>
    <col min="3" max="3" width="10.88671875" style="7" customWidth="1"/>
    <col min="4" max="4" width="10.88671875" style="63" customWidth="1"/>
    <col min="5" max="5" width="11.44140625" style="7"/>
    <col min="6" max="6" width="9.5546875" style="7" customWidth="1"/>
    <col min="7" max="7" width="12.5546875" style="7" customWidth="1"/>
    <col min="8" max="8" width="9.109375" style="7" customWidth="1"/>
    <col min="9" max="9" width="14" style="63" customWidth="1"/>
    <col min="10" max="10" width="11.88671875" style="7" customWidth="1"/>
    <col min="11" max="11" width="7.109375" style="7" customWidth="1"/>
    <col min="12" max="12" width="7.33203125" style="7" customWidth="1"/>
    <col min="13" max="13" width="10.33203125" style="7" customWidth="1"/>
    <col min="14" max="14" width="17.33203125" style="59" customWidth="1"/>
    <col min="15" max="16" width="8" style="7" customWidth="1"/>
    <col min="17" max="16384" width="11.44140625" style="7"/>
  </cols>
  <sheetData>
    <row r="1" spans="1:30" ht="15" customHeight="1" x14ac:dyDescent="0.25">
      <c r="B1" s="8"/>
      <c r="C1" s="8"/>
      <c r="G1" s="8"/>
    </row>
    <row r="2" spans="1:30" ht="15" customHeight="1" x14ac:dyDescent="0.25">
      <c r="A2" s="331" t="s">
        <v>0</v>
      </c>
      <c r="B2" s="331"/>
      <c r="C2" s="331"/>
      <c r="D2" s="331"/>
      <c r="E2" s="331"/>
      <c r="F2" s="331"/>
      <c r="G2" s="24"/>
      <c r="H2" s="25"/>
      <c r="I2" s="65"/>
      <c r="J2" s="26"/>
      <c r="K2" s="27"/>
      <c r="L2" s="28"/>
      <c r="M2" s="29"/>
    </row>
    <row r="3" spans="1:30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65"/>
      <c r="J3" s="27"/>
      <c r="K3" s="27"/>
      <c r="L3" s="28"/>
      <c r="M3" s="29"/>
    </row>
    <row r="4" spans="1:30" ht="15" customHeight="1" x14ac:dyDescent="0.25">
      <c r="A4" s="30"/>
      <c r="B4" s="31" t="s">
        <v>135</v>
      </c>
      <c r="C4" s="30"/>
      <c r="D4" s="64"/>
      <c r="E4" s="30"/>
      <c r="F4" s="30"/>
      <c r="G4" s="24"/>
      <c r="H4" s="25"/>
      <c r="I4" s="65"/>
      <c r="J4" s="27"/>
      <c r="K4" s="27"/>
      <c r="L4" s="28"/>
      <c r="M4" s="29"/>
    </row>
    <row r="5" spans="1:30" ht="15" customHeight="1" thickBot="1" x14ac:dyDescent="0.3">
      <c r="A5" s="30"/>
      <c r="B5" s="31" t="s">
        <v>2</v>
      </c>
      <c r="C5" s="30"/>
      <c r="D5" s="64"/>
      <c r="E5" s="30"/>
      <c r="F5" s="30"/>
      <c r="G5" s="32"/>
      <c r="H5" s="24"/>
      <c r="I5" s="69"/>
      <c r="J5" s="33"/>
      <c r="K5" s="27"/>
      <c r="L5" s="28"/>
      <c r="M5" s="29"/>
    </row>
    <row r="6" spans="1:30" ht="15" customHeight="1" x14ac:dyDescent="0.25">
      <c r="A6" s="34" t="s">
        <v>66</v>
      </c>
      <c r="B6" s="33"/>
      <c r="C6" s="33"/>
      <c r="D6" s="65"/>
      <c r="E6" s="33"/>
      <c r="F6" s="33"/>
      <c r="G6" s="35" t="s">
        <v>3</v>
      </c>
      <c r="H6" s="27"/>
      <c r="I6" s="65"/>
      <c r="J6" s="36" t="s">
        <v>4</v>
      </c>
      <c r="K6" s="56" t="s">
        <v>5</v>
      </c>
      <c r="L6" s="40" t="s">
        <v>6</v>
      </c>
      <c r="M6" s="36" t="s">
        <v>7</v>
      </c>
    </row>
    <row r="7" spans="1:30" ht="15" customHeight="1" thickBot="1" x14ac:dyDescent="0.3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12" t="s">
        <v>13</v>
      </c>
      <c r="H7" s="13" t="s">
        <v>14</v>
      </c>
      <c r="I7" s="70" t="s">
        <v>15</v>
      </c>
      <c r="J7" s="14" t="s">
        <v>16</v>
      </c>
      <c r="K7" s="57"/>
      <c r="L7" s="58" t="s">
        <v>17</v>
      </c>
      <c r="M7" s="14" t="s">
        <v>39</v>
      </c>
    </row>
    <row r="8" spans="1:30" s="1" customFormat="1" ht="15" customHeight="1" x14ac:dyDescent="0.25">
      <c r="A8" s="83" t="s">
        <v>86</v>
      </c>
      <c r="B8" s="55" t="s">
        <v>37</v>
      </c>
      <c r="C8" s="95" t="s">
        <v>137</v>
      </c>
      <c r="D8" s="85">
        <v>45236</v>
      </c>
      <c r="E8" s="86">
        <v>171.36</v>
      </c>
      <c r="F8" s="86">
        <v>34.28</v>
      </c>
      <c r="G8" s="94">
        <v>147.22</v>
      </c>
      <c r="H8" s="86">
        <v>16.45</v>
      </c>
      <c r="I8" s="106">
        <v>45279</v>
      </c>
      <c r="J8" s="50">
        <f t="shared" ref="J8:J10" si="0">+E8-F8</f>
        <v>137.08000000000001</v>
      </c>
      <c r="K8" s="47">
        <f t="shared" ref="K8:K9" si="1">+I8-D8</f>
        <v>43</v>
      </c>
      <c r="L8" s="48">
        <v>0.03</v>
      </c>
      <c r="M8" s="49">
        <f t="shared" ref="M8:M9" si="2">+J8*L8</f>
        <v>4.1124000000000001</v>
      </c>
      <c r="N8" s="74"/>
    </row>
    <row r="9" spans="1:30" s="1" customFormat="1" ht="15" customHeight="1" x14ac:dyDescent="0.25">
      <c r="A9" s="83" t="s">
        <v>80</v>
      </c>
      <c r="B9" s="55" t="s">
        <v>18</v>
      </c>
      <c r="C9" s="95" t="s">
        <v>138</v>
      </c>
      <c r="D9" s="85">
        <v>45238</v>
      </c>
      <c r="E9" s="86">
        <v>324</v>
      </c>
      <c r="F9" s="86">
        <v>64.8</v>
      </c>
      <c r="G9" s="94">
        <v>278.38000000000005</v>
      </c>
      <c r="H9" s="86">
        <v>31.1</v>
      </c>
      <c r="I9" s="106">
        <v>45279</v>
      </c>
      <c r="J9" s="50">
        <f t="shared" si="0"/>
        <v>259.2</v>
      </c>
      <c r="K9" s="47">
        <f t="shared" si="1"/>
        <v>41</v>
      </c>
      <c r="L9" s="48">
        <v>0.03</v>
      </c>
      <c r="M9" s="49">
        <f t="shared" si="2"/>
        <v>7.7759999999999998</v>
      </c>
      <c r="N9" s="74"/>
    </row>
    <row r="10" spans="1:30" s="1" customFormat="1" ht="15" customHeight="1" x14ac:dyDescent="0.25">
      <c r="A10" s="83" t="s">
        <v>136</v>
      </c>
      <c r="B10" s="55" t="s">
        <v>18</v>
      </c>
      <c r="C10" s="95" t="s">
        <v>139</v>
      </c>
      <c r="D10" s="85">
        <v>45289</v>
      </c>
      <c r="E10" s="86">
        <v>45.54</v>
      </c>
      <c r="F10" s="86">
        <v>0</v>
      </c>
      <c r="G10" s="94">
        <v>51</v>
      </c>
      <c r="H10" s="86">
        <v>5.46</v>
      </c>
      <c r="I10" s="85">
        <v>45289</v>
      </c>
      <c r="J10" s="50">
        <f t="shared" si="0"/>
        <v>45.54</v>
      </c>
      <c r="K10" s="47">
        <f t="shared" ref="K10" si="3">+I10-D10</f>
        <v>0</v>
      </c>
      <c r="L10" s="48">
        <v>0.04</v>
      </c>
      <c r="M10" s="49">
        <f t="shared" ref="M10" si="4">+J10*L10</f>
        <v>1.8216000000000001</v>
      </c>
      <c r="N10" s="74"/>
    </row>
    <row r="11" spans="1:30" s="49" customFormat="1" ht="15" customHeight="1" x14ac:dyDescent="0.3">
      <c r="A11" s="42"/>
      <c r="B11" s="43"/>
      <c r="C11" s="43"/>
      <c r="D11" s="68"/>
      <c r="E11" s="44"/>
      <c r="F11" s="44"/>
      <c r="G11" s="45"/>
      <c r="H11" s="46"/>
      <c r="I11" s="72"/>
      <c r="J11" s="50"/>
      <c r="K11" s="47"/>
      <c r="L11" s="48"/>
      <c r="N11" s="74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s="52" customFormat="1" ht="15" customHeight="1" x14ac:dyDescent="0.25">
      <c r="A12" s="333"/>
      <c r="B12" s="333"/>
      <c r="C12" s="333"/>
      <c r="D12" s="333"/>
      <c r="E12" s="333"/>
      <c r="F12" s="333"/>
      <c r="G12" s="75">
        <f>SUM(G8:G11)</f>
        <v>476.6</v>
      </c>
      <c r="H12" s="80"/>
      <c r="I12" s="81"/>
      <c r="J12" s="75">
        <f>SUM(J8:J11)</f>
        <v>441.82</v>
      </c>
      <c r="K12" s="82"/>
      <c r="L12" s="82"/>
      <c r="M12" s="75">
        <f>SUM(M8:M11)</f>
        <v>13.71</v>
      </c>
      <c r="N12" s="60"/>
    </row>
    <row r="13" spans="1:30" s="52" customFormat="1" ht="15" customHeight="1" x14ac:dyDescent="0.25">
      <c r="A13" s="76"/>
      <c r="B13" s="76"/>
      <c r="C13" s="76"/>
      <c r="D13" s="77"/>
      <c r="E13" s="76"/>
      <c r="F13" s="76"/>
      <c r="G13" s="78"/>
      <c r="I13" s="79"/>
      <c r="N13" s="60"/>
    </row>
    <row r="14" spans="1:30" s="52" customFormat="1" ht="15" customHeight="1" x14ac:dyDescent="0.25">
      <c r="A14" s="76"/>
      <c r="B14" s="76"/>
      <c r="C14" s="76"/>
      <c r="D14" s="77"/>
      <c r="E14" s="76"/>
      <c r="F14" s="76"/>
      <c r="G14" s="78"/>
      <c r="I14" s="79"/>
      <c r="J14" s="78"/>
      <c r="M14" s="78"/>
      <c r="N14" s="60"/>
    </row>
    <row r="15" spans="1:30" s="52" customFormat="1" ht="15" customHeight="1" x14ac:dyDescent="0.25">
      <c r="A15" s="52" t="s">
        <v>19</v>
      </c>
      <c r="B15" s="52" t="s">
        <v>20</v>
      </c>
      <c r="C15" s="76" t="s">
        <v>21</v>
      </c>
      <c r="D15" s="79"/>
      <c r="G15" s="78"/>
      <c r="I15" s="79"/>
      <c r="N15" s="60"/>
    </row>
    <row r="16" spans="1:30" s="1" customFormat="1" ht="15" customHeight="1" x14ac:dyDescent="0.25">
      <c r="A16" s="91" t="s">
        <v>74</v>
      </c>
      <c r="B16" s="101" t="s">
        <v>140</v>
      </c>
      <c r="C16" s="93" t="s">
        <v>143</v>
      </c>
      <c r="D16" s="88">
        <v>45245</v>
      </c>
      <c r="E16" s="92">
        <v>194.76</v>
      </c>
      <c r="F16" s="92">
        <v>29.21</v>
      </c>
      <c r="G16" s="90">
        <f>185.42-2.9-5.96</f>
        <v>176.55999999999997</v>
      </c>
      <c r="H16" s="92">
        <v>19.87</v>
      </c>
      <c r="I16" s="105">
        <v>45292</v>
      </c>
      <c r="J16" s="50">
        <f t="shared" ref="J16" si="5">+E16-F16</f>
        <v>165.54999999999998</v>
      </c>
      <c r="K16" s="47">
        <f t="shared" ref="K16" si="6">+I16-D16</f>
        <v>47</v>
      </c>
      <c r="L16" s="48">
        <v>0.03</v>
      </c>
      <c r="M16" s="49">
        <f t="shared" ref="M16" si="7">+J16*L16</f>
        <v>4.966499999999999</v>
      </c>
      <c r="N16" s="74"/>
    </row>
    <row r="17" spans="1:14" s="1" customFormat="1" ht="15" customHeight="1" x14ac:dyDescent="0.25">
      <c r="A17" s="91" t="s">
        <v>52</v>
      </c>
      <c r="B17" s="101" t="s">
        <v>141</v>
      </c>
      <c r="C17" s="93" t="s">
        <v>144</v>
      </c>
      <c r="D17" s="88">
        <v>45252</v>
      </c>
      <c r="E17" s="92">
        <v>428.4</v>
      </c>
      <c r="F17" s="92">
        <v>128.52000000000001</v>
      </c>
      <c r="G17" s="90">
        <v>322.07</v>
      </c>
      <c r="H17" s="92">
        <v>35.99</v>
      </c>
      <c r="I17" s="105">
        <v>45337</v>
      </c>
      <c r="J17" s="50">
        <f t="shared" ref="J17:J20" si="8">+E17-F17</f>
        <v>299.88</v>
      </c>
      <c r="K17" s="47">
        <f t="shared" ref="K17:K20" si="9">+I17-D17</f>
        <v>85</v>
      </c>
      <c r="L17" s="48">
        <v>0.03</v>
      </c>
      <c r="M17" s="49">
        <f t="shared" ref="M17:M20" si="10">+J17*L17</f>
        <v>8.9963999999999995</v>
      </c>
      <c r="N17" s="74"/>
    </row>
    <row r="18" spans="1:14" s="1" customFormat="1" ht="15" customHeight="1" x14ac:dyDescent="0.25">
      <c r="A18" s="91" t="s">
        <v>52</v>
      </c>
      <c r="B18" s="101" t="s">
        <v>141</v>
      </c>
      <c r="C18" s="93" t="s">
        <v>145</v>
      </c>
      <c r="D18" s="88">
        <v>45254</v>
      </c>
      <c r="E18" s="92">
        <v>369.6</v>
      </c>
      <c r="F18" s="92">
        <v>110.88</v>
      </c>
      <c r="G18" s="90">
        <v>277.86</v>
      </c>
      <c r="H18" s="92">
        <v>31.05</v>
      </c>
      <c r="I18" s="105">
        <v>45337</v>
      </c>
      <c r="J18" s="50">
        <f t="shared" si="8"/>
        <v>258.72000000000003</v>
      </c>
      <c r="K18" s="47">
        <f t="shared" si="9"/>
        <v>83</v>
      </c>
      <c r="L18" s="48">
        <v>0.03</v>
      </c>
      <c r="M18" s="49">
        <f t="shared" si="10"/>
        <v>7.7616000000000005</v>
      </c>
      <c r="N18" s="74"/>
    </row>
    <row r="19" spans="1:14" s="1" customFormat="1" ht="15" customHeight="1" x14ac:dyDescent="0.25">
      <c r="A19" s="91" t="s">
        <v>74</v>
      </c>
      <c r="B19" s="101" t="s">
        <v>142</v>
      </c>
      <c r="C19" s="93" t="s">
        <v>146</v>
      </c>
      <c r="D19" s="88">
        <v>45258</v>
      </c>
      <c r="E19" s="92">
        <v>216</v>
      </c>
      <c r="F19" s="92">
        <v>43.2</v>
      </c>
      <c r="G19" s="90">
        <f>193.54-1.73-6.22</f>
        <v>185.59</v>
      </c>
      <c r="H19" s="92">
        <v>20.74</v>
      </c>
      <c r="I19" s="105">
        <v>45306</v>
      </c>
      <c r="J19" s="50">
        <f t="shared" si="8"/>
        <v>172.8</v>
      </c>
      <c r="K19" s="47">
        <f t="shared" si="9"/>
        <v>48</v>
      </c>
      <c r="L19" s="48">
        <v>0.03</v>
      </c>
      <c r="M19" s="49">
        <f t="shared" si="10"/>
        <v>5.1840000000000002</v>
      </c>
      <c r="N19" s="74"/>
    </row>
    <row r="20" spans="1:14" s="1" customFormat="1" ht="15" customHeight="1" x14ac:dyDescent="0.25">
      <c r="A20" s="91" t="s">
        <v>52</v>
      </c>
      <c r="B20" s="101" t="s">
        <v>141</v>
      </c>
      <c r="C20" s="93" t="s">
        <v>147</v>
      </c>
      <c r="D20" s="88">
        <v>45271</v>
      </c>
      <c r="E20" s="92">
        <v>324</v>
      </c>
      <c r="F20" s="92">
        <v>81</v>
      </c>
      <c r="G20" s="90">
        <f>272.16-2.43-8.75</f>
        <v>260.98</v>
      </c>
      <c r="H20" s="92">
        <v>29.16</v>
      </c>
      <c r="I20" s="105">
        <v>45337</v>
      </c>
      <c r="J20" s="50">
        <f t="shared" si="8"/>
        <v>243</v>
      </c>
      <c r="K20" s="47">
        <f t="shared" si="9"/>
        <v>66</v>
      </c>
      <c r="L20" s="48">
        <v>0.03</v>
      </c>
      <c r="M20" s="49">
        <f t="shared" si="10"/>
        <v>7.29</v>
      </c>
      <c r="N20" s="74"/>
    </row>
    <row r="21" spans="1:14" s="1" customFormat="1" ht="15" customHeight="1" thickBot="1" x14ac:dyDescent="0.3">
      <c r="A21" s="91"/>
      <c r="B21" s="101"/>
      <c r="C21" s="93"/>
      <c r="D21" s="88"/>
      <c r="E21" s="92"/>
      <c r="F21" s="92"/>
      <c r="G21" s="90"/>
      <c r="H21" s="92"/>
      <c r="I21" s="105"/>
      <c r="J21" s="50"/>
      <c r="K21" s="47"/>
      <c r="L21" s="48"/>
      <c r="M21" s="49"/>
      <c r="N21" s="74"/>
    </row>
    <row r="22" spans="1:14" ht="15" customHeight="1" thickBot="1" x14ac:dyDescent="0.35">
      <c r="A22" s="332" t="s">
        <v>29</v>
      </c>
      <c r="B22" s="332"/>
      <c r="C22" s="332"/>
      <c r="D22" s="332"/>
      <c r="E22" s="332"/>
      <c r="F22" s="332"/>
      <c r="G22" s="37">
        <f>SUM(G12:G21)</f>
        <v>1699.66</v>
      </c>
      <c r="J22" s="37">
        <f>SUM(J12:J21)</f>
        <v>1581.77</v>
      </c>
      <c r="L22" s="20"/>
      <c r="M22" s="38">
        <f>SUM(M12:M21)</f>
        <v>47.908499999999997</v>
      </c>
    </row>
    <row r="23" spans="1:14" ht="15" customHeight="1" x14ac:dyDescent="0.25">
      <c r="A23" s="19"/>
      <c r="B23" s="19"/>
      <c r="C23" s="19"/>
      <c r="D23" s="67"/>
      <c r="E23" s="19"/>
      <c r="F23" s="19"/>
      <c r="G23" s="8"/>
      <c r="J23" s="8"/>
      <c r="M23" s="8"/>
    </row>
    <row r="24" spans="1:14" ht="15" customHeight="1" x14ac:dyDescent="0.3">
      <c r="A24" s="39"/>
      <c r="B24" s="19"/>
      <c r="C24" s="19"/>
      <c r="D24" s="67"/>
      <c r="E24" s="19"/>
      <c r="F24" s="19"/>
      <c r="G24" s="8"/>
      <c r="J24" s="8"/>
      <c r="M24" s="8"/>
    </row>
    <row r="25" spans="1:14" ht="15" customHeight="1" x14ac:dyDescent="0.25">
      <c r="A25" s="19"/>
      <c r="B25" s="19"/>
      <c r="C25" s="19"/>
      <c r="D25" s="67"/>
      <c r="E25" s="19"/>
      <c r="F25" s="19"/>
      <c r="G25" s="8"/>
      <c r="I25" s="73"/>
    </row>
    <row r="26" spans="1:14" ht="15" customHeight="1" x14ac:dyDescent="0.25">
      <c r="A26" s="331" t="s">
        <v>112</v>
      </c>
      <c r="B26" s="331"/>
      <c r="C26" s="331"/>
      <c r="D26" s="331"/>
      <c r="E26" s="331"/>
      <c r="F26" s="331"/>
      <c r="G26" s="24"/>
      <c r="H26" s="24"/>
      <c r="I26" s="65"/>
      <c r="J26" s="26"/>
      <c r="K26" s="27"/>
      <c r="L26" s="28"/>
      <c r="M26" s="29"/>
    </row>
    <row r="27" spans="1:14" ht="15" customHeight="1" x14ac:dyDescent="0.25">
      <c r="A27" s="331" t="s">
        <v>1</v>
      </c>
      <c r="B27" s="331"/>
      <c r="C27" s="331"/>
      <c r="D27" s="331"/>
      <c r="E27" s="331"/>
      <c r="F27" s="331"/>
      <c r="G27" s="24"/>
      <c r="H27" s="25"/>
      <c r="I27" s="65"/>
      <c r="J27" s="27"/>
      <c r="K27" s="27"/>
      <c r="L27" s="28"/>
      <c r="M27" s="29"/>
    </row>
    <row r="28" spans="1:14" ht="15" customHeight="1" x14ac:dyDescent="0.25">
      <c r="A28" s="30"/>
      <c r="B28" s="31" t="s">
        <v>135</v>
      </c>
      <c r="C28" s="30"/>
      <c r="D28" s="64"/>
      <c r="E28" s="30"/>
      <c r="F28" s="30"/>
      <c r="G28" s="24"/>
      <c r="H28" s="25"/>
      <c r="I28" s="65"/>
      <c r="J28" s="27"/>
      <c r="K28" s="27"/>
      <c r="L28" s="28"/>
      <c r="M28" s="29"/>
    </row>
    <row r="29" spans="1:14" ht="15" customHeight="1" thickBot="1" x14ac:dyDescent="0.3">
      <c r="A29" s="30"/>
      <c r="B29" s="31" t="s">
        <v>22</v>
      </c>
      <c r="C29" s="30"/>
      <c r="D29" s="64"/>
      <c r="E29" s="30"/>
      <c r="F29" s="30"/>
      <c r="G29" s="32"/>
      <c r="H29" s="24"/>
      <c r="I29" s="69"/>
      <c r="J29" s="33"/>
      <c r="K29" s="27"/>
      <c r="L29" s="28"/>
      <c r="M29" s="29"/>
    </row>
    <row r="30" spans="1:14" ht="15" customHeight="1" x14ac:dyDescent="0.25">
      <c r="A30" s="34"/>
      <c r="B30" s="33"/>
      <c r="C30" s="33"/>
      <c r="D30" s="65"/>
      <c r="E30" s="33"/>
      <c r="F30" s="33"/>
      <c r="G30" s="35" t="s">
        <v>3</v>
      </c>
      <c r="H30" s="27"/>
      <c r="I30" s="65"/>
      <c r="J30" s="36" t="s">
        <v>4</v>
      </c>
      <c r="K30" s="56" t="s">
        <v>5</v>
      </c>
      <c r="L30" s="40" t="s">
        <v>6</v>
      </c>
      <c r="M30" s="36" t="s">
        <v>7</v>
      </c>
    </row>
    <row r="31" spans="1:14" ht="15" customHeight="1" x14ac:dyDescent="0.25">
      <c r="A31" s="11" t="s">
        <v>8</v>
      </c>
      <c r="B31" s="11" t="s">
        <v>9</v>
      </c>
      <c r="C31" s="11" t="s">
        <v>10</v>
      </c>
      <c r="D31" s="66" t="s">
        <v>11</v>
      </c>
      <c r="E31" s="11" t="s">
        <v>12</v>
      </c>
      <c r="F31" s="54" t="s">
        <v>50</v>
      </c>
      <c r="G31" s="62" t="s">
        <v>13</v>
      </c>
      <c r="H31" s="13" t="s">
        <v>14</v>
      </c>
      <c r="I31" s="70" t="s">
        <v>15</v>
      </c>
      <c r="J31" s="14" t="s">
        <v>16</v>
      </c>
      <c r="K31" s="57"/>
      <c r="L31" s="58" t="s">
        <v>17</v>
      </c>
      <c r="M31" s="14" t="s">
        <v>39</v>
      </c>
    </row>
    <row r="32" spans="1:14" ht="15" customHeight="1" x14ac:dyDescent="0.25">
      <c r="A32" s="91" t="s">
        <v>122</v>
      </c>
      <c r="B32" s="55" t="s">
        <v>123</v>
      </c>
      <c r="C32" s="93" t="s">
        <v>124</v>
      </c>
      <c r="D32" s="88">
        <v>45035</v>
      </c>
      <c r="E32" s="92">
        <v>1284.5999999999999</v>
      </c>
      <c r="F32" s="92">
        <v>218.39</v>
      </c>
      <c r="G32" s="96">
        <v>62.800000000000068</v>
      </c>
      <c r="H32" s="92">
        <v>127.95</v>
      </c>
      <c r="I32" s="89">
        <v>45271</v>
      </c>
      <c r="J32" s="50">
        <f>100/1.12</f>
        <v>89.285714285714278</v>
      </c>
      <c r="K32" s="47">
        <f t="shared" ref="K32:K40" si="11">+I32-D32</f>
        <v>236</v>
      </c>
      <c r="L32" s="5">
        <v>0</v>
      </c>
      <c r="M32" s="6">
        <f t="shared" ref="M32:M40" si="12">+J32*L32</f>
        <v>0</v>
      </c>
    </row>
    <row r="33" spans="1:17" ht="15" customHeight="1" x14ac:dyDescent="0.25">
      <c r="A33" s="83" t="s">
        <v>76</v>
      </c>
      <c r="B33" s="55" t="s">
        <v>18</v>
      </c>
      <c r="C33" s="95" t="s">
        <v>149</v>
      </c>
      <c r="D33" s="85">
        <v>45175</v>
      </c>
      <c r="E33" s="86">
        <v>1148.4000000000001</v>
      </c>
      <c r="F33" s="86">
        <v>172.26</v>
      </c>
      <c r="G33" s="94">
        <v>1048.3799999999999</v>
      </c>
      <c r="H33" s="86">
        <v>117.14</v>
      </c>
      <c r="I33" s="105">
        <v>45275</v>
      </c>
      <c r="J33" s="50">
        <f t="shared" ref="J33:J40" si="13">+E33-F33</f>
        <v>976.1400000000001</v>
      </c>
      <c r="K33" s="47">
        <f t="shared" si="11"/>
        <v>100</v>
      </c>
      <c r="L33" s="5">
        <v>0.03</v>
      </c>
      <c r="M33" s="6">
        <f t="shared" si="12"/>
        <v>29.284200000000002</v>
      </c>
    </row>
    <row r="34" spans="1:17" ht="15" customHeight="1" x14ac:dyDescent="0.25">
      <c r="A34" s="83" t="s">
        <v>76</v>
      </c>
      <c r="B34" s="55" t="s">
        <v>18</v>
      </c>
      <c r="C34" s="95" t="s">
        <v>150</v>
      </c>
      <c r="D34" s="85">
        <v>45175</v>
      </c>
      <c r="E34" s="86">
        <v>211.2</v>
      </c>
      <c r="F34" s="86">
        <v>31.68</v>
      </c>
      <c r="G34" s="94">
        <v>192.79999999999998</v>
      </c>
      <c r="H34" s="86">
        <v>21.54</v>
      </c>
      <c r="I34" s="105">
        <v>45275</v>
      </c>
      <c r="J34" s="50">
        <f t="shared" si="13"/>
        <v>179.51999999999998</v>
      </c>
      <c r="K34" s="47">
        <f t="shared" si="11"/>
        <v>100</v>
      </c>
      <c r="L34" s="5">
        <v>0.03</v>
      </c>
      <c r="M34" s="6">
        <f t="shared" si="12"/>
        <v>5.3855999999999993</v>
      </c>
    </row>
    <row r="35" spans="1:17" ht="15" customHeight="1" x14ac:dyDescent="0.25">
      <c r="A35" s="83" t="s">
        <v>71</v>
      </c>
      <c r="B35" s="107" t="s">
        <v>24</v>
      </c>
      <c r="C35" s="95" t="s">
        <v>166</v>
      </c>
      <c r="D35" s="85">
        <v>45252</v>
      </c>
      <c r="E35" s="86">
        <v>619.55999999999995</v>
      </c>
      <c r="F35" s="86">
        <v>154.88999999999999</v>
      </c>
      <c r="G35" s="94">
        <f>520.43</f>
        <v>520.42999999999995</v>
      </c>
      <c r="H35" s="86">
        <v>55.76</v>
      </c>
      <c r="I35" s="106">
        <v>45261</v>
      </c>
      <c r="J35" s="50">
        <f t="shared" ref="J35" si="14">+E35-F35</f>
        <v>464.66999999999996</v>
      </c>
      <c r="K35" s="47">
        <f t="shared" ref="K35" si="15">+I35-D35</f>
        <v>9</v>
      </c>
      <c r="L35" s="5">
        <v>3.5000000000000003E-2</v>
      </c>
      <c r="M35" s="6">
        <f t="shared" ref="M35" si="16">+J35*L35</f>
        <v>16.263449999999999</v>
      </c>
    </row>
    <row r="36" spans="1:17" ht="15" customHeight="1" x14ac:dyDescent="0.25">
      <c r="A36" s="83" t="s">
        <v>76</v>
      </c>
      <c r="B36" s="55" t="s">
        <v>18</v>
      </c>
      <c r="C36" s="95" t="s">
        <v>151</v>
      </c>
      <c r="D36" s="85">
        <v>45181</v>
      </c>
      <c r="E36" s="86">
        <v>1174.8</v>
      </c>
      <c r="F36" s="86">
        <v>176.22</v>
      </c>
      <c r="G36" s="94">
        <v>1072.47</v>
      </c>
      <c r="H36" s="86">
        <v>119.83</v>
      </c>
      <c r="I36" s="105">
        <v>45275</v>
      </c>
      <c r="J36" s="50">
        <f t="shared" si="13"/>
        <v>998.57999999999993</v>
      </c>
      <c r="K36" s="47">
        <f t="shared" si="11"/>
        <v>94</v>
      </c>
      <c r="L36" s="5">
        <v>0.03</v>
      </c>
      <c r="M36" s="6">
        <f t="shared" si="12"/>
        <v>29.957399999999996</v>
      </c>
    </row>
    <row r="37" spans="1:17" ht="15" customHeight="1" x14ac:dyDescent="0.25">
      <c r="A37" s="83" t="s">
        <v>76</v>
      </c>
      <c r="B37" s="55" t="s">
        <v>18</v>
      </c>
      <c r="C37" s="95" t="s">
        <v>152</v>
      </c>
      <c r="D37" s="85">
        <v>45182</v>
      </c>
      <c r="E37" s="86">
        <v>275</v>
      </c>
      <c r="F37" s="86">
        <v>41.25</v>
      </c>
      <c r="G37" s="94">
        <v>251.04000000000005</v>
      </c>
      <c r="H37" s="86">
        <v>28.05</v>
      </c>
      <c r="I37" s="105">
        <v>45275</v>
      </c>
      <c r="J37" s="50">
        <f t="shared" si="13"/>
        <v>233.75</v>
      </c>
      <c r="K37" s="47">
        <f t="shared" si="11"/>
        <v>93</v>
      </c>
      <c r="L37" s="5">
        <v>0.03</v>
      </c>
      <c r="M37" s="6">
        <f t="shared" si="12"/>
        <v>7.0125000000000002</v>
      </c>
    </row>
    <row r="38" spans="1:17" ht="15" customHeight="1" x14ac:dyDescent="0.25">
      <c r="A38" s="83" t="s">
        <v>115</v>
      </c>
      <c r="B38" s="55" t="s">
        <v>18</v>
      </c>
      <c r="C38" s="95" t="s">
        <v>153</v>
      </c>
      <c r="D38" s="85">
        <v>45191</v>
      </c>
      <c r="E38" s="86">
        <v>42.24</v>
      </c>
      <c r="F38" s="86">
        <v>8.44</v>
      </c>
      <c r="G38" s="94">
        <v>36.299999999999997</v>
      </c>
      <c r="H38" s="86">
        <v>4.0599999999999996</v>
      </c>
      <c r="I38" s="105">
        <v>45281</v>
      </c>
      <c r="J38" s="50">
        <f t="shared" si="13"/>
        <v>33.800000000000004</v>
      </c>
      <c r="K38" s="47">
        <f t="shared" si="11"/>
        <v>90</v>
      </c>
      <c r="L38" s="5">
        <v>0.03</v>
      </c>
      <c r="M38" s="6">
        <f t="shared" si="12"/>
        <v>1.014</v>
      </c>
    </row>
    <row r="39" spans="1:17" ht="15" customHeight="1" x14ac:dyDescent="0.25">
      <c r="A39" s="83" t="s">
        <v>103</v>
      </c>
      <c r="B39" s="107" t="s">
        <v>31</v>
      </c>
      <c r="C39" s="95" t="s">
        <v>154</v>
      </c>
      <c r="D39" s="85">
        <v>45251</v>
      </c>
      <c r="E39" s="86">
        <v>105.6</v>
      </c>
      <c r="F39" s="86">
        <v>15.84</v>
      </c>
      <c r="G39" s="94">
        <f>100.53</f>
        <v>100.53</v>
      </c>
      <c r="H39" s="86">
        <v>10.77</v>
      </c>
      <c r="I39" s="106">
        <v>45273</v>
      </c>
      <c r="J39" s="50">
        <f t="shared" si="13"/>
        <v>89.759999999999991</v>
      </c>
      <c r="K39" s="47">
        <f t="shared" si="11"/>
        <v>22</v>
      </c>
      <c r="L39" s="5">
        <v>3.5000000000000003E-2</v>
      </c>
      <c r="M39" s="6">
        <f t="shared" si="12"/>
        <v>3.1415999999999999</v>
      </c>
    </row>
    <row r="40" spans="1:17" ht="15" customHeight="1" x14ac:dyDescent="0.25">
      <c r="A40" s="83" t="s">
        <v>148</v>
      </c>
      <c r="B40" s="113" t="s">
        <v>18</v>
      </c>
      <c r="C40" s="95" t="s">
        <v>155</v>
      </c>
      <c r="D40" s="85">
        <v>45278</v>
      </c>
      <c r="E40" s="86">
        <v>304.2</v>
      </c>
      <c r="F40" s="86">
        <v>76.05</v>
      </c>
      <c r="G40" s="94">
        <v>228.15</v>
      </c>
      <c r="H40" s="86">
        <v>0</v>
      </c>
      <c r="I40" s="105">
        <v>45282</v>
      </c>
      <c r="J40" s="50">
        <f t="shared" si="13"/>
        <v>228.14999999999998</v>
      </c>
      <c r="K40" s="47">
        <f t="shared" si="11"/>
        <v>4</v>
      </c>
      <c r="L40" s="5">
        <v>3.5000000000000003E-2</v>
      </c>
      <c r="M40" s="6">
        <f t="shared" si="12"/>
        <v>7.9852499999999997</v>
      </c>
    </row>
    <row r="41" spans="1:17" ht="15" customHeight="1" x14ac:dyDescent="0.25">
      <c r="A41" s="83"/>
      <c r="B41" s="111"/>
      <c r="C41" s="95"/>
      <c r="D41" s="85"/>
      <c r="E41" s="86"/>
      <c r="F41" s="86"/>
      <c r="G41" s="94"/>
      <c r="H41" s="86"/>
      <c r="I41" s="84"/>
      <c r="J41" s="50"/>
      <c r="K41" s="47"/>
      <c r="L41" s="5"/>
      <c r="M41" s="6"/>
    </row>
    <row r="42" spans="1:17" ht="15" customHeight="1" x14ac:dyDescent="0.3">
      <c r="A42" s="2"/>
      <c r="B42" s="3"/>
      <c r="C42" s="3"/>
      <c r="D42" s="61"/>
      <c r="E42" s="4"/>
      <c r="F42" s="4"/>
      <c r="G42" s="9"/>
      <c r="H42" s="10"/>
      <c r="I42" s="71"/>
      <c r="J42" s="50"/>
      <c r="K42" s="47"/>
      <c r="L42" s="5"/>
      <c r="M42" s="6"/>
      <c r="O42" s="15"/>
      <c r="P42" s="8"/>
      <c r="Q42" s="8"/>
    </row>
    <row r="43" spans="1:17" ht="15" customHeight="1" x14ac:dyDescent="0.3">
      <c r="G43" s="16">
        <f>SUM(G32:G42)</f>
        <v>3512.9000000000005</v>
      </c>
      <c r="J43" s="16">
        <f>SUM(J32:J42)</f>
        <v>3293.6557142857141</v>
      </c>
      <c r="M43" s="16">
        <f>SUM(M32:M42)</f>
        <v>100.04399999999998</v>
      </c>
    </row>
    <row r="44" spans="1:17" ht="15" customHeight="1" x14ac:dyDescent="0.25">
      <c r="G44" s="8"/>
      <c r="H44" s="8"/>
    </row>
    <row r="45" spans="1:17" ht="15" customHeight="1" x14ac:dyDescent="0.25">
      <c r="A45" s="17" t="s">
        <v>19</v>
      </c>
      <c r="B45" s="17" t="s">
        <v>20</v>
      </c>
      <c r="C45" s="18" t="s">
        <v>21</v>
      </c>
    </row>
    <row r="46" spans="1:17" s="52" customFormat="1" ht="15" customHeight="1" x14ac:dyDescent="0.25">
      <c r="A46" s="91" t="s">
        <v>90</v>
      </c>
      <c r="B46" s="101" t="s">
        <v>156</v>
      </c>
      <c r="C46" s="93" t="s">
        <v>161</v>
      </c>
      <c r="D46" s="88">
        <v>45202</v>
      </c>
      <c r="E46" s="92">
        <v>173.28</v>
      </c>
      <c r="F46" s="92">
        <v>25.98</v>
      </c>
      <c r="G46" s="90">
        <f>164.98-1.47-5.3</f>
        <v>158.20999999999998</v>
      </c>
      <c r="H46" s="92">
        <v>17.68</v>
      </c>
      <c r="I46" s="105">
        <v>45297</v>
      </c>
      <c r="J46" s="50">
        <f t="shared" ref="J46:J50" si="17">+E46-F46</f>
        <v>147.30000000000001</v>
      </c>
      <c r="K46" s="47">
        <f t="shared" ref="K46:K47" si="18">+I46-D46</f>
        <v>95</v>
      </c>
      <c r="L46" s="48">
        <v>0.03</v>
      </c>
      <c r="M46" s="49">
        <f t="shared" ref="M46:M47" si="19">+J46*L46</f>
        <v>4.4190000000000005</v>
      </c>
      <c r="N46" s="60"/>
    </row>
    <row r="47" spans="1:17" s="52" customFormat="1" ht="15" customHeight="1" x14ac:dyDescent="0.25">
      <c r="A47" s="91" t="s">
        <v>47</v>
      </c>
      <c r="B47" s="101" t="s">
        <v>157</v>
      </c>
      <c r="C47" s="93" t="s">
        <v>162</v>
      </c>
      <c r="D47" s="88">
        <v>45252</v>
      </c>
      <c r="E47" s="92">
        <v>330.6</v>
      </c>
      <c r="F47" s="92">
        <v>56.21</v>
      </c>
      <c r="G47" s="90">
        <v>307.32</v>
      </c>
      <c r="H47" s="92">
        <v>32.93</v>
      </c>
      <c r="I47" s="106">
        <v>45313</v>
      </c>
      <c r="J47" s="50">
        <f t="shared" si="17"/>
        <v>274.39000000000004</v>
      </c>
      <c r="K47" s="47">
        <f t="shared" si="18"/>
        <v>61</v>
      </c>
      <c r="L47" s="48">
        <v>0.03</v>
      </c>
      <c r="M47" s="49">
        <f t="shared" si="19"/>
        <v>8.2317000000000018</v>
      </c>
      <c r="N47" s="60"/>
    </row>
    <row r="48" spans="1:17" s="52" customFormat="1" ht="15" customHeight="1" x14ac:dyDescent="0.25">
      <c r="A48" s="91" t="s">
        <v>46</v>
      </c>
      <c r="B48" s="101" t="s">
        <v>158</v>
      </c>
      <c r="C48" s="93" t="s">
        <v>163</v>
      </c>
      <c r="D48" s="88">
        <v>45259</v>
      </c>
      <c r="E48" s="92">
        <v>1018.8</v>
      </c>
      <c r="F48" s="92">
        <v>254.7</v>
      </c>
      <c r="G48" s="90">
        <v>820.64</v>
      </c>
      <c r="H48" s="92">
        <v>91.69</v>
      </c>
      <c r="I48" s="106">
        <v>45321</v>
      </c>
      <c r="J48" s="50">
        <f t="shared" si="17"/>
        <v>764.09999999999991</v>
      </c>
      <c r="K48" s="47">
        <f>+I48-D48</f>
        <v>62</v>
      </c>
      <c r="L48" s="48">
        <v>0.03</v>
      </c>
      <c r="M48" s="49">
        <f>+J48*L48</f>
        <v>22.922999999999995</v>
      </c>
      <c r="N48" s="60"/>
    </row>
    <row r="49" spans="1:14" s="52" customFormat="1" ht="15" customHeight="1" x14ac:dyDescent="0.25">
      <c r="A49" s="91" t="s">
        <v>47</v>
      </c>
      <c r="B49" s="101" t="s">
        <v>159</v>
      </c>
      <c r="C49" s="93" t="s">
        <v>164</v>
      </c>
      <c r="D49" s="88">
        <v>45268</v>
      </c>
      <c r="E49" s="92">
        <v>648</v>
      </c>
      <c r="F49" s="92">
        <v>142.56</v>
      </c>
      <c r="G49" s="90">
        <v>566.09</v>
      </c>
      <c r="H49" s="92">
        <v>60.65</v>
      </c>
      <c r="I49" s="105">
        <v>45330</v>
      </c>
      <c r="J49" s="50">
        <f t="shared" si="17"/>
        <v>505.44</v>
      </c>
      <c r="K49" s="47">
        <f>+I49-D49</f>
        <v>62</v>
      </c>
      <c r="L49" s="48">
        <v>0.03</v>
      </c>
      <c r="M49" s="49">
        <f>+J49*L49</f>
        <v>15.1632</v>
      </c>
      <c r="N49" s="60"/>
    </row>
    <row r="50" spans="1:14" s="52" customFormat="1" ht="15" customHeight="1" x14ac:dyDescent="0.25">
      <c r="A50" s="91" t="s">
        <v>102</v>
      </c>
      <c r="B50" s="101" t="s">
        <v>160</v>
      </c>
      <c r="C50" s="93" t="s">
        <v>165</v>
      </c>
      <c r="D50" s="88">
        <v>45279</v>
      </c>
      <c r="E50" s="92">
        <v>46.8</v>
      </c>
      <c r="F50" s="92">
        <v>7.02</v>
      </c>
      <c r="G50" s="90">
        <f>44.55</f>
        <v>44.55</v>
      </c>
      <c r="H50" s="92">
        <v>4.7699999999999996</v>
      </c>
      <c r="I50" s="105">
        <v>45296</v>
      </c>
      <c r="J50" s="50">
        <f t="shared" si="17"/>
        <v>39.78</v>
      </c>
      <c r="K50" s="47">
        <f t="shared" ref="K50" si="20">+I50-D50</f>
        <v>17</v>
      </c>
      <c r="L50" s="48">
        <v>0.03</v>
      </c>
      <c r="M50" s="49">
        <f t="shared" ref="M50" si="21">+J50*L50</f>
        <v>1.1934</v>
      </c>
      <c r="N50" s="60"/>
    </row>
    <row r="51" spans="1:14" s="52" customFormat="1" ht="15" customHeight="1" x14ac:dyDescent="0.3">
      <c r="A51" s="42"/>
      <c r="B51" s="43"/>
      <c r="C51" s="43"/>
      <c r="D51" s="68"/>
      <c r="E51" s="44"/>
      <c r="F51" s="44"/>
      <c r="G51" s="45"/>
      <c r="H51" s="46"/>
      <c r="I51" s="72"/>
      <c r="J51" s="50"/>
      <c r="K51" s="47"/>
      <c r="L51" s="48"/>
      <c r="M51" s="49"/>
      <c r="N51" s="60"/>
    </row>
    <row r="52" spans="1:14" ht="15" customHeight="1" thickBot="1" x14ac:dyDescent="0.35">
      <c r="A52" s="332" t="s">
        <v>29</v>
      </c>
      <c r="B52" s="332"/>
      <c r="C52" s="332"/>
      <c r="D52" s="332"/>
      <c r="E52" s="332"/>
      <c r="F52" s="332"/>
      <c r="G52" s="16">
        <f>SUM(G43:G51)</f>
        <v>5409.7100000000009</v>
      </c>
      <c r="J52" s="16">
        <f>SUM(J43:J51)</f>
        <v>5024.665714285713</v>
      </c>
      <c r="L52" s="20"/>
      <c r="M52" s="23">
        <f>SUM(M43:M51)</f>
        <v>151.97429999999997</v>
      </c>
    </row>
    <row r="53" spans="1:14" ht="15" customHeight="1" x14ac:dyDescent="0.3">
      <c r="A53" s="22"/>
      <c r="G53" s="8"/>
    </row>
    <row r="54" spans="1:14" ht="15" customHeight="1" x14ac:dyDescent="0.3">
      <c r="A54" s="39"/>
      <c r="G54" s="8"/>
      <c r="J54" s="8"/>
    </row>
    <row r="55" spans="1:14" ht="15" customHeight="1" x14ac:dyDescent="0.3">
      <c r="A55" s="39"/>
      <c r="G55" s="8"/>
      <c r="J55" s="8"/>
    </row>
    <row r="56" spans="1:14" ht="15" customHeight="1" x14ac:dyDescent="0.3">
      <c r="A56" s="39"/>
      <c r="G56" s="8"/>
      <c r="J56" s="8"/>
    </row>
    <row r="57" spans="1:14" ht="15" customHeight="1" x14ac:dyDescent="0.3">
      <c r="A57" s="39"/>
      <c r="G57" s="8"/>
      <c r="J57" s="8"/>
    </row>
    <row r="58" spans="1:14" ht="15" customHeight="1" x14ac:dyDescent="0.3">
      <c r="A58" s="39"/>
      <c r="G58" s="8"/>
      <c r="J58" s="8">
        <f>J22+J52</f>
        <v>6606.4357142857134</v>
      </c>
    </row>
    <row r="59" spans="1:14" ht="15" customHeight="1" x14ac:dyDescent="0.3">
      <c r="A59" s="39"/>
      <c r="G59" s="8"/>
      <c r="J59" s="8">
        <f>J58*2%</f>
        <v>132.12871428571427</v>
      </c>
      <c r="M59" s="8"/>
    </row>
    <row r="60" spans="1:14" ht="15" customHeight="1" x14ac:dyDescent="0.3">
      <c r="A60" s="39"/>
      <c r="G60" s="8"/>
      <c r="J60" s="8"/>
    </row>
    <row r="61" spans="1:14" ht="15" customHeight="1" x14ac:dyDescent="0.3">
      <c r="A61" s="39"/>
      <c r="G61" s="8"/>
      <c r="J61" s="8"/>
    </row>
    <row r="62" spans="1:14" ht="15" customHeight="1" x14ac:dyDescent="0.3">
      <c r="A62" s="39"/>
      <c r="G62" s="8"/>
      <c r="J62" s="8"/>
    </row>
    <row r="63" spans="1:14" ht="15" customHeight="1" x14ac:dyDescent="0.3">
      <c r="A63" s="39"/>
      <c r="G63" s="8"/>
      <c r="J63" s="8"/>
    </row>
    <row r="64" spans="1:14" ht="15" customHeight="1" x14ac:dyDescent="0.3">
      <c r="A64" s="39"/>
      <c r="G64" s="8"/>
      <c r="J64" s="8"/>
    </row>
    <row r="65" spans="1:11" ht="15" customHeight="1" x14ac:dyDescent="0.3">
      <c r="A65" s="22"/>
      <c r="K65" s="15"/>
    </row>
  </sheetData>
  <mergeCells count="7">
    <mergeCell ref="A52:F52"/>
    <mergeCell ref="A2:F2"/>
    <mergeCell ref="A3:F3"/>
    <mergeCell ref="A12:F12"/>
    <mergeCell ref="A22:F22"/>
    <mergeCell ref="A26:F26"/>
    <mergeCell ref="A27:F27"/>
  </mergeCells>
  <pageMargins left="0.39370078740157483" right="0" top="0.59055118110236227" bottom="0" header="0" footer="0"/>
  <pageSetup paperSize="9" scale="8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83"/>
  <sheetViews>
    <sheetView workbookViewId="0">
      <selection activeCell="A2" sqref="A2:M21"/>
    </sheetView>
  </sheetViews>
  <sheetFormatPr baseColWidth="10" defaultColWidth="11.44140625" defaultRowHeight="13.2" x14ac:dyDescent="0.25"/>
  <cols>
    <col min="1" max="1" width="28.88671875" style="7" customWidth="1"/>
    <col min="2" max="2" width="34" style="7" customWidth="1"/>
    <col min="3" max="3" width="10.88671875" style="7" customWidth="1"/>
    <col min="4" max="4" width="10.88671875" style="63" customWidth="1"/>
    <col min="5" max="5" width="11.44140625" style="7"/>
    <col min="6" max="6" width="8.5546875" style="7" customWidth="1"/>
    <col min="7" max="7" width="12.5546875" style="7" customWidth="1"/>
    <col min="8" max="8" width="8.33203125" style="7" customWidth="1"/>
    <col min="9" max="9" width="13.6640625" style="63" customWidth="1"/>
    <col min="10" max="10" width="12.44140625" style="7" customWidth="1"/>
    <col min="11" max="11" width="7.109375" style="7" customWidth="1"/>
    <col min="12" max="12" width="7.33203125" style="7" customWidth="1"/>
    <col min="13" max="13" width="10.33203125" style="7" customWidth="1"/>
    <col min="14" max="14" width="17.33203125" style="59" customWidth="1"/>
    <col min="15" max="16" width="8" style="7" customWidth="1"/>
    <col min="17" max="16384" width="11.44140625" style="7"/>
  </cols>
  <sheetData>
    <row r="1" spans="1:30" ht="15" customHeight="1" x14ac:dyDescent="0.25">
      <c r="B1" s="8"/>
      <c r="C1" s="8"/>
      <c r="G1" s="8"/>
    </row>
    <row r="2" spans="1:30" ht="15" customHeight="1" x14ac:dyDescent="0.25">
      <c r="A2" s="30" t="s">
        <v>0</v>
      </c>
      <c r="B2" s="30"/>
      <c r="C2" s="30"/>
      <c r="D2" s="30"/>
      <c r="E2" s="30"/>
      <c r="F2" s="30"/>
      <c r="G2" s="24"/>
      <c r="H2" s="25"/>
      <c r="I2" s="65"/>
      <c r="J2" s="26"/>
      <c r="K2" s="27"/>
      <c r="L2" s="28"/>
      <c r="M2" s="29"/>
    </row>
    <row r="3" spans="1:30" ht="15" customHeight="1" x14ac:dyDescent="0.25">
      <c r="A3" s="30" t="s">
        <v>1</v>
      </c>
      <c r="B3" s="30"/>
      <c r="C3" s="30"/>
      <c r="D3" s="30"/>
      <c r="E3" s="30"/>
      <c r="F3" s="30"/>
      <c r="G3" s="24"/>
      <c r="H3" s="25"/>
      <c r="I3" s="65"/>
      <c r="J3" s="27"/>
      <c r="K3" s="27"/>
      <c r="L3" s="28"/>
      <c r="M3" s="29"/>
    </row>
    <row r="4" spans="1:30" ht="15" customHeight="1" x14ac:dyDescent="0.25">
      <c r="A4" s="30"/>
      <c r="B4" s="31" t="s">
        <v>175</v>
      </c>
      <c r="C4" s="30"/>
      <c r="D4" s="64"/>
      <c r="E4" s="30"/>
      <c r="F4" s="30"/>
      <c r="G4" s="24"/>
      <c r="H4" s="25"/>
      <c r="I4" s="65"/>
      <c r="J4" s="27"/>
      <c r="K4" s="27"/>
      <c r="L4" s="28"/>
      <c r="M4" s="29"/>
    </row>
    <row r="5" spans="1:30" ht="15" customHeight="1" thickBot="1" x14ac:dyDescent="0.3">
      <c r="A5" s="30"/>
      <c r="B5" s="31" t="s">
        <v>2</v>
      </c>
      <c r="C5" s="30"/>
      <c r="D5" s="64"/>
      <c r="E5" s="30"/>
      <c r="F5" s="30"/>
      <c r="G5" s="32"/>
      <c r="H5" s="24"/>
      <c r="I5" s="69"/>
      <c r="J5" s="33"/>
      <c r="K5" s="27"/>
      <c r="L5" s="28"/>
      <c r="M5" s="29"/>
    </row>
    <row r="6" spans="1:30" ht="15" customHeight="1" x14ac:dyDescent="0.25">
      <c r="A6" s="34" t="s">
        <v>66</v>
      </c>
      <c r="B6" s="33"/>
      <c r="C6" s="33"/>
      <c r="D6" s="65"/>
      <c r="E6" s="33"/>
      <c r="F6" s="33"/>
      <c r="G6" s="35" t="s">
        <v>3</v>
      </c>
      <c r="H6" s="27"/>
      <c r="I6" s="65"/>
      <c r="J6" s="36" t="s">
        <v>4</v>
      </c>
      <c r="K6" s="56" t="s">
        <v>5</v>
      </c>
      <c r="L6" s="40" t="s">
        <v>6</v>
      </c>
      <c r="M6" s="36" t="s">
        <v>7</v>
      </c>
    </row>
    <row r="7" spans="1:30" ht="15" customHeight="1" thickBot="1" x14ac:dyDescent="0.3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12" t="s">
        <v>13</v>
      </c>
      <c r="H7" s="13" t="s">
        <v>14</v>
      </c>
      <c r="I7" s="70" t="s">
        <v>15</v>
      </c>
      <c r="J7" s="14" t="s">
        <v>16</v>
      </c>
      <c r="K7" s="57"/>
      <c r="L7" s="58" t="s">
        <v>17</v>
      </c>
      <c r="M7" s="14" t="s">
        <v>39</v>
      </c>
    </row>
    <row r="8" spans="1:30" s="1" customFormat="1" ht="15" customHeight="1" x14ac:dyDescent="0.25">
      <c r="A8" s="83" t="s">
        <v>36</v>
      </c>
      <c r="B8" s="55" t="s">
        <v>23</v>
      </c>
      <c r="C8" s="95" t="s">
        <v>174</v>
      </c>
      <c r="D8" s="85">
        <v>45211</v>
      </c>
      <c r="E8" s="86">
        <v>108</v>
      </c>
      <c r="F8" s="86">
        <v>21.6</v>
      </c>
      <c r="G8" s="94">
        <f>96.77-0.86-3.11</f>
        <v>92.8</v>
      </c>
      <c r="H8" s="86">
        <v>10.37</v>
      </c>
      <c r="I8" s="106">
        <v>45293</v>
      </c>
      <c r="J8" s="50">
        <f>+E8-F8</f>
        <v>86.4</v>
      </c>
      <c r="K8" s="47">
        <f>+I8-D8</f>
        <v>82</v>
      </c>
      <c r="L8" s="48">
        <v>0.03</v>
      </c>
      <c r="M8" s="49">
        <f>+J8*L8</f>
        <v>2.5920000000000001</v>
      </c>
      <c r="N8" s="74"/>
    </row>
    <row r="9" spans="1:30" s="1" customFormat="1" ht="15" customHeight="1" x14ac:dyDescent="0.25">
      <c r="A9" s="83" t="s">
        <v>85</v>
      </c>
      <c r="B9" s="55" t="s">
        <v>23</v>
      </c>
      <c r="C9" s="95" t="s">
        <v>167</v>
      </c>
      <c r="D9" s="85">
        <v>45246</v>
      </c>
      <c r="E9" s="86">
        <v>201.96</v>
      </c>
      <c r="F9" s="86">
        <v>40.39</v>
      </c>
      <c r="G9" s="94">
        <v>180.96</v>
      </c>
      <c r="H9" s="86">
        <v>19.39</v>
      </c>
      <c r="I9" s="106">
        <v>45313</v>
      </c>
      <c r="J9" s="50">
        <f>+E9-F9</f>
        <v>161.57</v>
      </c>
      <c r="K9" s="47">
        <f>+I9-D9</f>
        <v>67</v>
      </c>
      <c r="L9" s="48">
        <v>0.03</v>
      </c>
      <c r="M9" s="49">
        <f>+J9*L9</f>
        <v>4.8470999999999993</v>
      </c>
      <c r="N9" s="74"/>
    </row>
    <row r="10" spans="1:30" s="1" customFormat="1" ht="15" customHeight="1" x14ac:dyDescent="0.25">
      <c r="A10" s="83" t="s">
        <v>113</v>
      </c>
      <c r="B10" s="55" t="s">
        <v>18</v>
      </c>
      <c r="C10" s="95" t="s">
        <v>168</v>
      </c>
      <c r="D10" s="85">
        <v>45254</v>
      </c>
      <c r="E10" s="86">
        <v>2851.2</v>
      </c>
      <c r="F10" s="86">
        <v>712.8</v>
      </c>
      <c r="G10" s="94">
        <v>2296.65</v>
      </c>
      <c r="H10" s="86">
        <v>256.61</v>
      </c>
      <c r="I10" s="106">
        <v>45321</v>
      </c>
      <c r="J10" s="50">
        <f>+E10-F10</f>
        <v>2138.3999999999996</v>
      </c>
      <c r="K10" s="47">
        <f>+I10-D10</f>
        <v>67</v>
      </c>
      <c r="L10" s="48">
        <v>0.03</v>
      </c>
      <c r="M10" s="49">
        <f>+J10*L10</f>
        <v>64.151999999999987</v>
      </c>
      <c r="N10" s="74"/>
    </row>
    <row r="11" spans="1:30" s="1" customFormat="1" ht="15" customHeight="1" x14ac:dyDescent="0.25">
      <c r="A11" s="83" t="s">
        <v>114</v>
      </c>
      <c r="B11" s="113" t="s">
        <v>18</v>
      </c>
      <c r="C11" s="95" t="s">
        <v>169</v>
      </c>
      <c r="D11" s="85">
        <v>45300</v>
      </c>
      <c r="E11" s="86">
        <v>64.8</v>
      </c>
      <c r="F11" s="86">
        <v>0</v>
      </c>
      <c r="G11" s="94">
        <v>72.58</v>
      </c>
      <c r="H11" s="86">
        <v>7.78</v>
      </c>
      <c r="I11" s="105">
        <v>45302</v>
      </c>
      <c r="J11" s="50">
        <f>+E11-F11</f>
        <v>64.8</v>
      </c>
      <c r="K11" s="47">
        <f>+I11-D11</f>
        <v>2</v>
      </c>
      <c r="L11" s="48">
        <v>0.04</v>
      </c>
      <c r="M11" s="49">
        <f>+J11*L11</f>
        <v>2.5920000000000001</v>
      </c>
      <c r="N11" s="74"/>
    </row>
    <row r="12" spans="1:30" s="49" customFormat="1" ht="15" customHeight="1" x14ac:dyDescent="0.3">
      <c r="A12" s="42"/>
      <c r="B12" s="43"/>
      <c r="C12" s="43"/>
      <c r="D12" s="68"/>
      <c r="E12" s="44"/>
      <c r="F12" s="44"/>
      <c r="G12" s="45"/>
      <c r="H12" s="46"/>
      <c r="I12" s="72"/>
      <c r="J12" s="50"/>
      <c r="K12" s="47"/>
      <c r="L12" s="48"/>
      <c r="N12" s="74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s="52" customFormat="1" ht="15" customHeight="1" x14ac:dyDescent="0.25">
      <c r="A13" s="213"/>
      <c r="B13" s="213"/>
      <c r="C13" s="213"/>
      <c r="D13" s="213"/>
      <c r="E13" s="213"/>
      <c r="F13" s="213"/>
      <c r="G13" s="75">
        <f>SUM(G8:G12)</f>
        <v>2642.99</v>
      </c>
      <c r="H13" s="80"/>
      <c r="I13" s="81"/>
      <c r="J13" s="75">
        <f>SUM(J8:J12)</f>
        <v>2451.1699999999996</v>
      </c>
      <c r="K13" s="82"/>
      <c r="L13" s="82"/>
      <c r="M13" s="75">
        <f>SUM(M8:M12)</f>
        <v>74.183099999999982</v>
      </c>
      <c r="N13" s="60"/>
    </row>
    <row r="14" spans="1:30" s="52" customFormat="1" ht="15" customHeight="1" x14ac:dyDescent="0.25">
      <c r="A14" s="76"/>
      <c r="B14" s="76"/>
      <c r="C14" s="76"/>
      <c r="D14" s="77"/>
      <c r="E14" s="76"/>
      <c r="F14" s="76"/>
      <c r="G14" s="78"/>
      <c r="I14" s="79"/>
      <c r="N14" s="60"/>
    </row>
    <row r="15" spans="1:30" s="52" customFormat="1" ht="15" customHeight="1" x14ac:dyDescent="0.25">
      <c r="A15" s="76"/>
      <c r="B15" s="76"/>
      <c r="C15" s="76"/>
      <c r="D15" s="77"/>
      <c r="E15" s="76"/>
      <c r="F15" s="76"/>
      <c r="G15" s="78"/>
      <c r="I15" s="79"/>
      <c r="J15" s="78"/>
      <c r="M15" s="78"/>
      <c r="N15" s="60"/>
    </row>
    <row r="16" spans="1:30" s="52" customFormat="1" ht="15" customHeight="1" x14ac:dyDescent="0.25">
      <c r="A16" s="52" t="s">
        <v>19</v>
      </c>
      <c r="B16" s="52" t="s">
        <v>20</v>
      </c>
      <c r="C16" s="76" t="s">
        <v>21</v>
      </c>
      <c r="D16" s="79"/>
      <c r="G16" s="78"/>
      <c r="I16" s="79"/>
      <c r="N16" s="60"/>
    </row>
    <row r="17" spans="1:14" s="1" customFormat="1" ht="15" customHeight="1" x14ac:dyDescent="0.25">
      <c r="A17" s="91" t="s">
        <v>34</v>
      </c>
      <c r="B17" s="101" t="s">
        <v>170</v>
      </c>
      <c r="C17" s="93" t="s">
        <v>172</v>
      </c>
      <c r="D17" s="88">
        <v>45247</v>
      </c>
      <c r="E17" s="92">
        <v>162</v>
      </c>
      <c r="F17" s="92">
        <v>24.3</v>
      </c>
      <c r="G17" s="90">
        <v>147.88</v>
      </c>
      <c r="H17" s="92">
        <v>16.52</v>
      </c>
      <c r="I17" s="105">
        <v>45313</v>
      </c>
      <c r="J17" s="50">
        <f t="shared" ref="J17:J18" si="0">+E17-F17</f>
        <v>137.69999999999999</v>
      </c>
      <c r="K17" s="47">
        <f t="shared" ref="K17:K18" si="1">+I17-D17</f>
        <v>66</v>
      </c>
      <c r="L17" s="48">
        <v>0.03</v>
      </c>
      <c r="M17" s="49">
        <f t="shared" ref="M17:M18" si="2">+J17*L17</f>
        <v>4.1309999999999993</v>
      </c>
      <c r="N17" s="74"/>
    </row>
    <row r="18" spans="1:14" s="1" customFormat="1" ht="15" customHeight="1" x14ac:dyDescent="0.25">
      <c r="A18" s="91" t="s">
        <v>52</v>
      </c>
      <c r="B18" s="101" t="s">
        <v>171</v>
      </c>
      <c r="C18" s="93" t="s">
        <v>173</v>
      </c>
      <c r="D18" s="88">
        <v>45299</v>
      </c>
      <c r="E18" s="92">
        <v>455.28</v>
      </c>
      <c r="F18" s="92">
        <v>113.82</v>
      </c>
      <c r="G18" s="90">
        <v>366.73999999999995</v>
      </c>
      <c r="H18" s="92">
        <v>40.98</v>
      </c>
      <c r="I18" s="105">
        <v>45363</v>
      </c>
      <c r="J18" s="50">
        <f t="shared" si="0"/>
        <v>341.46</v>
      </c>
      <c r="K18" s="47">
        <f t="shared" si="1"/>
        <v>64</v>
      </c>
      <c r="L18" s="48">
        <v>0.03</v>
      </c>
      <c r="M18" s="49">
        <f t="shared" si="2"/>
        <v>10.243799999999998</v>
      </c>
      <c r="N18" s="74"/>
    </row>
    <row r="19" spans="1:14" s="1" customFormat="1" ht="15" customHeight="1" thickBot="1" x14ac:dyDescent="0.3">
      <c r="A19" s="91"/>
      <c r="B19" s="101"/>
      <c r="C19" s="93"/>
      <c r="D19" s="88"/>
      <c r="E19" s="92"/>
      <c r="F19" s="92"/>
      <c r="G19" s="90"/>
      <c r="H19" s="92"/>
      <c r="I19" s="105"/>
      <c r="J19" s="50"/>
      <c r="K19" s="47"/>
      <c r="L19" s="48"/>
      <c r="M19" s="49"/>
      <c r="N19" s="74"/>
    </row>
    <row r="20" spans="1:14" ht="15" customHeight="1" thickBot="1" x14ac:dyDescent="0.35">
      <c r="A20" s="212" t="s">
        <v>29</v>
      </c>
      <c r="B20" s="212"/>
      <c r="C20" s="212"/>
      <c r="D20" s="212"/>
      <c r="E20" s="212"/>
      <c r="F20" s="212"/>
      <c r="G20" s="37">
        <f>SUM(G13:G19)</f>
        <v>3157.6099999999997</v>
      </c>
      <c r="J20" s="37">
        <f>SUM(J13:J19)</f>
        <v>2930.3299999999995</v>
      </c>
      <c r="L20" s="20"/>
      <c r="M20" s="38">
        <f>SUM(M13:M19)</f>
        <v>88.557899999999975</v>
      </c>
    </row>
    <row r="21" spans="1:14" ht="15" customHeight="1" x14ac:dyDescent="0.25">
      <c r="A21" s="19"/>
      <c r="B21" s="19"/>
      <c r="C21" s="19"/>
      <c r="D21" s="67"/>
      <c r="E21" s="19"/>
      <c r="F21" s="19"/>
      <c r="G21" s="8"/>
      <c r="J21" s="8"/>
      <c r="M21" s="8"/>
    </row>
    <row r="22" spans="1:14" ht="15" customHeight="1" x14ac:dyDescent="0.3">
      <c r="A22" s="39"/>
      <c r="B22" s="19"/>
      <c r="C22" s="19"/>
      <c r="D22" s="67"/>
      <c r="E22" s="19"/>
      <c r="F22" s="19"/>
      <c r="G22" s="8"/>
      <c r="J22" s="8"/>
      <c r="M22" s="8"/>
    </row>
    <row r="23" spans="1:14" ht="15" customHeight="1" x14ac:dyDescent="0.25">
      <c r="A23" s="19"/>
      <c r="B23" s="19"/>
      <c r="C23" s="19"/>
      <c r="D23" s="67"/>
      <c r="E23" s="19"/>
      <c r="F23" s="19"/>
      <c r="G23" s="8"/>
      <c r="I23" s="73"/>
    </row>
    <row r="24" spans="1:14" ht="15" customHeight="1" x14ac:dyDescent="0.25">
      <c r="A24" s="331" t="s">
        <v>112</v>
      </c>
      <c r="B24" s="331"/>
      <c r="C24" s="331"/>
      <c r="D24" s="331"/>
      <c r="E24" s="331"/>
      <c r="F24" s="331"/>
      <c r="G24" s="24"/>
      <c r="H24" s="24"/>
      <c r="I24" s="65"/>
      <c r="J24" s="26"/>
      <c r="K24" s="27"/>
      <c r="L24" s="28"/>
      <c r="M24" s="29"/>
    </row>
    <row r="25" spans="1:14" ht="15" customHeight="1" x14ac:dyDescent="0.25">
      <c r="A25" s="331" t="s">
        <v>1</v>
      </c>
      <c r="B25" s="331"/>
      <c r="C25" s="331"/>
      <c r="D25" s="331"/>
      <c r="E25" s="331"/>
      <c r="F25" s="331"/>
      <c r="G25" s="24"/>
      <c r="H25" s="25"/>
      <c r="I25" s="65"/>
      <c r="J25" s="27"/>
      <c r="K25" s="27"/>
      <c r="L25" s="28"/>
      <c r="M25" s="29"/>
    </row>
    <row r="26" spans="1:14" ht="15" customHeight="1" x14ac:dyDescent="0.25">
      <c r="A26" s="30"/>
      <c r="B26" s="31" t="s">
        <v>175</v>
      </c>
      <c r="C26" s="30"/>
      <c r="D26" s="64"/>
      <c r="E26" s="30"/>
      <c r="F26" s="30"/>
      <c r="G26" s="24"/>
      <c r="H26" s="25"/>
      <c r="I26" s="65"/>
      <c r="J26" s="27"/>
      <c r="K26" s="27"/>
      <c r="L26" s="28"/>
      <c r="M26" s="29"/>
    </row>
    <row r="27" spans="1:14" ht="15" customHeight="1" thickBot="1" x14ac:dyDescent="0.3">
      <c r="A27" s="30"/>
      <c r="B27" s="31" t="s">
        <v>22</v>
      </c>
      <c r="C27" s="30"/>
      <c r="D27" s="64"/>
      <c r="E27" s="30"/>
      <c r="F27" s="30"/>
      <c r="G27" s="32"/>
      <c r="H27" s="24"/>
      <c r="I27" s="69"/>
      <c r="J27" s="33"/>
      <c r="K27" s="27"/>
      <c r="L27" s="28"/>
      <c r="M27" s="29"/>
    </row>
    <row r="28" spans="1:14" ht="15" customHeight="1" x14ac:dyDescent="0.25">
      <c r="A28" s="34"/>
      <c r="B28" s="33"/>
      <c r="C28" s="33"/>
      <c r="D28" s="65"/>
      <c r="E28" s="33"/>
      <c r="F28" s="33"/>
      <c r="G28" s="35" t="s">
        <v>3</v>
      </c>
      <c r="H28" s="27"/>
      <c r="I28" s="65"/>
      <c r="J28" s="36" t="s">
        <v>4</v>
      </c>
      <c r="K28" s="56" t="s">
        <v>5</v>
      </c>
      <c r="L28" s="40" t="s">
        <v>6</v>
      </c>
      <c r="M28" s="36" t="s">
        <v>7</v>
      </c>
    </row>
    <row r="29" spans="1:14" ht="15" customHeight="1" x14ac:dyDescent="0.25">
      <c r="A29" s="11" t="s">
        <v>8</v>
      </c>
      <c r="B29" s="11" t="s">
        <v>9</v>
      </c>
      <c r="C29" s="11" t="s">
        <v>10</v>
      </c>
      <c r="D29" s="66" t="s">
        <v>11</v>
      </c>
      <c r="E29" s="11" t="s">
        <v>12</v>
      </c>
      <c r="F29" s="54" t="s">
        <v>50</v>
      </c>
      <c r="G29" s="62" t="s">
        <v>13</v>
      </c>
      <c r="H29" s="13" t="s">
        <v>14</v>
      </c>
      <c r="I29" s="70" t="s">
        <v>15</v>
      </c>
      <c r="J29" s="14" t="s">
        <v>16</v>
      </c>
      <c r="K29" s="57"/>
      <c r="L29" s="58" t="s">
        <v>17</v>
      </c>
      <c r="M29" s="14" t="s">
        <v>39</v>
      </c>
    </row>
    <row r="30" spans="1:14" ht="15" customHeight="1" x14ac:dyDescent="0.25">
      <c r="A30" s="83" t="s">
        <v>76</v>
      </c>
      <c r="B30" s="55" t="s">
        <v>18</v>
      </c>
      <c r="C30" s="95" t="s">
        <v>176</v>
      </c>
      <c r="D30" s="85">
        <v>45189</v>
      </c>
      <c r="E30" s="86">
        <v>10.8</v>
      </c>
      <c r="F30" s="86">
        <v>1.62</v>
      </c>
      <c r="G30" s="94">
        <v>9.86</v>
      </c>
      <c r="H30" s="86">
        <v>1.1000000000000001</v>
      </c>
      <c r="I30" s="105">
        <v>45310</v>
      </c>
      <c r="J30" s="50">
        <f>100/1.12</f>
        <v>89.285714285714278</v>
      </c>
      <c r="K30" s="47">
        <f t="shared" ref="K30:K43" si="3">+I30-D30</f>
        <v>121</v>
      </c>
      <c r="L30" s="5">
        <v>0.03</v>
      </c>
      <c r="M30" s="6">
        <f t="shared" ref="M30:M43" si="4">+J30*L30</f>
        <v>2.6785714285714284</v>
      </c>
    </row>
    <row r="31" spans="1:14" ht="15" customHeight="1" x14ac:dyDescent="0.25">
      <c r="A31" s="83" t="s">
        <v>76</v>
      </c>
      <c r="B31" s="55" t="s">
        <v>18</v>
      </c>
      <c r="C31" s="95" t="s">
        <v>177</v>
      </c>
      <c r="D31" s="85">
        <v>45189</v>
      </c>
      <c r="E31" s="86">
        <v>1372.8</v>
      </c>
      <c r="F31" s="86">
        <v>205.92</v>
      </c>
      <c r="G31" s="94">
        <v>1253.23</v>
      </c>
      <c r="H31" s="86">
        <v>140.03</v>
      </c>
      <c r="I31" s="105">
        <v>45310</v>
      </c>
      <c r="J31" s="50">
        <f t="shared" ref="J31:J43" si="5">+E31-F31</f>
        <v>1166.8799999999999</v>
      </c>
      <c r="K31" s="47">
        <f t="shared" si="3"/>
        <v>121</v>
      </c>
      <c r="L31" s="5">
        <v>0.03</v>
      </c>
      <c r="M31" s="6">
        <f t="shared" si="4"/>
        <v>35.006399999999992</v>
      </c>
    </row>
    <row r="32" spans="1:14" ht="15" customHeight="1" x14ac:dyDescent="0.25">
      <c r="A32" s="83" t="s">
        <v>76</v>
      </c>
      <c r="B32" s="55" t="s">
        <v>18</v>
      </c>
      <c r="C32" s="95" t="s">
        <v>178</v>
      </c>
      <c r="D32" s="85">
        <v>45195</v>
      </c>
      <c r="E32" s="86">
        <v>924</v>
      </c>
      <c r="F32" s="86">
        <v>138.6</v>
      </c>
      <c r="G32" s="94">
        <v>843.52</v>
      </c>
      <c r="H32" s="86">
        <v>94.25</v>
      </c>
      <c r="I32" s="105">
        <v>45310</v>
      </c>
      <c r="J32" s="50">
        <f t="shared" si="5"/>
        <v>785.4</v>
      </c>
      <c r="K32" s="47">
        <f t="shared" si="3"/>
        <v>115</v>
      </c>
      <c r="L32" s="5">
        <v>0.03</v>
      </c>
      <c r="M32" s="6">
        <f t="shared" si="4"/>
        <v>23.561999999999998</v>
      </c>
    </row>
    <row r="33" spans="1:14" ht="15" customHeight="1" x14ac:dyDescent="0.25">
      <c r="A33" s="83" t="s">
        <v>76</v>
      </c>
      <c r="B33" s="55" t="s">
        <v>18</v>
      </c>
      <c r="C33" s="95" t="s">
        <v>179</v>
      </c>
      <c r="D33" s="85">
        <v>45195</v>
      </c>
      <c r="E33" s="86">
        <v>110.88</v>
      </c>
      <c r="F33" s="86">
        <v>16.63</v>
      </c>
      <c r="G33" s="94">
        <v>101.23</v>
      </c>
      <c r="H33" s="86">
        <v>11.31</v>
      </c>
      <c r="I33" s="105">
        <v>45310</v>
      </c>
      <c r="J33" s="50">
        <f t="shared" si="5"/>
        <v>94.25</v>
      </c>
      <c r="K33" s="47">
        <f t="shared" si="3"/>
        <v>115</v>
      </c>
      <c r="L33" s="5">
        <v>0.03</v>
      </c>
      <c r="M33" s="6">
        <f t="shared" si="4"/>
        <v>2.8274999999999997</v>
      </c>
    </row>
    <row r="34" spans="1:14" ht="15" customHeight="1" x14ac:dyDescent="0.25">
      <c r="A34" s="83" t="s">
        <v>76</v>
      </c>
      <c r="B34" s="55" t="s">
        <v>18</v>
      </c>
      <c r="C34" s="95" t="s">
        <v>180</v>
      </c>
      <c r="D34" s="85">
        <v>45201</v>
      </c>
      <c r="E34" s="86">
        <v>163.08000000000001</v>
      </c>
      <c r="F34" s="86">
        <v>24.46</v>
      </c>
      <c r="G34" s="94">
        <v>148.87</v>
      </c>
      <c r="H34" s="86">
        <v>16.63</v>
      </c>
      <c r="I34" s="106">
        <v>45310</v>
      </c>
      <c r="J34" s="50">
        <f t="shared" si="5"/>
        <v>138.62</v>
      </c>
      <c r="K34" s="47">
        <f t="shared" si="3"/>
        <v>109</v>
      </c>
      <c r="L34" s="5">
        <v>0.03</v>
      </c>
      <c r="M34" s="6">
        <f t="shared" si="4"/>
        <v>4.1585999999999999</v>
      </c>
    </row>
    <row r="35" spans="1:14" ht="15" customHeight="1" x14ac:dyDescent="0.25">
      <c r="A35" s="83" t="s">
        <v>76</v>
      </c>
      <c r="B35" s="55" t="s">
        <v>18</v>
      </c>
      <c r="C35" s="95" t="s">
        <v>181</v>
      </c>
      <c r="D35" s="85">
        <v>45202</v>
      </c>
      <c r="E35" s="86">
        <v>488.4</v>
      </c>
      <c r="F35" s="86">
        <v>73.260000000000005</v>
      </c>
      <c r="G35" s="94">
        <v>445.86</v>
      </c>
      <c r="H35" s="86">
        <v>49.82</v>
      </c>
      <c r="I35" s="106">
        <v>45310</v>
      </c>
      <c r="J35" s="50">
        <f t="shared" si="5"/>
        <v>415.14</v>
      </c>
      <c r="K35" s="47">
        <f t="shared" si="3"/>
        <v>108</v>
      </c>
      <c r="L35" s="5">
        <v>0.03</v>
      </c>
      <c r="M35" s="6">
        <f t="shared" si="4"/>
        <v>12.454199999999998</v>
      </c>
    </row>
    <row r="36" spans="1:14" ht="15" customHeight="1" x14ac:dyDescent="0.25">
      <c r="A36" s="83" t="s">
        <v>76</v>
      </c>
      <c r="B36" s="55" t="s">
        <v>18</v>
      </c>
      <c r="C36" s="95" t="s">
        <v>182</v>
      </c>
      <c r="D36" s="85">
        <v>45202</v>
      </c>
      <c r="E36" s="86">
        <v>54</v>
      </c>
      <c r="F36" s="86">
        <v>8.1</v>
      </c>
      <c r="G36" s="94">
        <v>49.3</v>
      </c>
      <c r="H36" s="86">
        <v>5.51</v>
      </c>
      <c r="I36" s="106">
        <v>45310</v>
      </c>
      <c r="J36" s="50">
        <f t="shared" si="5"/>
        <v>45.9</v>
      </c>
      <c r="K36" s="47">
        <f t="shared" si="3"/>
        <v>108</v>
      </c>
      <c r="L36" s="5">
        <v>0.03</v>
      </c>
      <c r="M36" s="6">
        <f t="shared" si="4"/>
        <v>1.377</v>
      </c>
    </row>
    <row r="37" spans="1:14" ht="15" customHeight="1" x14ac:dyDescent="0.25">
      <c r="A37" s="83" t="s">
        <v>76</v>
      </c>
      <c r="B37" s="55" t="s">
        <v>18</v>
      </c>
      <c r="C37" s="95" t="s">
        <v>183</v>
      </c>
      <c r="D37" s="85">
        <v>45212</v>
      </c>
      <c r="E37" s="86">
        <v>36.96</v>
      </c>
      <c r="F37" s="86">
        <v>5.54</v>
      </c>
      <c r="G37" s="94">
        <v>33.749999999999993</v>
      </c>
      <c r="H37" s="86">
        <v>3.77</v>
      </c>
      <c r="I37" s="106">
        <v>45310</v>
      </c>
      <c r="J37" s="50">
        <f t="shared" si="5"/>
        <v>31.42</v>
      </c>
      <c r="K37" s="47">
        <f t="shared" si="3"/>
        <v>98</v>
      </c>
      <c r="L37" s="5">
        <v>0.03</v>
      </c>
      <c r="M37" s="6">
        <f t="shared" si="4"/>
        <v>0.94259999999999999</v>
      </c>
    </row>
    <row r="38" spans="1:14" ht="15" customHeight="1" x14ac:dyDescent="0.25">
      <c r="A38" s="83" t="s">
        <v>42</v>
      </c>
      <c r="B38" s="55" t="s">
        <v>18</v>
      </c>
      <c r="C38" s="95" t="s">
        <v>184</v>
      </c>
      <c r="D38" s="85">
        <v>45224</v>
      </c>
      <c r="E38" s="86">
        <v>174</v>
      </c>
      <c r="F38" s="86">
        <v>26.1</v>
      </c>
      <c r="G38" s="94">
        <v>158.84</v>
      </c>
      <c r="H38" s="86">
        <v>17.75</v>
      </c>
      <c r="I38" s="106">
        <v>45317</v>
      </c>
      <c r="J38" s="50">
        <f t="shared" si="5"/>
        <v>147.9</v>
      </c>
      <c r="K38" s="47">
        <f t="shared" si="3"/>
        <v>93</v>
      </c>
      <c r="L38" s="5">
        <v>0.03</v>
      </c>
      <c r="M38" s="6">
        <f t="shared" si="4"/>
        <v>4.4370000000000003</v>
      </c>
    </row>
    <row r="39" spans="1:14" ht="15" customHeight="1" x14ac:dyDescent="0.25">
      <c r="A39" s="83" t="s">
        <v>42</v>
      </c>
      <c r="B39" s="55" t="s">
        <v>18</v>
      </c>
      <c r="C39" s="95" t="s">
        <v>185</v>
      </c>
      <c r="D39" s="85">
        <v>45236</v>
      </c>
      <c r="E39" s="86">
        <v>196.44</v>
      </c>
      <c r="F39" s="86">
        <v>29.46</v>
      </c>
      <c r="G39" s="94">
        <v>179.34000000000003</v>
      </c>
      <c r="H39" s="86">
        <v>20.04</v>
      </c>
      <c r="I39" s="106">
        <v>45317</v>
      </c>
      <c r="J39" s="50">
        <f t="shared" si="5"/>
        <v>166.98</v>
      </c>
      <c r="K39" s="47">
        <f t="shared" si="3"/>
        <v>81</v>
      </c>
      <c r="L39" s="5">
        <v>0.03</v>
      </c>
      <c r="M39" s="6">
        <f t="shared" si="4"/>
        <v>5.0093999999999994</v>
      </c>
    </row>
    <row r="40" spans="1:14" ht="15" customHeight="1" x14ac:dyDescent="0.25">
      <c r="A40" s="83" t="s">
        <v>79</v>
      </c>
      <c r="B40" s="107" t="s">
        <v>30</v>
      </c>
      <c r="C40" s="95" t="s">
        <v>186</v>
      </c>
      <c r="D40" s="85">
        <v>45240</v>
      </c>
      <c r="E40" s="86">
        <v>182.76</v>
      </c>
      <c r="F40" s="86">
        <v>27.42</v>
      </c>
      <c r="G40" s="94">
        <v>166.83999999999997</v>
      </c>
      <c r="H40" s="86">
        <v>18.64</v>
      </c>
      <c r="I40" s="106">
        <v>45310</v>
      </c>
      <c r="J40" s="50">
        <f t="shared" si="5"/>
        <v>155.33999999999997</v>
      </c>
      <c r="K40" s="47">
        <f t="shared" si="3"/>
        <v>70</v>
      </c>
      <c r="L40" s="5">
        <v>0.03</v>
      </c>
      <c r="M40" s="6">
        <f t="shared" si="4"/>
        <v>4.6601999999999988</v>
      </c>
    </row>
    <row r="41" spans="1:14" ht="15" customHeight="1" x14ac:dyDescent="0.25">
      <c r="A41" s="83" t="s">
        <v>79</v>
      </c>
      <c r="B41" s="107" t="s">
        <v>30</v>
      </c>
      <c r="C41" s="95" t="s">
        <v>187</v>
      </c>
      <c r="D41" s="85">
        <v>45240</v>
      </c>
      <c r="E41" s="86">
        <v>217.8</v>
      </c>
      <c r="F41" s="86">
        <v>32.67</v>
      </c>
      <c r="G41" s="94">
        <v>198.83</v>
      </c>
      <c r="H41" s="86">
        <v>22.22</v>
      </c>
      <c r="I41" s="106">
        <v>45310</v>
      </c>
      <c r="J41" s="50">
        <f t="shared" si="5"/>
        <v>185.13</v>
      </c>
      <c r="K41" s="47">
        <f t="shared" si="3"/>
        <v>70</v>
      </c>
      <c r="L41" s="5">
        <v>0.03</v>
      </c>
      <c r="M41" s="6">
        <f t="shared" si="4"/>
        <v>5.5538999999999996</v>
      </c>
    </row>
    <row r="42" spans="1:14" ht="15" customHeight="1" x14ac:dyDescent="0.25">
      <c r="A42" s="83" t="s">
        <v>79</v>
      </c>
      <c r="B42" s="107" t="s">
        <v>30</v>
      </c>
      <c r="C42" s="95" t="s">
        <v>188</v>
      </c>
      <c r="D42" s="85">
        <v>45240</v>
      </c>
      <c r="E42" s="86">
        <v>117</v>
      </c>
      <c r="F42" s="86">
        <v>17.55</v>
      </c>
      <c r="G42" s="94">
        <v>106.82000000000001</v>
      </c>
      <c r="H42" s="86">
        <v>11.93</v>
      </c>
      <c r="I42" s="106">
        <v>45310</v>
      </c>
      <c r="J42" s="50">
        <f t="shared" si="5"/>
        <v>99.45</v>
      </c>
      <c r="K42" s="47">
        <f t="shared" si="3"/>
        <v>70</v>
      </c>
      <c r="L42" s="5">
        <v>0.03</v>
      </c>
      <c r="M42" s="6">
        <f t="shared" si="4"/>
        <v>2.9834999999999998</v>
      </c>
    </row>
    <row r="43" spans="1:14" ht="15" customHeight="1" x14ac:dyDescent="0.25">
      <c r="A43" s="83" t="s">
        <v>118</v>
      </c>
      <c r="B43" s="107" t="s">
        <v>120</v>
      </c>
      <c r="C43" s="95" t="s">
        <v>189</v>
      </c>
      <c r="D43" s="85">
        <v>45250</v>
      </c>
      <c r="E43" s="86">
        <v>150.47999999999999</v>
      </c>
      <c r="F43" s="86">
        <v>22.57</v>
      </c>
      <c r="G43" s="94">
        <v>136.41999999999996</v>
      </c>
      <c r="H43" s="86">
        <v>15.35</v>
      </c>
      <c r="I43" s="106">
        <v>45294</v>
      </c>
      <c r="J43" s="50">
        <f t="shared" si="5"/>
        <v>127.91</v>
      </c>
      <c r="K43" s="47">
        <f t="shared" si="3"/>
        <v>44</v>
      </c>
      <c r="L43" s="5">
        <v>0.03</v>
      </c>
      <c r="M43" s="6">
        <f t="shared" si="4"/>
        <v>3.8372999999999999</v>
      </c>
    </row>
    <row r="44" spans="1:14" s="52" customFormat="1" ht="15" customHeight="1" x14ac:dyDescent="0.25">
      <c r="A44" s="91" t="s">
        <v>42</v>
      </c>
      <c r="B44" s="101" t="s">
        <v>196</v>
      </c>
      <c r="C44" s="93" t="s">
        <v>206</v>
      </c>
      <c r="D44" s="88">
        <v>45246</v>
      </c>
      <c r="E44" s="92">
        <v>1491.6</v>
      </c>
      <c r="F44" s="92">
        <v>298.32</v>
      </c>
      <c r="G44" s="90">
        <v>580.89</v>
      </c>
      <c r="H44" s="92">
        <v>143.19</v>
      </c>
      <c r="I44" s="105">
        <v>45317</v>
      </c>
      <c r="J44" s="50">
        <v>492.59</v>
      </c>
      <c r="K44" s="47">
        <f t="shared" ref="K44" si="6">+I44-D44</f>
        <v>71</v>
      </c>
      <c r="L44" s="48">
        <v>0.03</v>
      </c>
      <c r="M44" s="49">
        <f t="shared" ref="M44" si="7">+J44*L44</f>
        <v>14.777699999999999</v>
      </c>
      <c r="N44" s="60"/>
    </row>
    <row r="45" spans="1:14" ht="15" customHeight="1" x14ac:dyDescent="0.25">
      <c r="A45" s="83" t="s">
        <v>89</v>
      </c>
      <c r="B45" s="55" t="s">
        <v>18</v>
      </c>
      <c r="C45" s="95" t="s">
        <v>190</v>
      </c>
      <c r="D45" s="85">
        <v>45250</v>
      </c>
      <c r="E45" s="86">
        <v>275.39999999999998</v>
      </c>
      <c r="F45" s="86">
        <v>41.31</v>
      </c>
      <c r="G45" s="94">
        <v>251.41000000000003</v>
      </c>
      <c r="H45" s="86">
        <v>28.09</v>
      </c>
      <c r="I45" s="106">
        <v>45309</v>
      </c>
      <c r="J45" s="50">
        <f>+E45-F45</f>
        <v>234.08999999999997</v>
      </c>
      <c r="K45" s="47">
        <f t="shared" ref="K45:K50" si="8">+I45-D45</f>
        <v>59</v>
      </c>
      <c r="L45" s="5">
        <v>0.03</v>
      </c>
      <c r="M45" s="6">
        <f t="shared" ref="M45:M50" si="9">+J45*L45</f>
        <v>7.0226999999999986</v>
      </c>
    </row>
    <row r="46" spans="1:14" ht="15" customHeight="1" x14ac:dyDescent="0.25">
      <c r="A46" s="83" t="s">
        <v>89</v>
      </c>
      <c r="B46" s="55" t="s">
        <v>18</v>
      </c>
      <c r="C46" s="95" t="s">
        <v>191</v>
      </c>
      <c r="D46" s="85">
        <v>45252</v>
      </c>
      <c r="E46" s="86">
        <v>321.48</v>
      </c>
      <c r="F46" s="86">
        <v>48.22</v>
      </c>
      <c r="G46" s="94">
        <v>293.48</v>
      </c>
      <c r="H46" s="86">
        <v>32.79</v>
      </c>
      <c r="I46" s="106">
        <v>45309</v>
      </c>
      <c r="J46" s="50">
        <f>+E46-F46</f>
        <v>273.26</v>
      </c>
      <c r="K46" s="47">
        <f t="shared" si="8"/>
        <v>57</v>
      </c>
      <c r="L46" s="5">
        <v>0.03</v>
      </c>
      <c r="M46" s="6">
        <f t="shared" si="9"/>
        <v>8.1977999999999991</v>
      </c>
    </row>
    <row r="47" spans="1:14" ht="15" customHeight="1" x14ac:dyDescent="0.25">
      <c r="A47" s="83" t="s">
        <v>89</v>
      </c>
      <c r="B47" s="55" t="s">
        <v>18</v>
      </c>
      <c r="C47" s="95" t="s">
        <v>192</v>
      </c>
      <c r="D47" s="85">
        <v>45260</v>
      </c>
      <c r="E47" s="86">
        <v>153.72</v>
      </c>
      <c r="F47" s="86">
        <v>23.06</v>
      </c>
      <c r="G47" s="94">
        <v>140.33000000000001</v>
      </c>
      <c r="H47" s="86">
        <v>15.68</v>
      </c>
      <c r="I47" s="106">
        <v>45320</v>
      </c>
      <c r="J47" s="50">
        <f>+E47-F47</f>
        <v>130.66</v>
      </c>
      <c r="K47" s="47">
        <f t="shared" si="8"/>
        <v>60</v>
      </c>
      <c r="L47" s="5">
        <v>0.03</v>
      </c>
      <c r="M47" s="6">
        <f t="shared" si="9"/>
        <v>3.9198</v>
      </c>
    </row>
    <row r="48" spans="1:14" ht="15" customHeight="1" x14ac:dyDescent="0.25">
      <c r="A48" s="83" t="s">
        <v>38</v>
      </c>
      <c r="B48" s="55" t="s">
        <v>18</v>
      </c>
      <c r="C48" s="95" t="s">
        <v>193</v>
      </c>
      <c r="D48" s="85">
        <v>45279</v>
      </c>
      <c r="E48" s="86">
        <v>216</v>
      </c>
      <c r="F48" s="86">
        <v>43.2</v>
      </c>
      <c r="G48" s="94">
        <v>185.59</v>
      </c>
      <c r="H48" s="86">
        <v>20.74</v>
      </c>
      <c r="I48" s="105">
        <v>45311</v>
      </c>
      <c r="J48" s="50">
        <f>+E48-F48</f>
        <v>172.8</v>
      </c>
      <c r="K48" s="47">
        <f t="shared" si="8"/>
        <v>32</v>
      </c>
      <c r="L48" s="5">
        <v>0.03</v>
      </c>
      <c r="M48" s="6">
        <f t="shared" si="9"/>
        <v>5.1840000000000002</v>
      </c>
    </row>
    <row r="49" spans="1:17" ht="15" customHeight="1" x14ac:dyDescent="0.25">
      <c r="A49" s="83" t="s">
        <v>71</v>
      </c>
      <c r="B49" s="107" t="s">
        <v>24</v>
      </c>
      <c r="C49" s="95" t="s">
        <v>194</v>
      </c>
      <c r="D49" s="85">
        <v>45296</v>
      </c>
      <c r="E49" s="86">
        <v>501.12</v>
      </c>
      <c r="F49" s="86">
        <v>125.28</v>
      </c>
      <c r="G49" s="94">
        <v>420.94</v>
      </c>
      <c r="H49" s="86">
        <v>45.1</v>
      </c>
      <c r="I49" s="105">
        <v>45303</v>
      </c>
      <c r="J49" s="50">
        <f>+E49-F49</f>
        <v>375.84000000000003</v>
      </c>
      <c r="K49" s="47">
        <f t="shared" si="8"/>
        <v>7</v>
      </c>
      <c r="L49" s="5">
        <v>0.04</v>
      </c>
      <c r="M49" s="6">
        <f t="shared" si="9"/>
        <v>15.033600000000002</v>
      </c>
    </row>
    <row r="50" spans="1:17" ht="15" customHeight="1" x14ac:dyDescent="0.25">
      <c r="A50" s="83" t="s">
        <v>148</v>
      </c>
      <c r="B50" s="113" t="s">
        <v>18</v>
      </c>
      <c r="C50" s="95" t="s">
        <v>195</v>
      </c>
      <c r="D50" s="85">
        <v>45308</v>
      </c>
      <c r="E50" s="86">
        <v>369.6</v>
      </c>
      <c r="F50" s="86">
        <v>92.4</v>
      </c>
      <c r="G50" s="94">
        <v>228.15</v>
      </c>
      <c r="H50" s="86">
        <v>0</v>
      </c>
      <c r="I50" s="105">
        <v>45309</v>
      </c>
      <c r="J50" s="50">
        <v>228.15</v>
      </c>
      <c r="K50" s="47">
        <f t="shared" si="8"/>
        <v>1</v>
      </c>
      <c r="L50" s="5">
        <v>0.04</v>
      </c>
      <c r="M50" s="6">
        <f t="shared" si="9"/>
        <v>9.1260000000000012</v>
      </c>
    </row>
    <row r="51" spans="1:17" ht="15" customHeight="1" x14ac:dyDescent="0.25">
      <c r="A51" s="83"/>
      <c r="B51" s="111"/>
      <c r="C51" s="95"/>
      <c r="D51" s="85"/>
      <c r="E51" s="86"/>
      <c r="F51" s="86"/>
      <c r="G51" s="94"/>
      <c r="H51" s="86"/>
      <c r="I51" s="84"/>
      <c r="J51" s="50"/>
      <c r="K51" s="47"/>
      <c r="L51" s="5"/>
      <c r="M51" s="6"/>
    </row>
    <row r="52" spans="1:17" ht="15" customHeight="1" x14ac:dyDescent="0.3">
      <c r="A52" s="2"/>
      <c r="B52" s="3"/>
      <c r="C52" s="3"/>
      <c r="D52" s="61"/>
      <c r="E52" s="4"/>
      <c r="F52" s="4"/>
      <c r="G52" s="9"/>
      <c r="H52" s="10"/>
      <c r="I52" s="71"/>
      <c r="J52" s="50"/>
      <c r="K52" s="47"/>
      <c r="L52" s="5"/>
      <c r="M52" s="6"/>
      <c r="O52" s="15"/>
      <c r="P52" s="8"/>
      <c r="Q52" s="8"/>
    </row>
    <row r="53" spans="1:17" ht="15" customHeight="1" x14ac:dyDescent="0.3">
      <c r="G53" s="16">
        <f>SUM(G30:G52)</f>
        <v>5933.4999999999991</v>
      </c>
      <c r="J53" s="16">
        <f>SUM(J30:J52)</f>
        <v>5556.9957142857138</v>
      </c>
      <c r="M53" s="16">
        <f>SUM(M30:M52)</f>
        <v>172.74977142857142</v>
      </c>
    </row>
    <row r="54" spans="1:17" ht="15" customHeight="1" x14ac:dyDescent="0.25">
      <c r="G54" s="8"/>
      <c r="H54" s="8"/>
    </row>
    <row r="55" spans="1:17" ht="15" customHeight="1" x14ac:dyDescent="0.25">
      <c r="A55" s="17" t="s">
        <v>19</v>
      </c>
      <c r="B55" s="17" t="s">
        <v>20</v>
      </c>
      <c r="C55" s="18" t="s">
        <v>21</v>
      </c>
      <c r="I55" s="8"/>
      <c r="J55" s="8"/>
    </row>
    <row r="56" spans="1:17" s="52" customFormat="1" ht="15" customHeight="1" x14ac:dyDescent="0.25">
      <c r="A56" s="91" t="s">
        <v>42</v>
      </c>
      <c r="B56" s="101" t="s">
        <v>196</v>
      </c>
      <c r="C56" s="93" t="s">
        <v>206</v>
      </c>
      <c r="D56" s="88">
        <v>45246</v>
      </c>
      <c r="E56" s="92">
        <v>1491.6</v>
      </c>
      <c r="F56" s="92">
        <v>298.32</v>
      </c>
      <c r="G56" s="90">
        <v>700.68999999999994</v>
      </c>
      <c r="H56" s="92">
        <v>143.19</v>
      </c>
      <c r="I56" s="105">
        <v>45317</v>
      </c>
      <c r="J56" s="50">
        <v>700.69</v>
      </c>
      <c r="K56" s="47">
        <f t="shared" ref="K56:K57" si="10">+I56-D56</f>
        <v>71</v>
      </c>
      <c r="L56" s="48">
        <v>0.03</v>
      </c>
      <c r="M56" s="49">
        <f t="shared" ref="M56:M57" si="11">+J56*L56</f>
        <v>21.020700000000001</v>
      </c>
      <c r="N56" s="60"/>
    </row>
    <row r="57" spans="1:17" s="52" customFormat="1" ht="15" customHeight="1" x14ac:dyDescent="0.25">
      <c r="A57" s="91" t="s">
        <v>42</v>
      </c>
      <c r="B57" s="101" t="s">
        <v>196</v>
      </c>
      <c r="C57" s="93" t="s">
        <v>207</v>
      </c>
      <c r="D57" s="88">
        <v>45258</v>
      </c>
      <c r="E57" s="92">
        <v>254.16</v>
      </c>
      <c r="F57" s="92">
        <v>50.84</v>
      </c>
      <c r="G57" s="90">
        <v>218.37</v>
      </c>
      <c r="H57" s="92">
        <v>24.4</v>
      </c>
      <c r="I57" s="105">
        <v>45330</v>
      </c>
      <c r="J57" s="50">
        <f t="shared" ref="J57" si="12">+E57-F57</f>
        <v>203.32</v>
      </c>
      <c r="K57" s="47">
        <f t="shared" si="10"/>
        <v>72</v>
      </c>
      <c r="L57" s="48">
        <v>0.03</v>
      </c>
      <c r="M57" s="49">
        <f t="shared" si="11"/>
        <v>6.0995999999999997</v>
      </c>
      <c r="N57" s="60"/>
    </row>
    <row r="58" spans="1:17" s="52" customFormat="1" ht="15" customHeight="1" x14ac:dyDescent="0.25">
      <c r="A58" s="91" t="s">
        <v>47</v>
      </c>
      <c r="B58" s="101" t="s">
        <v>197</v>
      </c>
      <c r="C58" s="93" t="s">
        <v>208</v>
      </c>
      <c r="D58" s="88">
        <v>45279</v>
      </c>
      <c r="E58" s="92">
        <v>235.8</v>
      </c>
      <c r="F58" s="92">
        <v>40.090000000000003</v>
      </c>
      <c r="G58" s="90">
        <v>219.2</v>
      </c>
      <c r="H58" s="92">
        <v>23.49</v>
      </c>
      <c r="I58" s="105">
        <v>45341</v>
      </c>
      <c r="J58" s="50">
        <f t="shared" ref="J58:J68" si="13">+E58-F58</f>
        <v>195.71</v>
      </c>
      <c r="K58" s="47">
        <f t="shared" ref="K58:K68" si="14">+I58-D58</f>
        <v>62</v>
      </c>
      <c r="L58" s="48">
        <v>0.03</v>
      </c>
      <c r="M58" s="49">
        <f t="shared" ref="M58:M68" si="15">+J58*L58</f>
        <v>5.8712999999999997</v>
      </c>
      <c r="N58" s="60"/>
    </row>
    <row r="59" spans="1:17" s="52" customFormat="1" ht="15" customHeight="1" x14ac:dyDescent="0.25">
      <c r="A59" s="91" t="s">
        <v>47</v>
      </c>
      <c r="B59" s="101" t="s">
        <v>198</v>
      </c>
      <c r="C59" s="93" t="s">
        <v>209</v>
      </c>
      <c r="D59" s="88">
        <v>45282</v>
      </c>
      <c r="E59" s="92">
        <v>208.2</v>
      </c>
      <c r="F59" s="92">
        <v>35.380000000000003</v>
      </c>
      <c r="G59" s="90">
        <v>193.56</v>
      </c>
      <c r="H59" s="92">
        <v>20.74</v>
      </c>
      <c r="I59" s="105">
        <v>45344</v>
      </c>
      <c r="J59" s="50">
        <f t="shared" si="13"/>
        <v>172.82</v>
      </c>
      <c r="K59" s="47">
        <f t="shared" si="14"/>
        <v>62</v>
      </c>
      <c r="L59" s="48">
        <v>0.03</v>
      </c>
      <c r="M59" s="49">
        <f t="shared" si="15"/>
        <v>5.1845999999999997</v>
      </c>
      <c r="N59" s="60"/>
    </row>
    <row r="60" spans="1:17" s="52" customFormat="1" ht="15" customHeight="1" x14ac:dyDescent="0.25">
      <c r="A60" s="91" t="s">
        <v>44</v>
      </c>
      <c r="B60" s="101" t="s">
        <v>199</v>
      </c>
      <c r="C60" s="93" t="s">
        <v>210</v>
      </c>
      <c r="D60" s="88">
        <v>45299</v>
      </c>
      <c r="E60" s="92">
        <v>85.68</v>
      </c>
      <c r="F60" s="92">
        <v>12.85</v>
      </c>
      <c r="G60" s="90">
        <v>78.219999999999985</v>
      </c>
      <c r="H60" s="92">
        <v>8.74</v>
      </c>
      <c r="I60" s="105">
        <v>45330</v>
      </c>
      <c r="J60" s="50">
        <f t="shared" si="13"/>
        <v>72.830000000000013</v>
      </c>
      <c r="K60" s="47">
        <f t="shared" si="14"/>
        <v>31</v>
      </c>
      <c r="L60" s="48">
        <v>0.03</v>
      </c>
      <c r="M60" s="49">
        <f t="shared" si="15"/>
        <v>2.1849000000000003</v>
      </c>
      <c r="N60" s="60"/>
    </row>
    <row r="61" spans="1:17" s="52" customFormat="1" ht="15" customHeight="1" x14ac:dyDescent="0.25">
      <c r="A61" s="91" t="s">
        <v>38</v>
      </c>
      <c r="B61" s="101" t="s">
        <v>200</v>
      </c>
      <c r="C61" s="93" t="s">
        <v>211</v>
      </c>
      <c r="D61" s="88">
        <v>45300</v>
      </c>
      <c r="E61" s="92">
        <v>522</v>
      </c>
      <c r="F61" s="92">
        <v>104.4</v>
      </c>
      <c r="G61" s="90">
        <v>448.5</v>
      </c>
      <c r="H61" s="92">
        <v>50.11</v>
      </c>
      <c r="I61" s="105">
        <v>45327</v>
      </c>
      <c r="J61" s="50">
        <f t="shared" si="13"/>
        <v>417.6</v>
      </c>
      <c r="K61" s="47">
        <f t="shared" si="14"/>
        <v>27</v>
      </c>
      <c r="L61" s="48">
        <v>0.03</v>
      </c>
      <c r="M61" s="49">
        <f t="shared" si="15"/>
        <v>12.528</v>
      </c>
      <c r="N61" s="60"/>
    </row>
    <row r="62" spans="1:17" s="52" customFormat="1" ht="15" customHeight="1" x14ac:dyDescent="0.25">
      <c r="A62" s="91" t="s">
        <v>38</v>
      </c>
      <c r="B62" s="101" t="s">
        <v>201</v>
      </c>
      <c r="C62" s="93" t="s">
        <v>212</v>
      </c>
      <c r="D62" s="88">
        <v>45300</v>
      </c>
      <c r="E62" s="92">
        <v>748.2</v>
      </c>
      <c r="F62" s="92">
        <v>149.63999999999999</v>
      </c>
      <c r="G62" s="90">
        <v>642.85</v>
      </c>
      <c r="H62" s="92">
        <v>71.83</v>
      </c>
      <c r="I62" s="105">
        <v>45332</v>
      </c>
      <c r="J62" s="50">
        <f t="shared" si="13"/>
        <v>598.56000000000006</v>
      </c>
      <c r="K62" s="47">
        <f t="shared" si="14"/>
        <v>32</v>
      </c>
      <c r="L62" s="48">
        <v>0.03</v>
      </c>
      <c r="M62" s="49">
        <f t="shared" si="15"/>
        <v>17.956800000000001</v>
      </c>
      <c r="N62" s="60"/>
    </row>
    <row r="63" spans="1:17" s="52" customFormat="1" ht="15" customHeight="1" x14ac:dyDescent="0.25">
      <c r="A63" s="91" t="s">
        <v>44</v>
      </c>
      <c r="B63" s="101" t="s">
        <v>199</v>
      </c>
      <c r="C63" s="93" t="s">
        <v>213</v>
      </c>
      <c r="D63" s="88">
        <v>45303</v>
      </c>
      <c r="E63" s="92">
        <v>129.6</v>
      </c>
      <c r="F63" s="92">
        <v>19.440000000000001</v>
      </c>
      <c r="G63" s="90">
        <v>118.31</v>
      </c>
      <c r="H63" s="92">
        <v>13.22</v>
      </c>
      <c r="I63" s="105">
        <v>45330</v>
      </c>
      <c r="J63" s="50">
        <f t="shared" si="13"/>
        <v>110.16</v>
      </c>
      <c r="K63" s="47">
        <f t="shared" si="14"/>
        <v>27</v>
      </c>
      <c r="L63" s="48">
        <v>0.03</v>
      </c>
      <c r="M63" s="49">
        <f t="shared" si="15"/>
        <v>3.3047999999999997</v>
      </c>
      <c r="N63" s="60"/>
    </row>
    <row r="64" spans="1:17" s="52" customFormat="1" ht="15" customHeight="1" x14ac:dyDescent="0.25">
      <c r="A64" s="91" t="s">
        <v>44</v>
      </c>
      <c r="B64" s="101" t="s">
        <v>199</v>
      </c>
      <c r="C64" s="93" t="s">
        <v>214</v>
      </c>
      <c r="D64" s="88">
        <v>45303</v>
      </c>
      <c r="E64" s="92">
        <v>10.8</v>
      </c>
      <c r="F64" s="92">
        <v>1.62</v>
      </c>
      <c r="G64" s="90">
        <v>9.86</v>
      </c>
      <c r="H64" s="92">
        <v>1.1000000000000001</v>
      </c>
      <c r="I64" s="105">
        <v>45330</v>
      </c>
      <c r="J64" s="50">
        <f t="shared" si="13"/>
        <v>9.18</v>
      </c>
      <c r="K64" s="47">
        <f t="shared" si="14"/>
        <v>27</v>
      </c>
      <c r="L64" s="48">
        <v>0.03</v>
      </c>
      <c r="M64" s="49">
        <f t="shared" si="15"/>
        <v>0.27539999999999998</v>
      </c>
      <c r="N64" s="60"/>
    </row>
    <row r="65" spans="1:14" s="52" customFormat="1" ht="15" customHeight="1" x14ac:dyDescent="0.25">
      <c r="A65" s="91" t="s">
        <v>40</v>
      </c>
      <c r="B65" s="101" t="s">
        <v>202</v>
      </c>
      <c r="C65" s="93" t="s">
        <v>215</v>
      </c>
      <c r="D65" s="88">
        <v>45303</v>
      </c>
      <c r="E65" s="92">
        <v>730.32</v>
      </c>
      <c r="F65" s="92">
        <v>182.58</v>
      </c>
      <c r="G65" s="90">
        <v>588.27</v>
      </c>
      <c r="H65" s="92">
        <v>65.73</v>
      </c>
      <c r="I65" s="105">
        <v>45336</v>
      </c>
      <c r="J65" s="50">
        <f t="shared" si="13"/>
        <v>547.74</v>
      </c>
      <c r="K65" s="47">
        <f t="shared" si="14"/>
        <v>33</v>
      </c>
      <c r="L65" s="48">
        <v>0.03</v>
      </c>
      <c r="M65" s="49">
        <f t="shared" si="15"/>
        <v>16.432199999999998</v>
      </c>
      <c r="N65" s="60"/>
    </row>
    <row r="66" spans="1:14" s="52" customFormat="1" ht="15" customHeight="1" x14ac:dyDescent="0.25">
      <c r="A66" s="91" t="s">
        <v>40</v>
      </c>
      <c r="B66" s="101" t="s">
        <v>203</v>
      </c>
      <c r="C66" s="93" t="s">
        <v>216</v>
      </c>
      <c r="D66" s="88">
        <v>45308</v>
      </c>
      <c r="E66" s="92">
        <v>1564.8</v>
      </c>
      <c r="F66" s="92">
        <v>391.2</v>
      </c>
      <c r="G66" s="90">
        <v>1260.45</v>
      </c>
      <c r="H66" s="92">
        <v>140.83000000000001</v>
      </c>
      <c r="I66" s="105">
        <v>45338</v>
      </c>
      <c r="J66" s="50">
        <f t="shared" si="13"/>
        <v>1173.5999999999999</v>
      </c>
      <c r="K66" s="47">
        <f t="shared" si="14"/>
        <v>30</v>
      </c>
      <c r="L66" s="48">
        <v>0.03</v>
      </c>
      <c r="M66" s="49">
        <f t="shared" si="15"/>
        <v>35.207999999999998</v>
      </c>
      <c r="N66" s="60"/>
    </row>
    <row r="67" spans="1:14" s="52" customFormat="1" ht="15" customHeight="1" x14ac:dyDescent="0.25">
      <c r="A67" s="91" t="s">
        <v>40</v>
      </c>
      <c r="B67" s="101" t="s">
        <v>204</v>
      </c>
      <c r="C67" s="93" t="s">
        <v>217</v>
      </c>
      <c r="D67" s="88">
        <v>45309</v>
      </c>
      <c r="E67" s="92">
        <v>1108.8</v>
      </c>
      <c r="F67" s="92">
        <v>277.2</v>
      </c>
      <c r="G67" s="90">
        <v>893.13999999999987</v>
      </c>
      <c r="H67" s="92">
        <v>99.79</v>
      </c>
      <c r="I67" s="105">
        <v>45339</v>
      </c>
      <c r="J67" s="50">
        <f t="shared" si="13"/>
        <v>831.59999999999991</v>
      </c>
      <c r="K67" s="47">
        <f t="shared" si="14"/>
        <v>30</v>
      </c>
      <c r="L67" s="48">
        <v>0.03</v>
      </c>
      <c r="M67" s="49">
        <f t="shared" si="15"/>
        <v>24.947999999999997</v>
      </c>
      <c r="N67" s="60"/>
    </row>
    <row r="68" spans="1:14" s="52" customFormat="1" ht="15" customHeight="1" x14ac:dyDescent="0.25">
      <c r="A68" s="91" t="s">
        <v>38</v>
      </c>
      <c r="B68" s="101" t="s">
        <v>205</v>
      </c>
      <c r="C68" s="93" t="s">
        <v>218</v>
      </c>
      <c r="D68" s="88">
        <v>45314</v>
      </c>
      <c r="E68" s="92">
        <v>486</v>
      </c>
      <c r="F68" s="92">
        <v>97.2</v>
      </c>
      <c r="G68" s="90">
        <v>417.57</v>
      </c>
      <c r="H68" s="92">
        <v>46.66</v>
      </c>
      <c r="I68" s="105">
        <v>45345</v>
      </c>
      <c r="J68" s="50">
        <f t="shared" si="13"/>
        <v>388.8</v>
      </c>
      <c r="K68" s="47">
        <f t="shared" si="14"/>
        <v>31</v>
      </c>
      <c r="L68" s="48">
        <v>0.03</v>
      </c>
      <c r="M68" s="49">
        <f t="shared" si="15"/>
        <v>11.664</v>
      </c>
      <c r="N68" s="60"/>
    </row>
    <row r="69" spans="1:14" s="52" customFormat="1" ht="15" customHeight="1" x14ac:dyDescent="0.3">
      <c r="A69" s="42"/>
      <c r="B69" s="43"/>
      <c r="C69" s="43"/>
      <c r="D69" s="68"/>
      <c r="E69" s="44"/>
      <c r="F69" s="44"/>
      <c r="G69" s="45"/>
      <c r="H69" s="46"/>
      <c r="I69" s="72"/>
      <c r="J69" s="50"/>
      <c r="K69" s="47"/>
      <c r="L69" s="48"/>
      <c r="M69" s="49"/>
      <c r="N69" s="60"/>
    </row>
    <row r="70" spans="1:14" ht="15" customHeight="1" thickBot="1" x14ac:dyDescent="0.35">
      <c r="A70" s="332" t="s">
        <v>29</v>
      </c>
      <c r="B70" s="332"/>
      <c r="C70" s="332"/>
      <c r="D70" s="332"/>
      <c r="E70" s="332"/>
      <c r="F70" s="332"/>
      <c r="G70" s="16">
        <f>SUM(G53:G69)</f>
        <v>11722.49</v>
      </c>
      <c r="J70" s="16">
        <f>SUM(J53:J69)</f>
        <v>10979.605714285713</v>
      </c>
      <c r="L70" s="20"/>
      <c r="M70" s="23">
        <f>SUM(M53:M69)</f>
        <v>335.42807142857134</v>
      </c>
    </row>
    <row r="71" spans="1:14" ht="15" customHeight="1" x14ac:dyDescent="0.3">
      <c r="A71" s="22"/>
      <c r="G71" s="8"/>
    </row>
    <row r="72" spans="1:14" ht="15" customHeight="1" x14ac:dyDescent="0.3">
      <c r="A72" s="39"/>
      <c r="G72" s="8"/>
      <c r="J72" s="8"/>
    </row>
    <row r="73" spans="1:14" ht="15" customHeight="1" x14ac:dyDescent="0.3">
      <c r="A73" s="39"/>
      <c r="G73" s="8"/>
      <c r="J73" s="8"/>
    </row>
    <row r="74" spans="1:14" ht="15" customHeight="1" x14ac:dyDescent="0.3">
      <c r="A74" s="39"/>
      <c r="G74" s="8"/>
      <c r="J74" s="8"/>
    </row>
    <row r="75" spans="1:14" ht="15" customHeight="1" x14ac:dyDescent="0.3">
      <c r="A75" s="39"/>
      <c r="G75" s="8"/>
      <c r="J75" s="8">
        <f>J20+J70</f>
        <v>13909.935714285713</v>
      </c>
    </row>
    <row r="76" spans="1:14" ht="15" customHeight="1" x14ac:dyDescent="0.3">
      <c r="A76" s="39"/>
      <c r="G76" s="8"/>
      <c r="J76" s="8">
        <f>J75*2%</f>
        <v>278.19871428571429</v>
      </c>
    </row>
    <row r="77" spans="1:14" ht="15" customHeight="1" x14ac:dyDescent="0.3">
      <c r="A77" s="39"/>
      <c r="G77" s="8"/>
      <c r="J77" s="8"/>
      <c r="M77" s="8"/>
    </row>
    <row r="78" spans="1:14" ht="15" customHeight="1" x14ac:dyDescent="0.3">
      <c r="A78" s="39"/>
      <c r="G78" s="8"/>
      <c r="J78" s="8"/>
    </row>
    <row r="79" spans="1:14" ht="15" customHeight="1" x14ac:dyDescent="0.3">
      <c r="A79" s="39"/>
      <c r="G79" s="8"/>
      <c r="J79" s="8"/>
    </row>
    <row r="80" spans="1:14" ht="15" customHeight="1" x14ac:dyDescent="0.3">
      <c r="A80" s="39"/>
      <c r="G80" s="8"/>
      <c r="J80" s="8"/>
    </row>
    <row r="81" spans="1:11" ht="15" customHeight="1" x14ac:dyDescent="0.3">
      <c r="A81" s="39"/>
      <c r="G81" s="8"/>
      <c r="J81" s="8"/>
    </row>
    <row r="82" spans="1:11" ht="15" customHeight="1" x14ac:dyDescent="0.3">
      <c r="A82" s="39"/>
      <c r="G82" s="8"/>
      <c r="J82" s="8"/>
    </row>
    <row r="83" spans="1:11" ht="15" customHeight="1" x14ac:dyDescent="0.3">
      <c r="A83" s="22"/>
      <c r="K83" s="15"/>
    </row>
  </sheetData>
  <sortState xmlns:xlrd2="http://schemas.microsoft.com/office/spreadsheetml/2017/richdata2" ref="A30:AD50">
    <sortCondition ref="C30:C50"/>
  </sortState>
  <mergeCells count="3">
    <mergeCell ref="A70:F70"/>
    <mergeCell ref="A24:F24"/>
    <mergeCell ref="A25:F25"/>
  </mergeCells>
  <pageMargins left="0.19685039370078741" right="0" top="0.39370078740157483" bottom="0" header="0" footer="0"/>
  <pageSetup paperSize="9" scale="8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78"/>
  <sheetViews>
    <sheetView topLeftCell="A19" workbookViewId="0">
      <selection activeCell="A35" sqref="A35"/>
    </sheetView>
  </sheetViews>
  <sheetFormatPr baseColWidth="10" defaultColWidth="11.44140625" defaultRowHeight="13.2" x14ac:dyDescent="0.25"/>
  <cols>
    <col min="1" max="1" width="25.109375" style="7" customWidth="1"/>
    <col min="2" max="2" width="27.5546875" style="7" customWidth="1"/>
    <col min="3" max="3" width="10.88671875" style="7" customWidth="1"/>
    <col min="4" max="4" width="10.88671875" style="63" customWidth="1"/>
    <col min="5" max="5" width="11.44140625" style="7"/>
    <col min="6" max="6" width="8.5546875" style="7" customWidth="1"/>
    <col min="7" max="7" width="12.5546875" style="7" customWidth="1"/>
    <col min="8" max="8" width="8.33203125" style="7" customWidth="1"/>
    <col min="9" max="9" width="13.6640625" style="63" customWidth="1"/>
    <col min="10" max="10" width="12.44140625" style="7" customWidth="1"/>
    <col min="11" max="11" width="7.109375" style="7" customWidth="1"/>
    <col min="12" max="12" width="7.33203125" style="7" customWidth="1"/>
    <col min="13" max="13" width="10.33203125" style="7" customWidth="1"/>
    <col min="14" max="14" width="17.33203125" style="59" customWidth="1"/>
    <col min="15" max="16" width="8" style="7" customWidth="1"/>
    <col min="17" max="16384" width="11.44140625" style="7"/>
  </cols>
  <sheetData>
    <row r="1" spans="1:30" ht="15" customHeight="1" x14ac:dyDescent="0.25">
      <c r="B1" s="8"/>
      <c r="C1" s="8"/>
      <c r="G1" s="8"/>
    </row>
    <row r="2" spans="1:30" ht="15" customHeight="1" x14ac:dyDescent="0.25">
      <c r="A2" s="331" t="s">
        <v>0</v>
      </c>
      <c r="B2" s="331"/>
      <c r="C2" s="331"/>
      <c r="D2" s="331"/>
      <c r="E2" s="331"/>
      <c r="F2" s="331"/>
      <c r="G2" s="24"/>
      <c r="H2" s="25"/>
      <c r="I2" s="65"/>
      <c r="J2" s="26"/>
      <c r="K2" s="27"/>
      <c r="L2" s="28"/>
      <c r="M2" s="29"/>
    </row>
    <row r="3" spans="1:30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65"/>
      <c r="J3" s="27"/>
      <c r="K3" s="27"/>
      <c r="L3" s="28"/>
      <c r="M3" s="29"/>
    </row>
    <row r="4" spans="1:30" ht="15" customHeight="1" x14ac:dyDescent="0.25">
      <c r="A4" s="30"/>
      <c r="B4" s="31" t="s">
        <v>219</v>
      </c>
      <c r="C4" s="30"/>
      <c r="D4" s="64"/>
      <c r="E4" s="30"/>
      <c r="F4" s="30"/>
      <c r="G4" s="24"/>
      <c r="H4" s="25"/>
      <c r="I4" s="65"/>
      <c r="J4" s="27"/>
      <c r="K4" s="27"/>
      <c r="L4" s="28"/>
      <c r="M4" s="29"/>
    </row>
    <row r="5" spans="1:30" ht="15" customHeight="1" thickBot="1" x14ac:dyDescent="0.3">
      <c r="A5" s="30"/>
      <c r="B5" s="31" t="s">
        <v>2</v>
      </c>
      <c r="C5" s="30"/>
      <c r="D5" s="64"/>
      <c r="E5" s="30"/>
      <c r="F5" s="30"/>
      <c r="G5" s="32"/>
      <c r="H5" s="24"/>
      <c r="I5" s="69"/>
      <c r="J5" s="33"/>
      <c r="K5" s="27"/>
      <c r="L5" s="28"/>
      <c r="M5" s="29"/>
    </row>
    <row r="6" spans="1:30" ht="15" customHeight="1" x14ac:dyDescent="0.25">
      <c r="A6" s="34" t="s">
        <v>66</v>
      </c>
      <c r="B6" s="33"/>
      <c r="C6" s="33"/>
      <c r="D6" s="65"/>
      <c r="E6" s="33"/>
      <c r="F6" s="33"/>
      <c r="G6" s="35" t="s">
        <v>3</v>
      </c>
      <c r="H6" s="27"/>
      <c r="I6" s="65"/>
      <c r="J6" s="36" t="s">
        <v>4</v>
      </c>
      <c r="K6" s="56" t="s">
        <v>5</v>
      </c>
      <c r="L6" s="40" t="s">
        <v>6</v>
      </c>
      <c r="M6" s="36" t="s">
        <v>7</v>
      </c>
    </row>
    <row r="7" spans="1:30" ht="15" customHeight="1" thickBot="1" x14ac:dyDescent="0.3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12" t="s">
        <v>13</v>
      </c>
      <c r="H7" s="13" t="s">
        <v>14</v>
      </c>
      <c r="I7" s="70" t="s">
        <v>15</v>
      </c>
      <c r="J7" s="14" t="s">
        <v>16</v>
      </c>
      <c r="K7" s="57"/>
      <c r="L7" s="58" t="s">
        <v>17</v>
      </c>
      <c r="M7" s="14" t="s">
        <v>39</v>
      </c>
    </row>
    <row r="8" spans="1:30" s="1" customFormat="1" ht="15" customHeight="1" x14ac:dyDescent="0.25">
      <c r="A8" s="83"/>
      <c r="B8" s="55"/>
      <c r="C8" s="95"/>
      <c r="D8" s="85"/>
      <c r="E8" s="86"/>
      <c r="F8" s="86"/>
      <c r="G8" s="94"/>
      <c r="H8" s="86"/>
      <c r="I8" s="106"/>
      <c r="J8" s="50"/>
      <c r="K8" s="47"/>
      <c r="L8" s="48"/>
      <c r="M8" s="49"/>
      <c r="N8" s="74"/>
    </row>
    <row r="9" spans="1:30" s="1" customFormat="1" ht="15" customHeight="1" x14ac:dyDescent="0.25">
      <c r="A9" s="83"/>
      <c r="B9" s="55"/>
      <c r="C9" s="95"/>
      <c r="D9" s="85"/>
      <c r="E9" s="86"/>
      <c r="F9" s="86"/>
      <c r="G9" s="94"/>
      <c r="H9" s="86"/>
      <c r="I9" s="106"/>
      <c r="J9" s="50"/>
      <c r="K9" s="47"/>
      <c r="L9" s="48"/>
      <c r="M9" s="49"/>
      <c r="N9" s="74"/>
    </row>
    <row r="10" spans="1:30" s="49" customFormat="1" ht="15" customHeight="1" x14ac:dyDescent="0.3">
      <c r="A10" s="42"/>
      <c r="B10" s="43"/>
      <c r="C10" s="43"/>
      <c r="D10" s="68"/>
      <c r="E10" s="44"/>
      <c r="F10" s="44"/>
      <c r="G10" s="45"/>
      <c r="H10" s="46"/>
      <c r="I10" s="72"/>
      <c r="J10" s="50"/>
      <c r="K10" s="47"/>
      <c r="L10" s="48"/>
      <c r="N10" s="74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s="52" customFormat="1" ht="15" customHeight="1" x14ac:dyDescent="0.25">
      <c r="A11" s="333"/>
      <c r="B11" s="333"/>
      <c r="C11" s="333"/>
      <c r="D11" s="333"/>
      <c r="E11" s="333"/>
      <c r="F11" s="333"/>
      <c r="G11" s="75">
        <f>SUM(G8:G10)</f>
        <v>0</v>
      </c>
      <c r="H11" s="80"/>
      <c r="I11" s="81"/>
      <c r="J11" s="75">
        <f>SUM(J8:J10)</f>
        <v>0</v>
      </c>
      <c r="K11" s="82"/>
      <c r="L11" s="82"/>
      <c r="M11" s="75">
        <f>SUM(M8:M10)</f>
        <v>0</v>
      </c>
      <c r="N11" s="60"/>
    </row>
    <row r="12" spans="1:30" s="52" customFormat="1" ht="15" customHeight="1" x14ac:dyDescent="0.25">
      <c r="A12" s="76"/>
      <c r="B12" s="76"/>
      <c r="C12" s="76"/>
      <c r="D12" s="77"/>
      <c r="E12" s="76"/>
      <c r="F12" s="76"/>
      <c r="G12" s="78"/>
      <c r="I12" s="79"/>
      <c r="N12" s="60"/>
    </row>
    <row r="13" spans="1:30" s="52" customFormat="1" ht="15" customHeight="1" x14ac:dyDescent="0.25">
      <c r="A13" s="76"/>
      <c r="B13" s="76"/>
      <c r="C13" s="76"/>
      <c r="D13" s="77"/>
      <c r="E13" s="76"/>
      <c r="F13" s="76"/>
      <c r="G13" s="78"/>
      <c r="I13" s="79"/>
      <c r="J13" s="78"/>
      <c r="M13" s="78"/>
      <c r="N13" s="60"/>
    </row>
    <row r="14" spans="1:30" s="52" customFormat="1" ht="15" customHeight="1" x14ac:dyDescent="0.25">
      <c r="A14" s="52" t="s">
        <v>19</v>
      </c>
      <c r="B14" s="52" t="s">
        <v>20</v>
      </c>
      <c r="C14" s="76" t="s">
        <v>21</v>
      </c>
      <c r="D14" s="79"/>
      <c r="G14" s="78"/>
      <c r="I14" s="79"/>
      <c r="N14" s="60"/>
    </row>
    <row r="15" spans="1:30" s="1" customFormat="1" ht="15" customHeight="1" x14ac:dyDescent="0.25">
      <c r="A15" s="91" t="s">
        <v>74</v>
      </c>
      <c r="B15" s="101" t="s">
        <v>220</v>
      </c>
      <c r="C15" s="93" t="s">
        <v>222</v>
      </c>
      <c r="D15" s="88">
        <v>45300</v>
      </c>
      <c r="E15" s="92">
        <v>160.91999999999999</v>
      </c>
      <c r="F15" s="92">
        <v>24.14</v>
      </c>
      <c r="G15" s="90">
        <v>146.9</v>
      </c>
      <c r="H15" s="92">
        <v>16.41</v>
      </c>
      <c r="I15" s="105">
        <v>45356</v>
      </c>
      <c r="J15" s="50">
        <f t="shared" ref="J15:J16" si="0">+E15-F15</f>
        <v>136.77999999999997</v>
      </c>
      <c r="K15" s="47">
        <f t="shared" ref="K15:K16" si="1">+I15-D15</f>
        <v>56</v>
      </c>
      <c r="L15" s="48">
        <v>0.03</v>
      </c>
      <c r="M15" s="49">
        <f t="shared" ref="M15:M16" si="2">+J15*L15</f>
        <v>4.1033999999999988</v>
      </c>
      <c r="N15" s="74"/>
    </row>
    <row r="16" spans="1:30" s="1" customFormat="1" ht="15" customHeight="1" x14ac:dyDescent="0.25">
      <c r="A16" s="91" t="s">
        <v>51</v>
      </c>
      <c r="B16" s="101" t="s">
        <v>221</v>
      </c>
      <c r="C16" s="93" t="s">
        <v>223</v>
      </c>
      <c r="D16" s="88">
        <v>45321</v>
      </c>
      <c r="E16" s="92">
        <v>109.44</v>
      </c>
      <c r="F16" s="92">
        <v>16.420000000000002</v>
      </c>
      <c r="G16" s="96">
        <v>99.9</v>
      </c>
      <c r="H16" s="92">
        <v>11.16</v>
      </c>
      <c r="I16" s="105">
        <v>45356</v>
      </c>
      <c r="J16" s="50">
        <f t="shared" si="0"/>
        <v>93.02</v>
      </c>
      <c r="K16" s="47">
        <f t="shared" si="1"/>
        <v>35</v>
      </c>
      <c r="L16" s="48">
        <v>0.03</v>
      </c>
      <c r="M16" s="49">
        <f t="shared" si="2"/>
        <v>2.7906</v>
      </c>
      <c r="N16" s="74"/>
    </row>
    <row r="17" spans="1:14" s="1" customFormat="1" ht="15" customHeight="1" thickBot="1" x14ac:dyDescent="0.3">
      <c r="A17" s="91"/>
      <c r="B17" s="101"/>
      <c r="C17" s="93"/>
      <c r="D17" s="88"/>
      <c r="E17" s="92"/>
      <c r="F17" s="92"/>
      <c r="G17" s="90"/>
      <c r="H17" s="92"/>
      <c r="I17" s="105"/>
      <c r="J17" s="50"/>
      <c r="K17" s="47"/>
      <c r="L17" s="48"/>
      <c r="M17" s="49"/>
      <c r="N17" s="74"/>
    </row>
    <row r="18" spans="1:14" ht="15" customHeight="1" thickBot="1" x14ac:dyDescent="0.35">
      <c r="A18" s="332" t="s">
        <v>29</v>
      </c>
      <c r="B18" s="332"/>
      <c r="C18" s="332"/>
      <c r="D18" s="332"/>
      <c r="E18" s="332"/>
      <c r="F18" s="332"/>
      <c r="G18" s="37">
        <f>SUM(G11:G17)</f>
        <v>246.8</v>
      </c>
      <c r="J18" s="37">
        <f>SUM(J11:J17)</f>
        <v>229.79999999999995</v>
      </c>
      <c r="L18" s="20"/>
      <c r="M18" s="38">
        <f>SUM(M11:M17)</f>
        <v>6.8939999999999984</v>
      </c>
    </row>
    <row r="19" spans="1:14" ht="15" customHeight="1" x14ac:dyDescent="0.25">
      <c r="A19" s="19"/>
      <c r="B19" s="19"/>
      <c r="C19" s="19"/>
      <c r="D19" s="67"/>
      <c r="E19" s="19"/>
      <c r="F19" s="19"/>
      <c r="G19" s="8"/>
      <c r="J19" s="8"/>
      <c r="M19" s="8"/>
    </row>
    <row r="20" spans="1:14" ht="15" customHeight="1" x14ac:dyDescent="0.3">
      <c r="A20" s="39"/>
      <c r="B20" s="19"/>
      <c r="C20" s="19"/>
      <c r="D20" s="67"/>
      <c r="E20" s="19"/>
      <c r="F20" s="19"/>
      <c r="G20" s="8"/>
      <c r="J20" s="8"/>
      <c r="M20" s="8"/>
    </row>
    <row r="21" spans="1:14" ht="15" customHeight="1" x14ac:dyDescent="0.25">
      <c r="A21" s="19"/>
      <c r="B21" s="19"/>
      <c r="C21" s="19"/>
      <c r="D21" s="67"/>
      <c r="E21" s="19"/>
      <c r="F21" s="19"/>
      <c r="G21" s="8"/>
      <c r="I21" s="73"/>
    </row>
    <row r="22" spans="1:14" ht="15" customHeight="1" x14ac:dyDescent="0.25">
      <c r="A22" s="331" t="s">
        <v>112</v>
      </c>
      <c r="B22" s="331"/>
      <c r="C22" s="331"/>
      <c r="D22" s="331"/>
      <c r="E22" s="331"/>
      <c r="F22" s="331"/>
      <c r="G22" s="24"/>
      <c r="H22" s="24"/>
      <c r="I22" s="65"/>
      <c r="J22" s="26"/>
      <c r="K22" s="27"/>
      <c r="L22" s="28"/>
      <c r="M22" s="29"/>
    </row>
    <row r="23" spans="1:14" ht="15" customHeight="1" x14ac:dyDescent="0.25">
      <c r="A23" s="331" t="s">
        <v>1</v>
      </c>
      <c r="B23" s="331"/>
      <c r="C23" s="331"/>
      <c r="D23" s="331"/>
      <c r="E23" s="331"/>
      <c r="F23" s="331"/>
      <c r="G23" s="24"/>
      <c r="H23" s="25"/>
      <c r="I23" s="65"/>
      <c r="J23" s="27"/>
      <c r="K23" s="27"/>
      <c r="L23" s="28"/>
      <c r="M23" s="29"/>
    </row>
    <row r="24" spans="1:14" ht="15" customHeight="1" x14ac:dyDescent="0.25">
      <c r="A24" s="30"/>
      <c r="B24" s="31" t="s">
        <v>219</v>
      </c>
      <c r="C24" s="30"/>
      <c r="D24" s="64"/>
      <c r="E24" s="30"/>
      <c r="F24" s="30"/>
      <c r="G24" s="24"/>
      <c r="H24" s="25"/>
      <c r="I24" s="65"/>
      <c r="J24" s="27"/>
      <c r="K24" s="27"/>
      <c r="L24" s="28"/>
      <c r="M24" s="29"/>
    </row>
    <row r="25" spans="1:14" ht="15" customHeight="1" thickBot="1" x14ac:dyDescent="0.3">
      <c r="A25" s="30"/>
      <c r="B25" s="31" t="s">
        <v>22</v>
      </c>
      <c r="C25" s="30"/>
      <c r="D25" s="64"/>
      <c r="E25" s="30"/>
      <c r="F25" s="30"/>
      <c r="G25" s="32"/>
      <c r="H25" s="24"/>
      <c r="I25" s="69"/>
      <c r="J25" s="33"/>
      <c r="K25" s="27"/>
      <c r="L25" s="28"/>
      <c r="M25" s="29"/>
    </row>
    <row r="26" spans="1:14" ht="15" customHeight="1" x14ac:dyDescent="0.25">
      <c r="A26" s="34"/>
      <c r="B26" s="33"/>
      <c r="C26" s="33"/>
      <c r="D26" s="65"/>
      <c r="E26" s="33"/>
      <c r="F26" s="33"/>
      <c r="G26" s="35" t="s">
        <v>3</v>
      </c>
      <c r="H26" s="27"/>
      <c r="I26" s="65"/>
      <c r="J26" s="36" t="s">
        <v>4</v>
      </c>
      <c r="K26" s="56" t="s">
        <v>5</v>
      </c>
      <c r="L26" s="40" t="s">
        <v>6</v>
      </c>
      <c r="M26" s="36" t="s">
        <v>7</v>
      </c>
    </row>
    <row r="27" spans="1:14" ht="15" customHeight="1" x14ac:dyDescent="0.25">
      <c r="A27" s="11" t="s">
        <v>8</v>
      </c>
      <c r="B27" s="11" t="s">
        <v>9</v>
      </c>
      <c r="C27" s="11" t="s">
        <v>10</v>
      </c>
      <c r="D27" s="66" t="s">
        <v>11</v>
      </c>
      <c r="E27" s="11" t="s">
        <v>12</v>
      </c>
      <c r="F27" s="54" t="s">
        <v>50</v>
      </c>
      <c r="G27" s="62" t="s">
        <v>13</v>
      </c>
      <c r="H27" s="13" t="s">
        <v>14</v>
      </c>
      <c r="I27" s="70" t="s">
        <v>15</v>
      </c>
      <c r="J27" s="14" t="s">
        <v>16</v>
      </c>
      <c r="K27" s="57"/>
      <c r="L27" s="58" t="s">
        <v>17</v>
      </c>
      <c r="M27" s="14" t="s">
        <v>39</v>
      </c>
    </row>
    <row r="28" spans="1:14" ht="15" customHeight="1" x14ac:dyDescent="0.25">
      <c r="A28" s="91" t="s">
        <v>122</v>
      </c>
      <c r="B28" s="55" t="s">
        <v>123</v>
      </c>
      <c r="C28" s="93" t="s">
        <v>124</v>
      </c>
      <c r="D28" s="88">
        <v>45035</v>
      </c>
      <c r="E28" s="92">
        <v>1284.5999999999999</v>
      </c>
      <c r="F28" s="92">
        <v>218.39</v>
      </c>
      <c r="G28" s="96">
        <v>62.800000000000068</v>
      </c>
      <c r="H28" s="92">
        <v>127.95</v>
      </c>
      <c r="I28" s="89">
        <v>45331</v>
      </c>
      <c r="J28" s="50">
        <f>62.8/1.12</f>
        <v>56.071428571428562</v>
      </c>
      <c r="K28" s="47">
        <f t="shared" ref="K28:K29" si="3">+I28-D28</f>
        <v>296</v>
      </c>
      <c r="L28" s="5">
        <v>0</v>
      </c>
      <c r="M28" s="6">
        <f t="shared" ref="M28:M29" si="4">+J28*L28</f>
        <v>0</v>
      </c>
    </row>
    <row r="29" spans="1:14" ht="15" customHeight="1" x14ac:dyDescent="0.25">
      <c r="A29" s="83" t="s">
        <v>224</v>
      </c>
      <c r="B29" s="107" t="s">
        <v>123</v>
      </c>
      <c r="C29" s="95" t="s">
        <v>227</v>
      </c>
      <c r="D29" s="85">
        <v>45107</v>
      </c>
      <c r="E29" s="86">
        <v>196.8</v>
      </c>
      <c r="F29" s="86">
        <v>29.52</v>
      </c>
      <c r="G29" s="94">
        <v>167.28</v>
      </c>
      <c r="H29" s="86">
        <v>0</v>
      </c>
      <c r="I29" s="89">
        <v>45331</v>
      </c>
      <c r="J29" s="50">
        <f t="shared" ref="J29" si="5">+E29-F29</f>
        <v>167.28</v>
      </c>
      <c r="K29" s="47">
        <f t="shared" si="3"/>
        <v>224</v>
      </c>
      <c r="L29" s="5">
        <v>0</v>
      </c>
      <c r="M29" s="6">
        <f t="shared" si="4"/>
        <v>0</v>
      </c>
    </row>
    <row r="30" spans="1:14" ht="15" customHeight="1" x14ac:dyDescent="0.25">
      <c r="A30" s="83" t="s">
        <v>115</v>
      </c>
      <c r="B30" s="55" t="s">
        <v>18</v>
      </c>
      <c r="C30" s="95" t="s">
        <v>228</v>
      </c>
      <c r="D30" s="85">
        <v>45190</v>
      </c>
      <c r="E30" s="86">
        <v>1392</v>
      </c>
      <c r="F30" s="86">
        <v>278.39999999999998</v>
      </c>
      <c r="G30" s="94">
        <v>260.58000000000004</v>
      </c>
      <c r="H30" s="86">
        <v>133.63</v>
      </c>
      <c r="I30" s="105">
        <v>45342</v>
      </c>
      <c r="J30" s="50">
        <f>260.58/1.12</f>
        <v>232.66071428571425</v>
      </c>
      <c r="K30" s="47">
        <f t="shared" ref="K30:K49" si="6">+I30-D30</f>
        <v>152</v>
      </c>
      <c r="L30" s="5">
        <v>0.03</v>
      </c>
      <c r="M30" s="6">
        <f t="shared" ref="M30:M49" si="7">+J30*L30</f>
        <v>6.9798214285714275</v>
      </c>
    </row>
    <row r="31" spans="1:14" ht="15" customHeight="1" x14ac:dyDescent="0.25">
      <c r="A31" s="83" t="s">
        <v>225</v>
      </c>
      <c r="B31" s="107" t="s">
        <v>229</v>
      </c>
      <c r="C31" s="95" t="s">
        <v>230</v>
      </c>
      <c r="D31" s="85">
        <v>45216</v>
      </c>
      <c r="E31" s="86">
        <v>143.63999999999999</v>
      </c>
      <c r="F31" s="86">
        <v>21.54</v>
      </c>
      <c r="G31" s="94">
        <v>136.75</v>
      </c>
      <c r="H31" s="86">
        <v>14.65</v>
      </c>
      <c r="I31" s="106">
        <v>45327</v>
      </c>
      <c r="J31" s="50">
        <f t="shared" ref="J31:J38" si="8">+E31-F31</f>
        <v>122.1</v>
      </c>
      <c r="K31" s="47">
        <f t="shared" si="6"/>
        <v>111</v>
      </c>
      <c r="L31" s="5">
        <v>0.03</v>
      </c>
      <c r="M31" s="6">
        <f t="shared" si="7"/>
        <v>3.6629999999999998</v>
      </c>
    </row>
    <row r="32" spans="1:14" ht="15" customHeight="1" x14ac:dyDescent="0.25">
      <c r="A32" s="83" t="s">
        <v>76</v>
      </c>
      <c r="B32" s="55" t="s">
        <v>18</v>
      </c>
      <c r="C32" s="95" t="s">
        <v>231</v>
      </c>
      <c r="D32" s="85">
        <v>45216</v>
      </c>
      <c r="E32" s="86">
        <v>356.4</v>
      </c>
      <c r="F32" s="86">
        <v>53.46</v>
      </c>
      <c r="G32" s="94">
        <v>325.35000000000002</v>
      </c>
      <c r="H32" s="86">
        <v>36.35</v>
      </c>
      <c r="I32" s="106">
        <v>45342</v>
      </c>
      <c r="J32" s="50">
        <f t="shared" si="8"/>
        <v>302.94</v>
      </c>
      <c r="K32" s="47">
        <f t="shared" si="6"/>
        <v>126</v>
      </c>
      <c r="L32" s="5">
        <v>0.03</v>
      </c>
      <c r="M32" s="6">
        <f t="shared" si="7"/>
        <v>9.0881999999999987</v>
      </c>
    </row>
    <row r="33" spans="1:14" ht="15" customHeight="1" x14ac:dyDescent="0.25">
      <c r="A33" s="83" t="s">
        <v>76</v>
      </c>
      <c r="B33" s="55" t="s">
        <v>18</v>
      </c>
      <c r="C33" s="95" t="s">
        <v>232</v>
      </c>
      <c r="D33" s="85">
        <v>45217</v>
      </c>
      <c r="E33" s="86">
        <v>10.8</v>
      </c>
      <c r="F33" s="86">
        <v>1.62</v>
      </c>
      <c r="G33" s="94">
        <v>9.86</v>
      </c>
      <c r="H33" s="86">
        <v>1.1000000000000001</v>
      </c>
      <c r="I33" s="106">
        <v>45342</v>
      </c>
      <c r="J33" s="50">
        <f t="shared" si="8"/>
        <v>9.18</v>
      </c>
      <c r="K33" s="47">
        <f t="shared" si="6"/>
        <v>125</v>
      </c>
      <c r="L33" s="5">
        <v>0.03</v>
      </c>
      <c r="M33" s="6">
        <f t="shared" si="7"/>
        <v>0.27539999999999998</v>
      </c>
    </row>
    <row r="34" spans="1:14" ht="15" customHeight="1" x14ac:dyDescent="0.25">
      <c r="A34" s="83" t="s">
        <v>76</v>
      </c>
      <c r="B34" s="55" t="s">
        <v>18</v>
      </c>
      <c r="C34" s="95" t="s">
        <v>233</v>
      </c>
      <c r="D34" s="85">
        <v>45217</v>
      </c>
      <c r="E34" s="86">
        <v>46.8</v>
      </c>
      <c r="F34" s="86">
        <v>7.02</v>
      </c>
      <c r="G34" s="94">
        <v>42.72</v>
      </c>
      <c r="H34" s="86">
        <v>4.7699999999999996</v>
      </c>
      <c r="I34" s="106">
        <v>45342</v>
      </c>
      <c r="J34" s="50">
        <f t="shared" si="8"/>
        <v>39.78</v>
      </c>
      <c r="K34" s="47">
        <f t="shared" si="6"/>
        <v>125</v>
      </c>
      <c r="L34" s="5">
        <v>0.03</v>
      </c>
      <c r="M34" s="6">
        <f t="shared" si="7"/>
        <v>1.1934</v>
      </c>
    </row>
    <row r="35" spans="1:14" ht="15" customHeight="1" x14ac:dyDescent="0.25">
      <c r="A35" s="83" t="s">
        <v>76</v>
      </c>
      <c r="B35" s="55" t="s">
        <v>18</v>
      </c>
      <c r="C35" s="95" t="s">
        <v>234</v>
      </c>
      <c r="D35" s="85">
        <v>45223</v>
      </c>
      <c r="E35" s="86">
        <v>106.32</v>
      </c>
      <c r="F35" s="86">
        <v>15.95</v>
      </c>
      <c r="G35" s="94">
        <v>97.059999999999988</v>
      </c>
      <c r="H35" s="86">
        <v>10.84</v>
      </c>
      <c r="I35" s="106">
        <v>45342</v>
      </c>
      <c r="J35" s="50">
        <f t="shared" si="8"/>
        <v>90.36999999999999</v>
      </c>
      <c r="K35" s="47">
        <f t="shared" si="6"/>
        <v>119</v>
      </c>
      <c r="L35" s="5">
        <v>0.03</v>
      </c>
      <c r="M35" s="6">
        <f t="shared" si="7"/>
        <v>2.7110999999999996</v>
      </c>
    </row>
    <row r="36" spans="1:14" ht="15" customHeight="1" x14ac:dyDescent="0.25">
      <c r="A36" s="83" t="s">
        <v>76</v>
      </c>
      <c r="B36" s="55" t="s">
        <v>18</v>
      </c>
      <c r="C36" s="95" t="s">
        <v>235</v>
      </c>
      <c r="D36" s="85">
        <v>45229</v>
      </c>
      <c r="E36" s="86">
        <v>23.4</v>
      </c>
      <c r="F36" s="86">
        <v>3.51</v>
      </c>
      <c r="G36" s="94">
        <v>21.360000000000003</v>
      </c>
      <c r="H36" s="86">
        <v>2.39</v>
      </c>
      <c r="I36" s="106">
        <v>45342</v>
      </c>
      <c r="J36" s="50">
        <f t="shared" si="8"/>
        <v>19.89</v>
      </c>
      <c r="K36" s="47">
        <f t="shared" si="6"/>
        <v>113</v>
      </c>
      <c r="L36" s="5">
        <v>0.03</v>
      </c>
      <c r="M36" s="6">
        <f t="shared" si="7"/>
        <v>0.59670000000000001</v>
      </c>
    </row>
    <row r="37" spans="1:14" ht="15" customHeight="1" x14ac:dyDescent="0.25">
      <c r="A37" s="83" t="s">
        <v>76</v>
      </c>
      <c r="B37" s="55" t="s">
        <v>18</v>
      </c>
      <c r="C37" s="95" t="s">
        <v>236</v>
      </c>
      <c r="D37" s="85">
        <v>45236</v>
      </c>
      <c r="E37" s="86">
        <v>10.8</v>
      </c>
      <c r="F37" s="86">
        <v>1.62</v>
      </c>
      <c r="G37" s="94">
        <v>9.86</v>
      </c>
      <c r="H37" s="86">
        <v>1.1000000000000001</v>
      </c>
      <c r="I37" s="106">
        <v>45342</v>
      </c>
      <c r="J37" s="50">
        <f t="shared" si="8"/>
        <v>9.18</v>
      </c>
      <c r="K37" s="47">
        <f t="shared" si="6"/>
        <v>106</v>
      </c>
      <c r="L37" s="5">
        <v>0.03</v>
      </c>
      <c r="M37" s="6">
        <f t="shared" si="7"/>
        <v>0.27539999999999998</v>
      </c>
    </row>
    <row r="38" spans="1:14" ht="15" customHeight="1" x14ac:dyDescent="0.25">
      <c r="A38" s="83" t="s">
        <v>76</v>
      </c>
      <c r="B38" s="55" t="s">
        <v>18</v>
      </c>
      <c r="C38" s="95" t="s">
        <v>237</v>
      </c>
      <c r="D38" s="85">
        <v>45236</v>
      </c>
      <c r="E38" s="86">
        <v>71.760000000000005</v>
      </c>
      <c r="F38" s="86">
        <v>10.76</v>
      </c>
      <c r="G38" s="94">
        <v>65.509999999999991</v>
      </c>
      <c r="H38" s="86">
        <v>7.32</v>
      </c>
      <c r="I38" s="106">
        <v>45342</v>
      </c>
      <c r="J38" s="50">
        <f t="shared" si="8"/>
        <v>61.000000000000007</v>
      </c>
      <c r="K38" s="47">
        <f t="shared" si="6"/>
        <v>106</v>
      </c>
      <c r="L38" s="5">
        <v>0.03</v>
      </c>
      <c r="M38" s="6">
        <f t="shared" si="7"/>
        <v>1.83</v>
      </c>
    </row>
    <row r="39" spans="1:14" ht="15" customHeight="1" x14ac:dyDescent="0.25">
      <c r="A39" s="83" t="s">
        <v>148</v>
      </c>
      <c r="B39" s="113" t="s">
        <v>18</v>
      </c>
      <c r="C39" s="95" t="s">
        <v>195</v>
      </c>
      <c r="D39" s="85">
        <v>45308</v>
      </c>
      <c r="E39" s="86">
        <v>369.6</v>
      </c>
      <c r="F39" s="86">
        <v>92.4</v>
      </c>
      <c r="G39" s="94">
        <f>277.2-228.15</f>
        <v>49.049999999999983</v>
      </c>
      <c r="H39" s="86">
        <v>0</v>
      </c>
      <c r="I39" s="105">
        <v>45309</v>
      </c>
      <c r="J39" s="50">
        <f>49.05</f>
        <v>49.05</v>
      </c>
      <c r="K39" s="47">
        <f t="shared" si="6"/>
        <v>1</v>
      </c>
      <c r="L39" s="5">
        <v>0.04</v>
      </c>
      <c r="M39" s="6">
        <f t="shared" si="7"/>
        <v>1.962</v>
      </c>
    </row>
    <row r="40" spans="1:14" ht="15" customHeight="1" x14ac:dyDescent="0.25">
      <c r="A40" s="83" t="s">
        <v>94</v>
      </c>
      <c r="B40" s="113" t="s">
        <v>18</v>
      </c>
      <c r="C40" s="95" t="s">
        <v>238</v>
      </c>
      <c r="D40" s="85">
        <v>45314</v>
      </c>
      <c r="E40" s="86">
        <v>284.16000000000003</v>
      </c>
      <c r="F40" s="86">
        <v>42.62</v>
      </c>
      <c r="G40" s="94">
        <v>257.59999999999997</v>
      </c>
      <c r="H40" s="86">
        <v>28.98</v>
      </c>
      <c r="I40" s="105">
        <v>45345</v>
      </c>
      <c r="J40" s="50">
        <f t="shared" ref="J40:J49" si="9">+E40-F40</f>
        <v>241.54000000000002</v>
      </c>
      <c r="K40" s="47">
        <f t="shared" si="6"/>
        <v>31</v>
      </c>
      <c r="L40" s="5">
        <v>0.03</v>
      </c>
      <c r="M40" s="6">
        <f t="shared" si="7"/>
        <v>7.2462</v>
      </c>
    </row>
    <row r="41" spans="1:14" s="52" customFormat="1" ht="15" customHeight="1" x14ac:dyDescent="0.25">
      <c r="A41" s="83" t="s">
        <v>71</v>
      </c>
      <c r="B41" s="107" t="s">
        <v>24</v>
      </c>
      <c r="C41" s="95" t="s">
        <v>239</v>
      </c>
      <c r="D41" s="85">
        <v>45315</v>
      </c>
      <c r="E41" s="86">
        <v>419.04</v>
      </c>
      <c r="F41" s="86">
        <v>104.76</v>
      </c>
      <c r="G41" s="94">
        <v>351.99</v>
      </c>
      <c r="H41" s="86">
        <v>37.71</v>
      </c>
      <c r="I41" s="105">
        <v>45328</v>
      </c>
      <c r="J41" s="50">
        <f t="shared" si="9"/>
        <v>314.28000000000003</v>
      </c>
      <c r="K41" s="47">
        <f t="shared" si="6"/>
        <v>13</v>
      </c>
      <c r="L41" s="48">
        <v>3.5000000000000003E-2</v>
      </c>
      <c r="M41" s="49">
        <f t="shared" si="7"/>
        <v>10.999800000000002</v>
      </c>
      <c r="N41" s="60"/>
    </row>
    <row r="42" spans="1:14" ht="15" customHeight="1" x14ac:dyDescent="0.25">
      <c r="A42" s="83" t="s">
        <v>226</v>
      </c>
      <c r="B42" s="113" t="s">
        <v>18</v>
      </c>
      <c r="C42" s="95" t="s">
        <v>240</v>
      </c>
      <c r="D42" s="85">
        <v>45320</v>
      </c>
      <c r="E42" s="86">
        <v>97.2</v>
      </c>
      <c r="F42" s="86">
        <v>14.58</v>
      </c>
      <c r="G42" s="94">
        <v>26.260000000000005</v>
      </c>
      <c r="H42" s="86">
        <v>9.91</v>
      </c>
      <c r="I42" s="105">
        <v>45323</v>
      </c>
      <c r="J42" s="50">
        <f t="shared" si="9"/>
        <v>82.62</v>
      </c>
      <c r="K42" s="47">
        <f t="shared" si="6"/>
        <v>3</v>
      </c>
      <c r="L42" s="5">
        <v>3.5000000000000003E-2</v>
      </c>
      <c r="M42" s="6">
        <f t="shared" si="7"/>
        <v>2.8917000000000006</v>
      </c>
    </row>
    <row r="43" spans="1:14" ht="15" customHeight="1" x14ac:dyDescent="0.25">
      <c r="A43" s="83" t="s">
        <v>89</v>
      </c>
      <c r="B43" s="113" t="s">
        <v>18</v>
      </c>
      <c r="C43" s="95" t="s">
        <v>241</v>
      </c>
      <c r="D43" s="85">
        <v>45324</v>
      </c>
      <c r="E43" s="86">
        <v>21.6</v>
      </c>
      <c r="F43" s="86">
        <v>3.24</v>
      </c>
      <c r="G43" s="94">
        <v>19.72</v>
      </c>
      <c r="H43" s="86">
        <v>2.2000000000000002</v>
      </c>
      <c r="I43" s="106">
        <v>45327</v>
      </c>
      <c r="J43" s="50">
        <f t="shared" si="9"/>
        <v>18.36</v>
      </c>
      <c r="K43" s="47">
        <f t="shared" si="6"/>
        <v>3</v>
      </c>
      <c r="L43" s="5">
        <v>3.5000000000000003E-2</v>
      </c>
      <c r="M43" s="6">
        <f t="shared" si="7"/>
        <v>0.64260000000000006</v>
      </c>
    </row>
    <row r="44" spans="1:14" ht="15" customHeight="1" x14ac:dyDescent="0.25">
      <c r="A44" s="83" t="s">
        <v>55</v>
      </c>
      <c r="B44" s="107" t="s">
        <v>30</v>
      </c>
      <c r="C44" s="95" t="s">
        <v>242</v>
      </c>
      <c r="D44" s="85">
        <v>45324</v>
      </c>
      <c r="E44" s="86">
        <v>1188</v>
      </c>
      <c r="F44" s="86">
        <v>237.6</v>
      </c>
      <c r="G44" s="94">
        <v>1064.45</v>
      </c>
      <c r="H44" s="86">
        <v>114.05</v>
      </c>
      <c r="I44" s="106">
        <v>45330</v>
      </c>
      <c r="J44" s="50">
        <f t="shared" si="9"/>
        <v>950.4</v>
      </c>
      <c r="K44" s="47">
        <f t="shared" si="6"/>
        <v>6</v>
      </c>
      <c r="L44" s="5">
        <v>0.04</v>
      </c>
      <c r="M44" s="6">
        <f t="shared" si="7"/>
        <v>38.015999999999998</v>
      </c>
    </row>
    <row r="45" spans="1:14" ht="15" customHeight="1" x14ac:dyDescent="0.25">
      <c r="A45" s="83" t="s">
        <v>71</v>
      </c>
      <c r="B45" s="107" t="s">
        <v>24</v>
      </c>
      <c r="C45" s="95" t="s">
        <v>243</v>
      </c>
      <c r="D45" s="85">
        <v>45330</v>
      </c>
      <c r="E45" s="86">
        <v>1038.24</v>
      </c>
      <c r="F45" s="86">
        <v>259.56</v>
      </c>
      <c r="G45" s="94">
        <v>872.12</v>
      </c>
      <c r="H45" s="86">
        <v>93.44</v>
      </c>
      <c r="I45" s="106">
        <v>45339</v>
      </c>
      <c r="J45" s="50">
        <f t="shared" si="9"/>
        <v>778.68000000000006</v>
      </c>
      <c r="K45" s="47">
        <f t="shared" si="6"/>
        <v>9</v>
      </c>
      <c r="L45" s="5">
        <v>3.5000000000000003E-2</v>
      </c>
      <c r="M45" s="6">
        <f t="shared" si="7"/>
        <v>27.253800000000005</v>
      </c>
    </row>
    <row r="46" spans="1:14" ht="15" customHeight="1" x14ac:dyDescent="0.25">
      <c r="A46" s="83" t="s">
        <v>71</v>
      </c>
      <c r="B46" s="107" t="s">
        <v>24</v>
      </c>
      <c r="C46" s="95" t="s">
        <v>244</v>
      </c>
      <c r="D46" s="85">
        <v>45330</v>
      </c>
      <c r="E46" s="86">
        <v>259.2</v>
      </c>
      <c r="F46" s="86">
        <v>64.8</v>
      </c>
      <c r="G46" s="94">
        <v>217.73</v>
      </c>
      <c r="H46" s="86">
        <v>23.33</v>
      </c>
      <c r="I46" s="106">
        <v>45339</v>
      </c>
      <c r="J46" s="50">
        <f t="shared" si="9"/>
        <v>194.39999999999998</v>
      </c>
      <c r="K46" s="47">
        <f t="shared" si="6"/>
        <v>9</v>
      </c>
      <c r="L46" s="5">
        <v>3.5000000000000003E-2</v>
      </c>
      <c r="M46" s="6">
        <f t="shared" si="7"/>
        <v>6.8040000000000003</v>
      </c>
    </row>
    <row r="47" spans="1:14" ht="15" customHeight="1" x14ac:dyDescent="0.25">
      <c r="A47" s="83" t="s">
        <v>71</v>
      </c>
      <c r="B47" s="107" t="s">
        <v>24</v>
      </c>
      <c r="C47" s="95" t="s">
        <v>245</v>
      </c>
      <c r="D47" s="85">
        <v>45331</v>
      </c>
      <c r="E47" s="86">
        <v>174</v>
      </c>
      <c r="F47" s="86">
        <v>43.5</v>
      </c>
      <c r="G47" s="94">
        <v>146.16</v>
      </c>
      <c r="H47" s="86">
        <v>15.66</v>
      </c>
      <c r="I47" s="106">
        <v>45344</v>
      </c>
      <c r="J47" s="50">
        <f t="shared" si="9"/>
        <v>130.5</v>
      </c>
      <c r="K47" s="47">
        <f t="shared" si="6"/>
        <v>13</v>
      </c>
      <c r="L47" s="5">
        <v>3.5000000000000003E-2</v>
      </c>
      <c r="M47" s="6">
        <f t="shared" si="7"/>
        <v>4.5675000000000008</v>
      </c>
    </row>
    <row r="48" spans="1:14" ht="15" customHeight="1" x14ac:dyDescent="0.25">
      <c r="A48" s="83" t="s">
        <v>71</v>
      </c>
      <c r="B48" s="107" t="s">
        <v>24</v>
      </c>
      <c r="C48" s="95" t="s">
        <v>246</v>
      </c>
      <c r="D48" s="85">
        <v>45336</v>
      </c>
      <c r="E48" s="86">
        <v>626.4</v>
      </c>
      <c r="F48" s="86">
        <v>156.6</v>
      </c>
      <c r="G48" s="94">
        <v>526.17999999999995</v>
      </c>
      <c r="H48" s="86">
        <v>56.38</v>
      </c>
      <c r="I48" s="106">
        <v>45344</v>
      </c>
      <c r="J48" s="50">
        <f t="shared" si="9"/>
        <v>469.79999999999995</v>
      </c>
      <c r="K48" s="47">
        <f t="shared" si="6"/>
        <v>8</v>
      </c>
      <c r="L48" s="5">
        <v>3.5000000000000003E-2</v>
      </c>
      <c r="M48" s="6">
        <f t="shared" si="7"/>
        <v>16.443000000000001</v>
      </c>
    </row>
    <row r="49" spans="1:17" ht="15" customHeight="1" x14ac:dyDescent="0.25">
      <c r="A49" s="83" t="s">
        <v>130</v>
      </c>
      <c r="B49" s="107" t="s">
        <v>84</v>
      </c>
      <c r="C49" s="95" t="s">
        <v>247</v>
      </c>
      <c r="D49" s="85">
        <v>45348</v>
      </c>
      <c r="E49" s="86">
        <v>183.6</v>
      </c>
      <c r="F49" s="86">
        <v>27.54</v>
      </c>
      <c r="G49" s="94">
        <f>174.79</f>
        <v>174.79</v>
      </c>
      <c r="H49" s="86">
        <v>18.73</v>
      </c>
      <c r="I49" s="106">
        <v>45349</v>
      </c>
      <c r="J49" s="50">
        <f t="shared" si="9"/>
        <v>156.06</v>
      </c>
      <c r="K49" s="47">
        <f t="shared" si="6"/>
        <v>1</v>
      </c>
      <c r="L49" s="5">
        <v>0.04</v>
      </c>
      <c r="M49" s="6">
        <f t="shared" si="7"/>
        <v>6.2423999999999999</v>
      </c>
    </row>
    <row r="50" spans="1:17" ht="15" customHeight="1" x14ac:dyDescent="0.25">
      <c r="A50" s="83"/>
      <c r="B50" s="111"/>
      <c r="C50" s="95"/>
      <c r="D50" s="85"/>
      <c r="E50" s="86"/>
      <c r="F50" s="86"/>
      <c r="G50" s="94"/>
      <c r="H50" s="86"/>
      <c r="I50" s="84"/>
      <c r="J50" s="50"/>
      <c r="K50" s="47"/>
      <c r="L50" s="5"/>
      <c r="M50" s="6"/>
    </row>
    <row r="51" spans="1:17" ht="15" customHeight="1" x14ac:dyDescent="0.3">
      <c r="A51" s="2"/>
      <c r="B51" s="3"/>
      <c r="C51" s="3"/>
      <c r="D51" s="61"/>
      <c r="E51" s="4"/>
      <c r="F51" s="4"/>
      <c r="G51" s="9"/>
      <c r="H51" s="10"/>
      <c r="I51" s="71"/>
      <c r="J51" s="50"/>
      <c r="K51" s="47"/>
      <c r="L51" s="5"/>
      <c r="M51" s="6"/>
      <c r="O51" s="15"/>
      <c r="P51" s="8"/>
      <c r="Q51" s="8"/>
    </row>
    <row r="52" spans="1:17" ht="15" customHeight="1" x14ac:dyDescent="0.3">
      <c r="G52" s="16">
        <f>SUM(G28:G51)</f>
        <v>4905.18</v>
      </c>
      <c r="J52" s="16">
        <f>SUM(J28:J51)</f>
        <v>4496.142142857143</v>
      </c>
      <c r="M52" s="16">
        <f>SUM(M28:M51)</f>
        <v>149.68202142857143</v>
      </c>
    </row>
    <row r="53" spans="1:17" ht="15" customHeight="1" x14ac:dyDescent="0.25">
      <c r="G53" s="8"/>
      <c r="H53" s="8"/>
    </row>
    <row r="54" spans="1:17" ht="15" customHeight="1" x14ac:dyDescent="0.25">
      <c r="A54" s="17" t="s">
        <v>19</v>
      </c>
      <c r="B54" s="17" t="s">
        <v>20</v>
      </c>
      <c r="C54" s="18" t="s">
        <v>21</v>
      </c>
      <c r="I54" s="8"/>
      <c r="J54" s="8"/>
    </row>
    <row r="55" spans="1:17" s="52" customFormat="1" ht="15" customHeight="1" x14ac:dyDescent="0.25">
      <c r="A55" s="91" t="s">
        <v>49</v>
      </c>
      <c r="B55" s="101" t="s">
        <v>248</v>
      </c>
      <c r="C55" s="93" t="s">
        <v>256</v>
      </c>
      <c r="D55" s="88">
        <v>45266</v>
      </c>
      <c r="E55" s="92">
        <v>1133.52</v>
      </c>
      <c r="F55" s="92">
        <v>170.02</v>
      </c>
      <c r="G55" s="90">
        <v>1034.7899999999997</v>
      </c>
      <c r="H55" s="92">
        <v>115.62</v>
      </c>
      <c r="I55" s="105">
        <v>45415</v>
      </c>
      <c r="J55" s="50">
        <f t="shared" ref="J55:J63" si="10">+E55-F55</f>
        <v>963.5</v>
      </c>
      <c r="K55" s="47">
        <f t="shared" ref="K55:K63" si="11">+I55-D55</f>
        <v>149</v>
      </c>
      <c r="L55" s="48">
        <v>0.03</v>
      </c>
      <c r="M55" s="49">
        <f t="shared" ref="M55:M63" si="12">+J55*L55</f>
        <v>28.904999999999998</v>
      </c>
      <c r="N55" s="60"/>
    </row>
    <row r="56" spans="1:17" s="52" customFormat="1" ht="15" customHeight="1" x14ac:dyDescent="0.25">
      <c r="A56" s="91" t="s">
        <v>49</v>
      </c>
      <c r="B56" s="101" t="s">
        <v>248</v>
      </c>
      <c r="C56" s="93" t="s">
        <v>257</v>
      </c>
      <c r="D56" s="88">
        <v>45272</v>
      </c>
      <c r="E56" s="92">
        <v>132</v>
      </c>
      <c r="F56" s="92">
        <v>19.8</v>
      </c>
      <c r="G56" s="90">
        <v>120.49999999999999</v>
      </c>
      <c r="H56" s="92">
        <v>13.46</v>
      </c>
      <c r="I56" s="105">
        <v>45415</v>
      </c>
      <c r="J56" s="50">
        <f t="shared" si="10"/>
        <v>112.2</v>
      </c>
      <c r="K56" s="47">
        <f t="shared" si="11"/>
        <v>143</v>
      </c>
      <c r="L56" s="48">
        <v>0.03</v>
      </c>
      <c r="M56" s="49">
        <f t="shared" si="12"/>
        <v>3.3660000000000001</v>
      </c>
      <c r="N56" s="60"/>
    </row>
    <row r="57" spans="1:17" s="52" customFormat="1" ht="15" customHeight="1" x14ac:dyDescent="0.25">
      <c r="A57" s="91" t="s">
        <v>47</v>
      </c>
      <c r="B57" s="101" t="s">
        <v>249</v>
      </c>
      <c r="C57" s="93" t="s">
        <v>258</v>
      </c>
      <c r="D57" s="88">
        <v>45310</v>
      </c>
      <c r="E57" s="92">
        <v>404.4</v>
      </c>
      <c r="F57" s="92">
        <v>68.75</v>
      </c>
      <c r="G57" s="90">
        <v>375.93</v>
      </c>
      <c r="H57" s="92">
        <v>40.28</v>
      </c>
      <c r="I57" s="105">
        <v>45370</v>
      </c>
      <c r="J57" s="50">
        <f t="shared" si="10"/>
        <v>335.65</v>
      </c>
      <c r="K57" s="47">
        <f t="shared" si="11"/>
        <v>60</v>
      </c>
      <c r="L57" s="48">
        <v>0.03</v>
      </c>
      <c r="M57" s="49">
        <f t="shared" si="12"/>
        <v>10.0695</v>
      </c>
      <c r="N57" s="60"/>
    </row>
    <row r="58" spans="1:17" s="52" customFormat="1" ht="15" customHeight="1" x14ac:dyDescent="0.25">
      <c r="A58" s="91" t="s">
        <v>42</v>
      </c>
      <c r="B58" s="101" t="s">
        <v>250</v>
      </c>
      <c r="C58" s="93" t="s">
        <v>259</v>
      </c>
      <c r="D58" s="88">
        <v>45323</v>
      </c>
      <c r="E58" s="92">
        <v>121.68</v>
      </c>
      <c r="F58" s="92">
        <v>18.25</v>
      </c>
      <c r="G58" s="90">
        <v>111.09</v>
      </c>
      <c r="H58" s="92">
        <v>12.41</v>
      </c>
      <c r="I58" s="105">
        <v>45354</v>
      </c>
      <c r="J58" s="50">
        <f t="shared" si="10"/>
        <v>103.43</v>
      </c>
      <c r="K58" s="47">
        <f t="shared" si="11"/>
        <v>31</v>
      </c>
      <c r="L58" s="48">
        <v>0.03</v>
      </c>
      <c r="M58" s="49">
        <f t="shared" si="12"/>
        <v>3.1029</v>
      </c>
      <c r="N58" s="60"/>
    </row>
    <row r="59" spans="1:17" s="52" customFormat="1" ht="15" customHeight="1" x14ac:dyDescent="0.25">
      <c r="A59" s="91" t="s">
        <v>42</v>
      </c>
      <c r="B59" s="101" t="s">
        <v>251</v>
      </c>
      <c r="C59" s="93" t="s">
        <v>260</v>
      </c>
      <c r="D59" s="88">
        <v>45327</v>
      </c>
      <c r="E59" s="92">
        <v>241.32</v>
      </c>
      <c r="F59" s="92">
        <v>36.200000000000003</v>
      </c>
      <c r="G59" s="90">
        <v>220.29999999999998</v>
      </c>
      <c r="H59" s="92">
        <v>24.61</v>
      </c>
      <c r="I59" s="105">
        <v>45357</v>
      </c>
      <c r="J59" s="50">
        <f t="shared" si="10"/>
        <v>205.12</v>
      </c>
      <c r="K59" s="47">
        <f t="shared" si="11"/>
        <v>30</v>
      </c>
      <c r="L59" s="48">
        <v>0.03</v>
      </c>
      <c r="M59" s="49">
        <f t="shared" si="12"/>
        <v>6.1536</v>
      </c>
      <c r="N59" s="60"/>
    </row>
    <row r="60" spans="1:17" s="52" customFormat="1" ht="15" customHeight="1" x14ac:dyDescent="0.25">
      <c r="A60" s="91" t="s">
        <v>102</v>
      </c>
      <c r="B60" s="101" t="s">
        <v>252</v>
      </c>
      <c r="C60" s="93" t="s">
        <v>261</v>
      </c>
      <c r="D60" s="88">
        <v>45329</v>
      </c>
      <c r="E60" s="92">
        <v>110.88</v>
      </c>
      <c r="F60" s="92">
        <v>16.63</v>
      </c>
      <c r="G60" s="90">
        <v>105.56</v>
      </c>
      <c r="H60" s="92">
        <v>11.31</v>
      </c>
      <c r="I60" s="105">
        <v>45363</v>
      </c>
      <c r="J60" s="50">
        <f t="shared" si="10"/>
        <v>94.25</v>
      </c>
      <c r="K60" s="47">
        <f t="shared" si="11"/>
        <v>34</v>
      </c>
      <c r="L60" s="48">
        <v>0.03</v>
      </c>
      <c r="M60" s="49">
        <f t="shared" si="12"/>
        <v>2.8274999999999997</v>
      </c>
      <c r="N60" s="60"/>
    </row>
    <row r="61" spans="1:17" s="52" customFormat="1" ht="15" customHeight="1" x14ac:dyDescent="0.25">
      <c r="A61" s="91" t="s">
        <v>38</v>
      </c>
      <c r="B61" s="101" t="s">
        <v>253</v>
      </c>
      <c r="C61" s="93" t="s">
        <v>262</v>
      </c>
      <c r="D61" s="88">
        <v>45337</v>
      </c>
      <c r="E61" s="92">
        <v>1025.6400000000001</v>
      </c>
      <c r="F61" s="92">
        <v>205.13</v>
      </c>
      <c r="G61" s="90">
        <v>881.22</v>
      </c>
      <c r="H61" s="92">
        <v>98.46</v>
      </c>
      <c r="I61" s="105">
        <v>45367</v>
      </c>
      <c r="J61" s="50">
        <f t="shared" si="10"/>
        <v>820.5100000000001</v>
      </c>
      <c r="K61" s="47">
        <f t="shared" si="11"/>
        <v>30</v>
      </c>
      <c r="L61" s="48">
        <v>0.03</v>
      </c>
      <c r="M61" s="49">
        <f t="shared" si="12"/>
        <v>24.615300000000001</v>
      </c>
      <c r="N61" s="60"/>
    </row>
    <row r="62" spans="1:17" s="52" customFormat="1" ht="15" customHeight="1" x14ac:dyDescent="0.25">
      <c r="A62" s="91" t="s">
        <v>42</v>
      </c>
      <c r="B62" s="101" t="s">
        <v>254</v>
      </c>
      <c r="C62" s="93" t="s">
        <v>263</v>
      </c>
      <c r="D62" s="88">
        <v>45344</v>
      </c>
      <c r="E62" s="92">
        <v>305.27999999999997</v>
      </c>
      <c r="F62" s="92">
        <v>45.79</v>
      </c>
      <c r="G62" s="90">
        <v>278.70000000000005</v>
      </c>
      <c r="H62" s="92">
        <v>31.14</v>
      </c>
      <c r="I62" s="105">
        <v>45375</v>
      </c>
      <c r="J62" s="50">
        <f t="shared" si="10"/>
        <v>259.48999999999995</v>
      </c>
      <c r="K62" s="47">
        <f t="shared" si="11"/>
        <v>31</v>
      </c>
      <c r="L62" s="48">
        <v>0.03</v>
      </c>
      <c r="M62" s="49">
        <f t="shared" si="12"/>
        <v>7.7846999999999982</v>
      </c>
      <c r="N62" s="60"/>
    </row>
    <row r="63" spans="1:17" s="52" customFormat="1" ht="15" customHeight="1" x14ac:dyDescent="0.25">
      <c r="A63" s="91" t="s">
        <v>43</v>
      </c>
      <c r="B63" s="101" t="s">
        <v>255</v>
      </c>
      <c r="C63" s="93" t="s">
        <v>264</v>
      </c>
      <c r="D63" s="88">
        <v>45351</v>
      </c>
      <c r="E63" s="92">
        <v>43.2</v>
      </c>
      <c r="F63" s="92">
        <v>5.2</v>
      </c>
      <c r="G63" s="90">
        <v>42.56</v>
      </c>
      <c r="H63" s="92">
        <v>4.5599999999999996</v>
      </c>
      <c r="I63" s="105">
        <v>45366</v>
      </c>
      <c r="J63" s="50">
        <f t="shared" si="10"/>
        <v>38</v>
      </c>
      <c r="K63" s="47">
        <f t="shared" si="11"/>
        <v>15</v>
      </c>
      <c r="L63" s="48">
        <v>0.03</v>
      </c>
      <c r="M63" s="49">
        <f t="shared" si="12"/>
        <v>1.1399999999999999</v>
      </c>
      <c r="N63" s="60"/>
    </row>
    <row r="64" spans="1:17" s="52" customFormat="1" ht="15" customHeight="1" x14ac:dyDescent="0.3">
      <c r="A64" s="42"/>
      <c r="B64" s="43"/>
      <c r="C64" s="43"/>
      <c r="D64" s="68"/>
      <c r="E64" s="44"/>
      <c r="F64" s="44"/>
      <c r="G64" s="45"/>
      <c r="H64" s="46"/>
      <c r="I64" s="72"/>
      <c r="J64" s="50"/>
      <c r="K64" s="47"/>
      <c r="L64" s="48"/>
      <c r="M64" s="49"/>
      <c r="N64" s="60"/>
    </row>
    <row r="65" spans="1:13" ht="15" customHeight="1" thickBot="1" x14ac:dyDescent="0.35">
      <c r="A65" s="332" t="s">
        <v>29</v>
      </c>
      <c r="B65" s="332"/>
      <c r="C65" s="332"/>
      <c r="D65" s="332"/>
      <c r="E65" s="332"/>
      <c r="F65" s="332"/>
      <c r="G65" s="16">
        <f>SUM(G52:G64)</f>
        <v>8075.8300000000017</v>
      </c>
      <c r="J65" s="16">
        <f>SUM(J52:J64)</f>
        <v>7428.2921428571426</v>
      </c>
      <c r="L65" s="20"/>
      <c r="M65" s="23">
        <f>SUM(M52:M64)</f>
        <v>237.64652142857142</v>
      </c>
    </row>
    <row r="66" spans="1:13" ht="15" customHeight="1" x14ac:dyDescent="0.3">
      <c r="A66" s="22"/>
      <c r="G66" s="8"/>
    </row>
    <row r="67" spans="1:13" ht="15" customHeight="1" x14ac:dyDescent="0.3">
      <c r="A67" s="39"/>
      <c r="G67" s="8"/>
      <c r="J67" s="8"/>
    </row>
    <row r="68" spans="1:13" ht="15" customHeight="1" x14ac:dyDescent="0.3">
      <c r="A68" s="39"/>
      <c r="G68" s="8"/>
      <c r="J68" s="8"/>
    </row>
    <row r="69" spans="1:13" ht="15" customHeight="1" x14ac:dyDescent="0.3">
      <c r="A69" s="39"/>
      <c r="G69" s="8"/>
      <c r="J69" s="8"/>
    </row>
    <row r="70" spans="1:13" ht="15" customHeight="1" x14ac:dyDescent="0.3">
      <c r="A70" s="39"/>
      <c r="G70" s="8"/>
      <c r="J70" s="8">
        <f>J18+J65</f>
        <v>7658.0921428571428</v>
      </c>
    </row>
    <row r="71" spans="1:13" ht="15" customHeight="1" x14ac:dyDescent="0.3">
      <c r="A71" s="39"/>
      <c r="G71" s="8"/>
      <c r="J71" s="8">
        <f>J70*2%</f>
        <v>153.16184285714286</v>
      </c>
    </row>
    <row r="72" spans="1:13" ht="15" customHeight="1" x14ac:dyDescent="0.3">
      <c r="A72" s="39"/>
      <c r="G72" s="8"/>
      <c r="J72" s="8"/>
      <c r="M72" s="8"/>
    </row>
    <row r="73" spans="1:13" ht="15" customHeight="1" x14ac:dyDescent="0.3">
      <c r="A73" s="39"/>
      <c r="G73" s="8"/>
      <c r="J73" s="8"/>
    </row>
    <row r="74" spans="1:13" ht="15" customHeight="1" x14ac:dyDescent="0.3">
      <c r="A74" s="39"/>
      <c r="G74" s="8"/>
      <c r="J74" s="8"/>
    </row>
    <row r="75" spans="1:13" ht="15" customHeight="1" x14ac:dyDescent="0.3">
      <c r="A75" s="39"/>
      <c r="G75" s="8"/>
      <c r="J75" s="8"/>
    </row>
    <row r="76" spans="1:13" ht="15" customHeight="1" x14ac:dyDescent="0.3">
      <c r="A76" s="39"/>
      <c r="G76" s="8"/>
      <c r="J76" s="8"/>
    </row>
    <row r="77" spans="1:13" ht="15" customHeight="1" x14ac:dyDescent="0.3">
      <c r="A77" s="39"/>
      <c r="G77" s="8"/>
      <c r="J77" s="8"/>
    </row>
    <row r="78" spans="1:13" ht="15" customHeight="1" x14ac:dyDescent="0.3">
      <c r="A78" s="22"/>
      <c r="K78" s="15"/>
    </row>
  </sheetData>
  <sortState xmlns:xlrd2="http://schemas.microsoft.com/office/spreadsheetml/2017/richdata2" ref="A30:AD49">
    <sortCondition ref="D30:D49"/>
  </sortState>
  <mergeCells count="7">
    <mergeCell ref="A65:F65"/>
    <mergeCell ref="A2:F2"/>
    <mergeCell ref="A3:F3"/>
    <mergeCell ref="A11:F11"/>
    <mergeCell ref="A18:F18"/>
    <mergeCell ref="A22:F22"/>
    <mergeCell ref="A23:F23"/>
  </mergeCells>
  <pageMargins left="0.19685039370078741" right="0" top="0.39370078740157483" bottom="0" header="0" footer="0"/>
  <pageSetup paperSize="9" scale="85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77"/>
  <sheetViews>
    <sheetView topLeftCell="H58" workbookViewId="0">
      <selection activeCell="J73" sqref="J73"/>
    </sheetView>
  </sheetViews>
  <sheetFormatPr baseColWidth="10" defaultColWidth="11.44140625" defaultRowHeight="13.2" x14ac:dyDescent="0.25"/>
  <cols>
    <col min="1" max="1" width="25.109375" style="7" customWidth="1"/>
    <col min="2" max="2" width="32.88671875" style="7" customWidth="1"/>
    <col min="3" max="3" width="10.88671875" style="7" customWidth="1"/>
    <col min="4" max="4" width="10.88671875" style="63" customWidth="1"/>
    <col min="5" max="5" width="11.44140625" style="7"/>
    <col min="6" max="6" width="8.5546875" style="7" customWidth="1"/>
    <col min="7" max="7" width="12.5546875" style="7" customWidth="1"/>
    <col min="8" max="8" width="8.33203125" style="7" customWidth="1"/>
    <col min="9" max="9" width="13.6640625" style="63" customWidth="1"/>
    <col min="10" max="10" width="12.44140625" style="7" customWidth="1"/>
    <col min="11" max="11" width="7.109375" style="7" customWidth="1"/>
    <col min="12" max="12" width="7.33203125" style="7" customWidth="1"/>
    <col min="13" max="13" width="10.33203125" style="7" customWidth="1"/>
    <col min="14" max="14" width="17.33203125" style="59" customWidth="1"/>
    <col min="15" max="16" width="8" style="7" customWidth="1"/>
    <col min="17" max="16384" width="11.44140625" style="7"/>
  </cols>
  <sheetData>
    <row r="1" spans="1:30" ht="15" customHeight="1" x14ac:dyDescent="0.25">
      <c r="B1" s="8"/>
      <c r="C1" s="8"/>
      <c r="G1" s="8"/>
    </row>
    <row r="2" spans="1:30" ht="15" customHeight="1" x14ac:dyDescent="0.25">
      <c r="A2" s="331" t="s">
        <v>0</v>
      </c>
      <c r="B2" s="331"/>
      <c r="C2" s="331"/>
      <c r="D2" s="331"/>
      <c r="E2" s="331"/>
      <c r="F2" s="331"/>
      <c r="G2" s="24"/>
      <c r="H2" s="25"/>
      <c r="I2" s="65"/>
      <c r="J2" s="26"/>
      <c r="K2" s="27"/>
      <c r="L2" s="28"/>
      <c r="M2" s="29"/>
    </row>
    <row r="3" spans="1:30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65"/>
      <c r="J3" s="27"/>
      <c r="K3" s="27"/>
      <c r="L3" s="28"/>
      <c r="M3" s="29"/>
    </row>
    <row r="4" spans="1:30" ht="15" customHeight="1" x14ac:dyDescent="0.25">
      <c r="A4" s="30"/>
      <c r="B4" s="31" t="s">
        <v>265</v>
      </c>
      <c r="C4" s="30"/>
      <c r="D4" s="64"/>
      <c r="E4" s="30"/>
      <c r="F4" s="30"/>
      <c r="G4" s="24"/>
      <c r="H4" s="25"/>
      <c r="I4" s="65"/>
      <c r="J4" s="27"/>
      <c r="K4" s="27"/>
      <c r="L4" s="28"/>
      <c r="M4" s="29"/>
    </row>
    <row r="5" spans="1:30" ht="15" customHeight="1" thickBot="1" x14ac:dyDescent="0.3">
      <c r="A5" s="30"/>
      <c r="B5" s="31" t="s">
        <v>2</v>
      </c>
      <c r="C5" s="30"/>
      <c r="D5" s="64"/>
      <c r="E5" s="30"/>
      <c r="F5" s="30"/>
      <c r="G5" s="32"/>
      <c r="H5" s="24"/>
      <c r="I5" s="69"/>
      <c r="J5" s="33"/>
      <c r="K5" s="27"/>
      <c r="L5" s="28"/>
      <c r="M5" s="29"/>
    </row>
    <row r="6" spans="1:30" ht="15" customHeight="1" x14ac:dyDescent="0.25">
      <c r="A6" s="34" t="s">
        <v>66</v>
      </c>
      <c r="B6" s="33"/>
      <c r="C6" s="33"/>
      <c r="D6" s="65"/>
      <c r="E6" s="33"/>
      <c r="F6" s="33"/>
      <c r="G6" s="35" t="s">
        <v>3</v>
      </c>
      <c r="H6" s="27"/>
      <c r="I6" s="65"/>
      <c r="J6" s="36" t="s">
        <v>4</v>
      </c>
      <c r="K6" s="56" t="s">
        <v>5</v>
      </c>
      <c r="L6" s="40" t="s">
        <v>6</v>
      </c>
      <c r="M6" s="36" t="s">
        <v>7</v>
      </c>
    </row>
    <row r="7" spans="1:30" ht="15" customHeight="1" thickBot="1" x14ac:dyDescent="0.3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12" t="s">
        <v>13</v>
      </c>
      <c r="H7" s="13" t="s">
        <v>14</v>
      </c>
      <c r="I7" s="70" t="s">
        <v>15</v>
      </c>
      <c r="J7" s="14" t="s">
        <v>16</v>
      </c>
      <c r="K7" s="57"/>
      <c r="L7" s="58" t="s">
        <v>17</v>
      </c>
      <c r="M7" s="14" t="s">
        <v>39</v>
      </c>
    </row>
    <row r="8" spans="1:30" s="1" customFormat="1" ht="15" customHeight="1" x14ac:dyDescent="0.25">
      <c r="A8" s="83" t="s">
        <v>34</v>
      </c>
      <c r="B8" s="55" t="s">
        <v>18</v>
      </c>
      <c r="C8" s="95" t="s">
        <v>270</v>
      </c>
      <c r="D8" s="85">
        <v>45280</v>
      </c>
      <c r="E8" s="86">
        <v>712.8</v>
      </c>
      <c r="F8" s="86">
        <v>106.92</v>
      </c>
      <c r="G8" s="94">
        <v>650.72000000000014</v>
      </c>
      <c r="H8" s="86">
        <v>72.709999999999994</v>
      </c>
      <c r="I8" s="105">
        <v>45363</v>
      </c>
      <c r="J8" s="50">
        <f t="shared" ref="J8:J14" si="0">+E8-F8</f>
        <v>605.88</v>
      </c>
      <c r="K8" s="47">
        <f t="shared" ref="K8:K14" si="1">+I8-D8</f>
        <v>83</v>
      </c>
      <c r="L8" s="48">
        <v>0.03</v>
      </c>
      <c r="M8" s="49">
        <f t="shared" ref="M8:M14" si="2">+J8*L8</f>
        <v>18.176399999999997</v>
      </c>
      <c r="N8" s="74"/>
    </row>
    <row r="9" spans="1:30" s="1" customFormat="1" ht="15" customHeight="1" x14ac:dyDescent="0.25">
      <c r="A9" s="83" t="s">
        <v>80</v>
      </c>
      <c r="B9" s="113" t="s">
        <v>18</v>
      </c>
      <c r="C9" s="95" t="s">
        <v>271</v>
      </c>
      <c r="D9" s="85">
        <v>45299</v>
      </c>
      <c r="E9" s="86">
        <v>626.4</v>
      </c>
      <c r="F9" s="86">
        <v>156.6</v>
      </c>
      <c r="G9" s="94">
        <v>504.56999999999988</v>
      </c>
      <c r="H9" s="86">
        <v>56.38</v>
      </c>
      <c r="I9" s="105">
        <v>45355</v>
      </c>
      <c r="J9" s="50">
        <f t="shared" si="0"/>
        <v>469.79999999999995</v>
      </c>
      <c r="K9" s="47">
        <f t="shared" si="1"/>
        <v>56</v>
      </c>
      <c r="L9" s="48">
        <v>0.03</v>
      </c>
      <c r="M9" s="49">
        <f t="shared" si="2"/>
        <v>14.093999999999998</v>
      </c>
      <c r="N9" s="74"/>
    </row>
    <row r="10" spans="1:30" s="1" customFormat="1" ht="15" customHeight="1" x14ac:dyDescent="0.25">
      <c r="A10" s="83" t="s">
        <v>80</v>
      </c>
      <c r="B10" s="113" t="s">
        <v>18</v>
      </c>
      <c r="C10" s="95" t="s">
        <v>272</v>
      </c>
      <c r="D10" s="85">
        <v>45308</v>
      </c>
      <c r="E10" s="86">
        <v>540</v>
      </c>
      <c r="F10" s="86">
        <v>108</v>
      </c>
      <c r="G10" s="94">
        <v>463.96999999999997</v>
      </c>
      <c r="H10" s="86">
        <v>51.84</v>
      </c>
      <c r="I10" s="105">
        <v>45355</v>
      </c>
      <c r="J10" s="50">
        <f t="shared" si="0"/>
        <v>432</v>
      </c>
      <c r="K10" s="47">
        <f t="shared" si="1"/>
        <v>47</v>
      </c>
      <c r="L10" s="48">
        <v>0.03</v>
      </c>
      <c r="M10" s="49">
        <f t="shared" si="2"/>
        <v>12.959999999999999</v>
      </c>
      <c r="N10" s="74"/>
    </row>
    <row r="11" spans="1:30" s="1" customFormat="1" ht="15" customHeight="1" x14ac:dyDescent="0.25">
      <c r="A11" s="83" t="s">
        <v>74</v>
      </c>
      <c r="B11" s="113" t="s">
        <v>18</v>
      </c>
      <c r="C11" s="95" t="s">
        <v>273</v>
      </c>
      <c r="D11" s="85">
        <v>45330</v>
      </c>
      <c r="E11" s="86">
        <v>64.44</v>
      </c>
      <c r="F11" s="86">
        <v>9.67</v>
      </c>
      <c r="G11" s="94">
        <v>58.820000000000007</v>
      </c>
      <c r="H11" s="86">
        <v>6.57</v>
      </c>
      <c r="I11" s="106">
        <v>45374</v>
      </c>
      <c r="J11" s="50">
        <f t="shared" si="0"/>
        <v>54.769999999999996</v>
      </c>
      <c r="K11" s="47">
        <f t="shared" si="1"/>
        <v>44</v>
      </c>
      <c r="L11" s="48">
        <v>0.03</v>
      </c>
      <c r="M11" s="49">
        <f t="shared" si="2"/>
        <v>1.6430999999999998</v>
      </c>
      <c r="N11" s="74"/>
    </row>
    <row r="12" spans="1:30" s="1" customFormat="1" ht="15" customHeight="1" x14ac:dyDescent="0.25">
      <c r="A12" s="83" t="s">
        <v>80</v>
      </c>
      <c r="B12" s="113" t="s">
        <v>18</v>
      </c>
      <c r="C12" s="95" t="s">
        <v>274</v>
      </c>
      <c r="D12" s="85">
        <v>45337</v>
      </c>
      <c r="E12" s="86">
        <v>810</v>
      </c>
      <c r="F12" s="86">
        <v>162</v>
      </c>
      <c r="G12" s="94">
        <v>695.94999999999993</v>
      </c>
      <c r="H12" s="86">
        <v>77.760000000000005</v>
      </c>
      <c r="I12" s="106">
        <v>45379</v>
      </c>
      <c r="J12" s="50">
        <f t="shared" si="0"/>
        <v>648</v>
      </c>
      <c r="K12" s="47">
        <f t="shared" si="1"/>
        <v>42</v>
      </c>
      <c r="L12" s="48">
        <v>0.03</v>
      </c>
      <c r="M12" s="49">
        <f t="shared" si="2"/>
        <v>19.439999999999998</v>
      </c>
      <c r="N12" s="74"/>
    </row>
    <row r="13" spans="1:30" s="1" customFormat="1" ht="15" customHeight="1" x14ac:dyDescent="0.25">
      <c r="A13" s="83" t="s">
        <v>80</v>
      </c>
      <c r="B13" s="113" t="s">
        <v>18</v>
      </c>
      <c r="C13" s="95" t="s">
        <v>275</v>
      </c>
      <c r="D13" s="85">
        <v>45344</v>
      </c>
      <c r="E13" s="86">
        <v>86.4</v>
      </c>
      <c r="F13" s="86">
        <v>17.28</v>
      </c>
      <c r="G13" s="94">
        <v>74.23</v>
      </c>
      <c r="H13" s="86">
        <v>8.2899999999999991</v>
      </c>
      <c r="I13" s="106">
        <v>45379</v>
      </c>
      <c r="J13" s="50">
        <f t="shared" si="0"/>
        <v>69.12</v>
      </c>
      <c r="K13" s="47">
        <f t="shared" si="1"/>
        <v>35</v>
      </c>
      <c r="L13" s="48">
        <v>0.03</v>
      </c>
      <c r="M13" s="49">
        <f t="shared" si="2"/>
        <v>2.0735999999999999</v>
      </c>
      <c r="N13" s="74"/>
    </row>
    <row r="14" spans="1:30" s="1" customFormat="1" ht="15" customHeight="1" x14ac:dyDescent="0.25">
      <c r="A14" s="83" t="s">
        <v>125</v>
      </c>
      <c r="B14" s="113" t="s">
        <v>18</v>
      </c>
      <c r="C14" s="95" t="s">
        <v>276</v>
      </c>
      <c r="D14" s="85">
        <v>45363</v>
      </c>
      <c r="E14" s="86">
        <v>64.8</v>
      </c>
      <c r="F14" s="86">
        <v>0</v>
      </c>
      <c r="G14" s="94">
        <v>72.58</v>
      </c>
      <c r="H14" s="86">
        <v>7.78</v>
      </c>
      <c r="I14" s="106">
        <v>45365</v>
      </c>
      <c r="J14" s="50">
        <f t="shared" si="0"/>
        <v>64.8</v>
      </c>
      <c r="K14" s="47">
        <f t="shared" si="1"/>
        <v>2</v>
      </c>
      <c r="L14" s="48">
        <v>0.04</v>
      </c>
      <c r="M14" s="49">
        <f t="shared" si="2"/>
        <v>2.5920000000000001</v>
      </c>
      <c r="N14" s="74"/>
    </row>
    <row r="15" spans="1:30" s="1" customFormat="1" ht="15" customHeight="1" x14ac:dyDescent="0.25">
      <c r="A15" s="83"/>
      <c r="B15" s="55"/>
      <c r="C15" s="95"/>
      <c r="D15" s="85"/>
      <c r="E15" s="86"/>
      <c r="F15" s="86"/>
      <c r="G15" s="94"/>
      <c r="H15" s="86"/>
      <c r="I15" s="106"/>
      <c r="J15" s="50"/>
      <c r="K15" s="47"/>
      <c r="L15" s="48"/>
      <c r="M15" s="49"/>
      <c r="N15" s="74"/>
    </row>
    <row r="16" spans="1:30" s="49" customFormat="1" ht="15" customHeight="1" x14ac:dyDescent="0.3">
      <c r="A16" s="42"/>
      <c r="B16" s="43"/>
      <c r="C16" s="43"/>
      <c r="D16" s="68"/>
      <c r="E16" s="44"/>
      <c r="F16" s="44"/>
      <c r="G16" s="45"/>
      <c r="H16" s="46"/>
      <c r="I16" s="72"/>
      <c r="J16" s="50"/>
      <c r="K16" s="47"/>
      <c r="L16" s="48"/>
      <c r="N16" s="74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14" s="52" customFormat="1" ht="15" customHeight="1" x14ac:dyDescent="0.25">
      <c r="A17" s="333"/>
      <c r="B17" s="333"/>
      <c r="C17" s="333"/>
      <c r="D17" s="333"/>
      <c r="E17" s="333"/>
      <c r="F17" s="333"/>
      <c r="G17" s="75">
        <f>SUM(G8:G16)</f>
        <v>2520.8399999999997</v>
      </c>
      <c r="H17" s="80"/>
      <c r="I17" s="81"/>
      <c r="J17" s="75">
        <f>SUM(J8:J16)</f>
        <v>2344.37</v>
      </c>
      <c r="K17" s="82"/>
      <c r="L17" s="82"/>
      <c r="M17" s="75">
        <f>SUM(M8:M16)</f>
        <v>70.979099999999988</v>
      </c>
      <c r="N17" s="60"/>
    </row>
    <row r="18" spans="1:14" s="52" customFormat="1" ht="15" customHeight="1" x14ac:dyDescent="0.25">
      <c r="A18" s="76"/>
      <c r="B18" s="76"/>
      <c r="C18" s="76"/>
      <c r="D18" s="77"/>
      <c r="E18" s="76"/>
      <c r="F18" s="76"/>
      <c r="G18" s="78"/>
      <c r="I18" s="79"/>
      <c r="N18" s="60"/>
    </row>
    <row r="19" spans="1:14" s="52" customFormat="1" ht="15" customHeight="1" x14ac:dyDescent="0.25">
      <c r="A19" s="76"/>
      <c r="B19" s="76"/>
      <c r="C19" s="76"/>
      <c r="D19" s="77"/>
      <c r="E19" s="76"/>
      <c r="F19" s="76"/>
      <c r="G19" s="78"/>
      <c r="I19" s="79"/>
      <c r="J19" s="78"/>
      <c r="M19" s="78"/>
      <c r="N19" s="60"/>
    </row>
    <row r="20" spans="1:14" s="52" customFormat="1" ht="15" customHeight="1" x14ac:dyDescent="0.25">
      <c r="A20" s="52" t="s">
        <v>19</v>
      </c>
      <c r="B20" s="52" t="s">
        <v>20</v>
      </c>
      <c r="C20" s="76" t="s">
        <v>21</v>
      </c>
      <c r="D20" s="79"/>
      <c r="G20" s="78"/>
      <c r="I20" s="79"/>
      <c r="N20" s="60"/>
    </row>
    <row r="21" spans="1:14" s="1" customFormat="1" ht="15" customHeight="1" x14ac:dyDescent="0.25">
      <c r="A21" s="91" t="s">
        <v>52</v>
      </c>
      <c r="B21" s="101" t="s">
        <v>266</v>
      </c>
      <c r="C21" s="93" t="s">
        <v>267</v>
      </c>
      <c r="D21" s="88">
        <v>45323</v>
      </c>
      <c r="E21" s="92">
        <v>54</v>
      </c>
      <c r="F21" s="92">
        <v>13.5</v>
      </c>
      <c r="G21" s="90">
        <f>45.36-0.41-1.46</f>
        <v>43.49</v>
      </c>
      <c r="H21" s="92">
        <v>4.8600000000000003</v>
      </c>
      <c r="I21" s="105">
        <v>45412</v>
      </c>
      <c r="J21" s="50">
        <f t="shared" ref="J21" si="3">+E21-F21</f>
        <v>40.5</v>
      </c>
      <c r="K21" s="47">
        <f t="shared" ref="K21" si="4">+I21-D21</f>
        <v>89</v>
      </c>
      <c r="L21" s="48">
        <v>0.03</v>
      </c>
      <c r="M21" s="49">
        <f t="shared" ref="M21:M23" si="5">+J21*L21</f>
        <v>1.2149999999999999</v>
      </c>
      <c r="N21" s="74"/>
    </row>
    <row r="22" spans="1:14" s="1" customFormat="1" ht="15" customHeight="1" x14ac:dyDescent="0.25">
      <c r="A22" s="91" t="s">
        <v>52</v>
      </c>
      <c r="B22" s="101" t="s">
        <v>266</v>
      </c>
      <c r="C22" s="93" t="s">
        <v>268</v>
      </c>
      <c r="D22" s="88">
        <v>45348</v>
      </c>
      <c r="E22" s="92">
        <v>140.4</v>
      </c>
      <c r="F22" s="92">
        <v>35.1</v>
      </c>
      <c r="G22" s="90">
        <f>117.94-1.05-3.79</f>
        <v>113.1</v>
      </c>
      <c r="H22" s="92">
        <v>12.64</v>
      </c>
      <c r="I22" s="105">
        <v>45412</v>
      </c>
      <c r="J22" s="50">
        <f t="shared" ref="J22:J23" si="6">+E22-F22</f>
        <v>105.30000000000001</v>
      </c>
      <c r="K22" s="47">
        <f t="shared" ref="K22:K23" si="7">+I22-D22</f>
        <v>64</v>
      </c>
      <c r="L22" s="48">
        <v>0.03</v>
      </c>
      <c r="M22" s="49">
        <f t="shared" si="5"/>
        <v>3.1590000000000003</v>
      </c>
      <c r="N22" s="74"/>
    </row>
    <row r="23" spans="1:14" s="1" customFormat="1" ht="15" customHeight="1" x14ac:dyDescent="0.25">
      <c r="A23" s="91" t="s">
        <v>52</v>
      </c>
      <c r="B23" s="101" t="s">
        <v>266</v>
      </c>
      <c r="C23" s="93" t="s">
        <v>269</v>
      </c>
      <c r="D23" s="88">
        <v>45363</v>
      </c>
      <c r="E23" s="92">
        <v>150.47999999999999</v>
      </c>
      <c r="F23" s="92">
        <v>37.619999999999997</v>
      </c>
      <c r="G23" s="90">
        <f>126.4-1.13-4.06</f>
        <v>121.21000000000001</v>
      </c>
      <c r="H23" s="92">
        <v>13.54</v>
      </c>
      <c r="I23" s="105">
        <v>45412</v>
      </c>
      <c r="J23" s="50">
        <f t="shared" si="6"/>
        <v>112.85999999999999</v>
      </c>
      <c r="K23" s="47">
        <f t="shared" si="7"/>
        <v>49</v>
      </c>
      <c r="L23" s="48">
        <v>0.03</v>
      </c>
      <c r="M23" s="49">
        <f t="shared" si="5"/>
        <v>3.3857999999999993</v>
      </c>
      <c r="N23" s="74"/>
    </row>
    <row r="24" spans="1:14" s="1" customFormat="1" ht="15" customHeight="1" thickBot="1" x14ac:dyDescent="0.3">
      <c r="A24" s="91"/>
      <c r="B24" s="101"/>
      <c r="C24" s="93"/>
      <c r="D24" s="88"/>
      <c r="E24" s="92"/>
      <c r="F24" s="92"/>
      <c r="G24" s="90"/>
      <c r="H24" s="92"/>
      <c r="I24" s="105"/>
      <c r="J24" s="50"/>
      <c r="K24" s="47"/>
      <c r="L24" s="48"/>
      <c r="M24" s="49"/>
      <c r="N24" s="74"/>
    </row>
    <row r="25" spans="1:14" ht="15" customHeight="1" thickBot="1" x14ac:dyDescent="0.35">
      <c r="A25" s="332" t="s">
        <v>29</v>
      </c>
      <c r="B25" s="332"/>
      <c r="C25" s="332"/>
      <c r="D25" s="332"/>
      <c r="E25" s="332"/>
      <c r="F25" s="332"/>
      <c r="G25" s="37">
        <f>SUM(G17:G24)</f>
        <v>2798.6399999999994</v>
      </c>
      <c r="J25" s="37">
        <f>SUM(J17:J24)</f>
        <v>2603.0300000000002</v>
      </c>
      <c r="L25" s="20"/>
      <c r="M25" s="38">
        <f>SUM(M17:M24)</f>
        <v>78.738900000000001</v>
      </c>
    </row>
    <row r="26" spans="1:14" ht="15" customHeight="1" x14ac:dyDescent="0.25">
      <c r="A26" s="19"/>
      <c r="B26" s="19"/>
      <c r="C26" s="19"/>
      <c r="D26" s="67"/>
      <c r="E26" s="19"/>
      <c r="F26" s="19"/>
      <c r="G26" s="8"/>
      <c r="J26" s="8"/>
      <c r="M26" s="8"/>
    </row>
    <row r="27" spans="1:14" ht="15" customHeight="1" x14ac:dyDescent="0.3">
      <c r="A27" s="39"/>
      <c r="B27" s="19"/>
      <c r="C27" s="19"/>
      <c r="D27" s="67"/>
      <c r="E27" s="19"/>
      <c r="F27" s="19"/>
      <c r="G27" s="8"/>
      <c r="J27" s="8"/>
      <c r="M27" s="8"/>
    </row>
    <row r="28" spans="1:14" ht="15" customHeight="1" x14ac:dyDescent="0.25">
      <c r="A28" s="19"/>
      <c r="B28" s="19"/>
      <c r="C28" s="19"/>
      <c r="D28" s="67"/>
      <c r="E28" s="19"/>
      <c r="F28" s="19"/>
      <c r="G28" s="8"/>
      <c r="I28" s="73"/>
    </row>
    <row r="29" spans="1:14" ht="15" customHeight="1" x14ac:dyDescent="0.25">
      <c r="A29" s="331" t="s">
        <v>112</v>
      </c>
      <c r="B29" s="331"/>
      <c r="C29" s="331"/>
      <c r="D29" s="331"/>
      <c r="E29" s="331"/>
      <c r="F29" s="331"/>
      <c r="G29" s="24"/>
      <c r="H29" s="24"/>
      <c r="I29" s="65"/>
      <c r="J29" s="26"/>
      <c r="K29" s="27"/>
      <c r="L29" s="28"/>
      <c r="M29" s="29"/>
    </row>
    <row r="30" spans="1:14" ht="15" customHeight="1" x14ac:dyDescent="0.25">
      <c r="A30" s="331" t="s">
        <v>1</v>
      </c>
      <c r="B30" s="331"/>
      <c r="C30" s="331"/>
      <c r="D30" s="331"/>
      <c r="E30" s="331"/>
      <c r="F30" s="331"/>
      <c r="G30" s="24"/>
      <c r="H30" s="25"/>
      <c r="I30" s="65"/>
      <c r="J30" s="27"/>
      <c r="K30" s="27"/>
      <c r="L30" s="28"/>
      <c r="M30" s="29"/>
    </row>
    <row r="31" spans="1:14" ht="15" customHeight="1" x14ac:dyDescent="0.25">
      <c r="A31" s="30"/>
      <c r="B31" s="31" t="s">
        <v>265</v>
      </c>
      <c r="C31" s="30"/>
      <c r="D31" s="64"/>
      <c r="E31" s="30"/>
      <c r="F31" s="30"/>
      <c r="G31" s="24"/>
      <c r="H31" s="25"/>
      <c r="I31" s="65"/>
      <c r="J31" s="27"/>
      <c r="K31" s="27"/>
      <c r="L31" s="28"/>
      <c r="M31" s="29"/>
    </row>
    <row r="32" spans="1:14" ht="15" customHeight="1" thickBot="1" x14ac:dyDescent="0.3">
      <c r="A32" s="30"/>
      <c r="B32" s="31" t="s">
        <v>22</v>
      </c>
      <c r="C32" s="30"/>
      <c r="D32" s="64"/>
      <c r="E32" s="30"/>
      <c r="F32" s="30"/>
      <c r="G32" s="32"/>
      <c r="H32" s="24"/>
      <c r="I32" s="69"/>
      <c r="J32" s="33"/>
      <c r="K32" s="27"/>
      <c r="L32" s="28"/>
      <c r="M32" s="29"/>
    </row>
    <row r="33" spans="1:13" ht="15" customHeight="1" x14ac:dyDescent="0.25">
      <c r="A33" s="34"/>
      <c r="B33" s="33"/>
      <c r="C33" s="33"/>
      <c r="D33" s="65"/>
      <c r="E33" s="33"/>
      <c r="F33" s="33"/>
      <c r="G33" s="35" t="s">
        <v>3</v>
      </c>
      <c r="H33" s="27"/>
      <c r="I33" s="65"/>
      <c r="J33" s="36" t="s">
        <v>4</v>
      </c>
      <c r="K33" s="56" t="s">
        <v>5</v>
      </c>
      <c r="L33" s="40" t="s">
        <v>6</v>
      </c>
      <c r="M33" s="36" t="s">
        <v>7</v>
      </c>
    </row>
    <row r="34" spans="1:13" ht="15" customHeight="1" x14ac:dyDescent="0.25">
      <c r="A34" s="11" t="s">
        <v>8</v>
      </c>
      <c r="B34" s="11" t="s">
        <v>9</v>
      </c>
      <c r="C34" s="11" t="s">
        <v>10</v>
      </c>
      <c r="D34" s="66" t="s">
        <v>11</v>
      </c>
      <c r="E34" s="11" t="s">
        <v>12</v>
      </c>
      <c r="F34" s="54" t="s">
        <v>50</v>
      </c>
      <c r="G34" s="62" t="s">
        <v>13</v>
      </c>
      <c r="H34" s="13" t="s">
        <v>14</v>
      </c>
      <c r="I34" s="70" t="s">
        <v>15</v>
      </c>
      <c r="J34" s="14" t="s">
        <v>16</v>
      </c>
      <c r="K34" s="57"/>
      <c r="L34" s="58" t="s">
        <v>17</v>
      </c>
      <c r="M34" s="14" t="s">
        <v>39</v>
      </c>
    </row>
    <row r="35" spans="1:13" ht="15" customHeight="1" x14ac:dyDescent="0.25">
      <c r="A35" s="83" t="s">
        <v>76</v>
      </c>
      <c r="B35" s="55" t="s">
        <v>18</v>
      </c>
      <c r="C35" s="95" t="s">
        <v>293</v>
      </c>
      <c r="D35" s="85">
        <v>45238</v>
      </c>
      <c r="E35" s="86">
        <v>32.4</v>
      </c>
      <c r="F35" s="86">
        <v>4.8600000000000003</v>
      </c>
      <c r="G35" s="94">
        <v>29.57</v>
      </c>
      <c r="H35" s="86">
        <v>3.3</v>
      </c>
      <c r="I35" s="106">
        <v>45363</v>
      </c>
      <c r="J35" s="50">
        <f t="shared" ref="J35:J40" si="8">+E35-F35</f>
        <v>27.54</v>
      </c>
      <c r="K35" s="47">
        <f t="shared" ref="K35:K43" si="9">+I35-D35</f>
        <v>125</v>
      </c>
      <c r="L35" s="5">
        <v>0.03</v>
      </c>
      <c r="M35" s="6">
        <f t="shared" ref="M35:M43" si="10">+J35*L35</f>
        <v>0.82619999999999993</v>
      </c>
    </row>
    <row r="36" spans="1:13" ht="15" customHeight="1" x14ac:dyDescent="0.25">
      <c r="A36" s="83" t="s">
        <v>76</v>
      </c>
      <c r="B36" s="55" t="s">
        <v>18</v>
      </c>
      <c r="C36" s="95" t="s">
        <v>294</v>
      </c>
      <c r="D36" s="85">
        <v>45251</v>
      </c>
      <c r="E36" s="86">
        <v>75.239999999999995</v>
      </c>
      <c r="F36" s="86">
        <v>11.29</v>
      </c>
      <c r="G36" s="94">
        <v>68.680000000000007</v>
      </c>
      <c r="H36" s="86">
        <v>7.67</v>
      </c>
      <c r="I36" s="106">
        <v>45363</v>
      </c>
      <c r="J36" s="50">
        <f t="shared" si="8"/>
        <v>63.949999999999996</v>
      </c>
      <c r="K36" s="47">
        <f t="shared" si="9"/>
        <v>112</v>
      </c>
      <c r="L36" s="5">
        <v>0.03</v>
      </c>
      <c r="M36" s="6">
        <f t="shared" si="10"/>
        <v>1.9184999999999999</v>
      </c>
    </row>
    <row r="37" spans="1:13" ht="15" customHeight="1" x14ac:dyDescent="0.25">
      <c r="A37" s="83" t="s">
        <v>89</v>
      </c>
      <c r="B37" s="113" t="s">
        <v>18</v>
      </c>
      <c r="C37" s="95" t="s">
        <v>295</v>
      </c>
      <c r="D37" s="85">
        <v>45274</v>
      </c>
      <c r="E37" s="86">
        <v>823.08</v>
      </c>
      <c r="F37" s="86">
        <v>164.62</v>
      </c>
      <c r="G37" s="94">
        <v>707.18999999999994</v>
      </c>
      <c r="H37" s="86">
        <v>79.02</v>
      </c>
      <c r="I37" s="105">
        <v>45352</v>
      </c>
      <c r="J37" s="50">
        <f t="shared" si="8"/>
        <v>658.46</v>
      </c>
      <c r="K37" s="47">
        <f t="shared" si="9"/>
        <v>78</v>
      </c>
      <c r="L37" s="5">
        <v>0.03</v>
      </c>
      <c r="M37" s="6">
        <f t="shared" si="10"/>
        <v>19.753800000000002</v>
      </c>
    </row>
    <row r="38" spans="1:13" ht="15" customHeight="1" x14ac:dyDescent="0.25">
      <c r="A38" s="83" t="s">
        <v>76</v>
      </c>
      <c r="B38" s="113" t="s">
        <v>18</v>
      </c>
      <c r="C38" s="95" t="s">
        <v>296</v>
      </c>
      <c r="D38" s="85">
        <v>45279</v>
      </c>
      <c r="E38" s="86">
        <v>21.6</v>
      </c>
      <c r="F38" s="86">
        <v>3.24</v>
      </c>
      <c r="G38" s="94">
        <v>19.72</v>
      </c>
      <c r="H38" s="86">
        <v>2.2000000000000002</v>
      </c>
      <c r="I38" s="105">
        <v>45363</v>
      </c>
      <c r="J38" s="50">
        <f t="shared" si="8"/>
        <v>18.36</v>
      </c>
      <c r="K38" s="47">
        <f t="shared" si="9"/>
        <v>84</v>
      </c>
      <c r="L38" s="5">
        <v>0.03</v>
      </c>
      <c r="M38" s="6">
        <f t="shared" si="10"/>
        <v>0.55079999999999996</v>
      </c>
    </row>
    <row r="39" spans="1:13" ht="15" customHeight="1" x14ac:dyDescent="0.25">
      <c r="A39" s="83" t="s">
        <v>76</v>
      </c>
      <c r="B39" s="113" t="s">
        <v>18</v>
      </c>
      <c r="C39" s="95" t="s">
        <v>297</v>
      </c>
      <c r="D39" s="85">
        <v>45279</v>
      </c>
      <c r="E39" s="86">
        <v>70.2</v>
      </c>
      <c r="F39" s="86">
        <v>10.53</v>
      </c>
      <c r="G39" s="94">
        <v>64.08</v>
      </c>
      <c r="H39" s="86">
        <v>7.16</v>
      </c>
      <c r="I39" s="105">
        <v>45363</v>
      </c>
      <c r="J39" s="50">
        <f t="shared" si="8"/>
        <v>59.67</v>
      </c>
      <c r="K39" s="47">
        <f t="shared" si="9"/>
        <v>84</v>
      </c>
      <c r="L39" s="5">
        <v>0.03</v>
      </c>
      <c r="M39" s="6">
        <f t="shared" si="10"/>
        <v>1.7901</v>
      </c>
    </row>
    <row r="40" spans="1:13" ht="15" customHeight="1" x14ac:dyDescent="0.25">
      <c r="A40" s="83" t="s">
        <v>76</v>
      </c>
      <c r="B40" s="113" t="s">
        <v>18</v>
      </c>
      <c r="C40" s="95" t="s">
        <v>298</v>
      </c>
      <c r="D40" s="85">
        <v>45282</v>
      </c>
      <c r="E40" s="86">
        <v>271.8</v>
      </c>
      <c r="F40" s="86">
        <v>40.770000000000003</v>
      </c>
      <c r="G40" s="94">
        <v>248.12</v>
      </c>
      <c r="H40" s="86">
        <v>27.72</v>
      </c>
      <c r="I40" s="105">
        <v>45363</v>
      </c>
      <c r="J40" s="50">
        <f t="shared" si="8"/>
        <v>231.03</v>
      </c>
      <c r="K40" s="47">
        <f t="shared" si="9"/>
        <v>81</v>
      </c>
      <c r="L40" s="5">
        <v>0.03</v>
      </c>
      <c r="M40" s="6">
        <f t="shared" si="10"/>
        <v>6.9308999999999994</v>
      </c>
    </row>
    <row r="41" spans="1:13" ht="15" customHeight="1" x14ac:dyDescent="0.25">
      <c r="A41" s="83" t="s">
        <v>226</v>
      </c>
      <c r="B41" s="113" t="s">
        <v>18</v>
      </c>
      <c r="C41" s="95" t="s">
        <v>240</v>
      </c>
      <c r="D41" s="85">
        <v>45320</v>
      </c>
      <c r="E41" s="86">
        <v>97.2</v>
      </c>
      <c r="F41" s="86">
        <v>14.58</v>
      </c>
      <c r="G41" s="94">
        <v>26.260000000000005</v>
      </c>
      <c r="H41" s="86">
        <v>9.91</v>
      </c>
      <c r="I41" s="105">
        <v>45379</v>
      </c>
      <c r="J41" s="50">
        <f>26.26/1.12</f>
        <v>23.446428571428569</v>
      </c>
      <c r="K41" s="47">
        <f t="shared" si="9"/>
        <v>59</v>
      </c>
      <c r="L41" s="5">
        <v>0.04</v>
      </c>
      <c r="M41" s="6">
        <f t="shared" si="10"/>
        <v>0.93785714285714283</v>
      </c>
    </row>
    <row r="42" spans="1:13" ht="15" customHeight="1" x14ac:dyDescent="0.25">
      <c r="A42" s="91" t="s">
        <v>42</v>
      </c>
      <c r="B42" s="55" t="s">
        <v>18</v>
      </c>
      <c r="C42" s="93" t="s">
        <v>259</v>
      </c>
      <c r="D42" s="88">
        <v>45323</v>
      </c>
      <c r="E42" s="92">
        <v>121.68</v>
      </c>
      <c r="F42" s="92">
        <v>18.25</v>
      </c>
      <c r="G42" s="96">
        <v>111.09</v>
      </c>
      <c r="H42" s="92">
        <v>12.41</v>
      </c>
      <c r="I42" s="106">
        <v>45354</v>
      </c>
      <c r="J42" s="50">
        <f t="shared" ref="J42:J43" si="11">+E42-F42</f>
        <v>103.43</v>
      </c>
      <c r="K42" s="47">
        <f t="shared" si="9"/>
        <v>31</v>
      </c>
      <c r="L42" s="5">
        <v>0.03</v>
      </c>
      <c r="M42" s="6">
        <f t="shared" si="10"/>
        <v>3.1029</v>
      </c>
    </row>
    <row r="43" spans="1:13" ht="15" customHeight="1" x14ac:dyDescent="0.25">
      <c r="A43" s="91" t="s">
        <v>102</v>
      </c>
      <c r="B43" s="55" t="s">
        <v>18</v>
      </c>
      <c r="C43" s="93" t="s">
        <v>261</v>
      </c>
      <c r="D43" s="88">
        <v>45329</v>
      </c>
      <c r="E43" s="92">
        <v>110.88</v>
      </c>
      <c r="F43" s="92">
        <v>16.63</v>
      </c>
      <c r="G43" s="96">
        <v>105.56</v>
      </c>
      <c r="H43" s="92">
        <v>11.31</v>
      </c>
      <c r="I43" s="106">
        <v>45363</v>
      </c>
      <c r="J43" s="50">
        <f t="shared" si="11"/>
        <v>94.25</v>
      </c>
      <c r="K43" s="47">
        <f t="shared" si="9"/>
        <v>34</v>
      </c>
      <c r="L43" s="5">
        <v>0.03</v>
      </c>
      <c r="M43" s="6">
        <f t="shared" si="10"/>
        <v>2.8274999999999997</v>
      </c>
    </row>
    <row r="44" spans="1:13" ht="15" customHeight="1" x14ac:dyDescent="0.25">
      <c r="A44" s="83" t="s">
        <v>45</v>
      </c>
      <c r="B44" s="55" t="s">
        <v>24</v>
      </c>
      <c r="C44" s="95" t="s">
        <v>299</v>
      </c>
      <c r="D44" s="85">
        <v>45348</v>
      </c>
      <c r="E44" s="86">
        <v>1618.08</v>
      </c>
      <c r="F44" s="86">
        <v>404.52</v>
      </c>
      <c r="G44" s="94">
        <v>1303.3599999999999</v>
      </c>
      <c r="H44" s="86">
        <v>145.63</v>
      </c>
      <c r="I44" s="106">
        <v>45357</v>
      </c>
      <c r="J44" s="50">
        <f t="shared" ref="J44:J54" si="12">+E44-F44</f>
        <v>1213.56</v>
      </c>
      <c r="K44" s="47">
        <f t="shared" ref="K44:K54" si="13">+I44-D44</f>
        <v>9</v>
      </c>
      <c r="L44" s="5">
        <v>3.5000000000000003E-2</v>
      </c>
      <c r="M44" s="6">
        <f t="shared" ref="M44:M54" si="14">+J44*L44</f>
        <v>42.474600000000002</v>
      </c>
    </row>
    <row r="45" spans="1:13" ht="15" customHeight="1" x14ac:dyDescent="0.25">
      <c r="A45" s="83" t="s">
        <v>44</v>
      </c>
      <c r="B45" s="55" t="s">
        <v>18</v>
      </c>
      <c r="C45" s="95" t="s">
        <v>300</v>
      </c>
      <c r="D45" s="85">
        <v>45348</v>
      </c>
      <c r="E45" s="86">
        <v>11.4</v>
      </c>
      <c r="F45" s="86">
        <v>1.37</v>
      </c>
      <c r="G45" s="94">
        <v>10.770000000000001</v>
      </c>
      <c r="H45" s="86">
        <v>1.2</v>
      </c>
      <c r="I45" s="106">
        <v>45352</v>
      </c>
      <c r="J45" s="50">
        <f t="shared" si="12"/>
        <v>10.030000000000001</v>
      </c>
      <c r="K45" s="47">
        <f t="shared" si="13"/>
        <v>4</v>
      </c>
      <c r="L45" s="5">
        <v>0.04</v>
      </c>
      <c r="M45" s="6">
        <f t="shared" si="14"/>
        <v>0.40120000000000006</v>
      </c>
    </row>
    <row r="46" spans="1:13" ht="15" customHeight="1" x14ac:dyDescent="0.25">
      <c r="A46" s="91" t="s">
        <v>43</v>
      </c>
      <c r="B46" s="55" t="s">
        <v>18</v>
      </c>
      <c r="C46" s="93" t="s">
        <v>264</v>
      </c>
      <c r="D46" s="88">
        <v>45351</v>
      </c>
      <c r="E46" s="92">
        <v>43.2</v>
      </c>
      <c r="F46" s="92">
        <v>5.2</v>
      </c>
      <c r="G46" s="96">
        <v>42.56</v>
      </c>
      <c r="H46" s="92">
        <v>4.5599999999999996</v>
      </c>
      <c r="I46" s="106">
        <v>45366</v>
      </c>
      <c r="J46" s="50">
        <f t="shared" si="12"/>
        <v>38</v>
      </c>
      <c r="K46" s="47">
        <f t="shared" si="13"/>
        <v>15</v>
      </c>
      <c r="L46" s="5">
        <v>3.5000000000000003E-2</v>
      </c>
      <c r="M46" s="6">
        <f t="shared" si="14"/>
        <v>1.33</v>
      </c>
    </row>
    <row r="47" spans="1:13" ht="15" customHeight="1" x14ac:dyDescent="0.25">
      <c r="A47" s="83" t="s">
        <v>55</v>
      </c>
      <c r="B47" s="113" t="s">
        <v>30</v>
      </c>
      <c r="C47" s="95" t="s">
        <v>301</v>
      </c>
      <c r="D47" s="85">
        <v>45352</v>
      </c>
      <c r="E47" s="86">
        <v>182.16</v>
      </c>
      <c r="F47" s="86">
        <v>27.33</v>
      </c>
      <c r="G47" s="94">
        <v>173.41</v>
      </c>
      <c r="H47" s="86">
        <v>18.579999999999998</v>
      </c>
      <c r="I47" s="85">
        <v>45366</v>
      </c>
      <c r="J47" s="50">
        <f t="shared" si="12"/>
        <v>154.82999999999998</v>
      </c>
      <c r="K47" s="47">
        <f t="shared" si="13"/>
        <v>14</v>
      </c>
      <c r="L47" s="5">
        <v>3.5000000000000003E-2</v>
      </c>
      <c r="M47" s="6">
        <f t="shared" si="14"/>
        <v>5.4190500000000004</v>
      </c>
    </row>
    <row r="48" spans="1:13" ht="15" customHeight="1" x14ac:dyDescent="0.25">
      <c r="A48" s="83" t="s">
        <v>55</v>
      </c>
      <c r="B48" s="107" t="s">
        <v>30</v>
      </c>
      <c r="C48" s="95" t="s">
        <v>302</v>
      </c>
      <c r="D48" s="85">
        <v>45355</v>
      </c>
      <c r="E48" s="86">
        <v>30.36</v>
      </c>
      <c r="F48" s="86">
        <v>4.55</v>
      </c>
      <c r="G48" s="94">
        <v>28.91</v>
      </c>
      <c r="H48" s="86">
        <v>3.1</v>
      </c>
      <c r="I48" s="85">
        <v>45366</v>
      </c>
      <c r="J48" s="50">
        <f t="shared" si="12"/>
        <v>25.81</v>
      </c>
      <c r="K48" s="47">
        <f t="shared" si="13"/>
        <v>11</v>
      </c>
      <c r="L48" s="5">
        <v>3.5000000000000003E-2</v>
      </c>
      <c r="M48" s="6">
        <f t="shared" si="14"/>
        <v>0.90334999999999999</v>
      </c>
    </row>
    <row r="49" spans="1:17" ht="15" customHeight="1" x14ac:dyDescent="0.25">
      <c r="A49" s="83" t="s">
        <v>44</v>
      </c>
      <c r="B49" s="113" t="s">
        <v>18</v>
      </c>
      <c r="C49" s="95" t="s">
        <v>303</v>
      </c>
      <c r="D49" s="85">
        <v>45357</v>
      </c>
      <c r="E49" s="86">
        <v>30.36</v>
      </c>
      <c r="F49" s="86">
        <v>3.64</v>
      </c>
      <c r="G49" s="94">
        <v>28.7</v>
      </c>
      <c r="H49" s="86">
        <v>3.21</v>
      </c>
      <c r="I49" s="85">
        <v>45359</v>
      </c>
      <c r="J49" s="50">
        <f t="shared" si="12"/>
        <v>26.72</v>
      </c>
      <c r="K49" s="47">
        <f t="shared" si="13"/>
        <v>2</v>
      </c>
      <c r="L49" s="5">
        <v>0.04</v>
      </c>
      <c r="M49" s="6">
        <f t="shared" si="14"/>
        <v>1.0688</v>
      </c>
    </row>
    <row r="50" spans="1:17" ht="15" customHeight="1" x14ac:dyDescent="0.25">
      <c r="A50" s="83" t="s">
        <v>291</v>
      </c>
      <c r="B50" s="107" t="s">
        <v>18</v>
      </c>
      <c r="C50" s="95" t="s">
        <v>304</v>
      </c>
      <c r="D50" s="85">
        <v>45366</v>
      </c>
      <c r="E50" s="86">
        <v>32.4</v>
      </c>
      <c r="F50" s="86">
        <v>3.89</v>
      </c>
      <c r="G50" s="94">
        <v>31.93</v>
      </c>
      <c r="H50" s="86">
        <v>3.42</v>
      </c>
      <c r="I50" s="106">
        <v>45366</v>
      </c>
      <c r="J50" s="50">
        <f t="shared" si="12"/>
        <v>28.509999999999998</v>
      </c>
      <c r="K50" s="47">
        <f t="shared" si="13"/>
        <v>0</v>
      </c>
      <c r="L50" s="5">
        <v>0.04</v>
      </c>
      <c r="M50" s="6">
        <f t="shared" si="14"/>
        <v>1.1403999999999999</v>
      </c>
    </row>
    <row r="51" spans="1:17" ht="15" customHeight="1" x14ac:dyDescent="0.25">
      <c r="A51" s="83" t="s">
        <v>25</v>
      </c>
      <c r="B51" s="107" t="s">
        <v>30</v>
      </c>
      <c r="C51" s="95" t="s">
        <v>305</v>
      </c>
      <c r="D51" s="85">
        <v>45373</v>
      </c>
      <c r="E51" s="86">
        <v>1246.68</v>
      </c>
      <c r="F51" s="86">
        <v>311.67</v>
      </c>
      <c r="G51" s="94">
        <v>1004.2000000000002</v>
      </c>
      <c r="H51" s="86">
        <v>112.2</v>
      </c>
      <c r="I51" s="114">
        <v>45378</v>
      </c>
      <c r="J51" s="50">
        <f t="shared" si="12"/>
        <v>935.01</v>
      </c>
      <c r="K51" s="47">
        <f t="shared" si="13"/>
        <v>5</v>
      </c>
      <c r="L51" s="5">
        <v>0.04</v>
      </c>
      <c r="M51" s="6">
        <f t="shared" si="14"/>
        <v>37.400399999999998</v>
      </c>
    </row>
    <row r="52" spans="1:17" ht="15" customHeight="1" x14ac:dyDescent="0.25">
      <c r="A52" s="83" t="s">
        <v>25</v>
      </c>
      <c r="B52" s="107" t="s">
        <v>30</v>
      </c>
      <c r="C52" s="95" t="s">
        <v>306</v>
      </c>
      <c r="D52" s="85">
        <v>45373</v>
      </c>
      <c r="E52" s="86">
        <v>213.84</v>
      </c>
      <c r="F52" s="86">
        <v>53.46</v>
      </c>
      <c r="G52" s="94">
        <v>172.25</v>
      </c>
      <c r="H52" s="86">
        <v>19.25</v>
      </c>
      <c r="I52" s="114">
        <v>45378</v>
      </c>
      <c r="J52" s="50">
        <f t="shared" si="12"/>
        <v>160.38</v>
      </c>
      <c r="K52" s="47">
        <f t="shared" si="13"/>
        <v>5</v>
      </c>
      <c r="L52" s="5">
        <v>0.04</v>
      </c>
      <c r="M52" s="6">
        <f t="shared" si="14"/>
        <v>6.4151999999999996</v>
      </c>
    </row>
    <row r="53" spans="1:17" ht="15" customHeight="1" x14ac:dyDescent="0.25">
      <c r="A53" s="83" t="s">
        <v>292</v>
      </c>
      <c r="B53" s="107" t="s">
        <v>229</v>
      </c>
      <c r="C53" s="95" t="s">
        <v>307</v>
      </c>
      <c r="D53" s="85">
        <v>45373</v>
      </c>
      <c r="E53" s="86">
        <v>709.2</v>
      </c>
      <c r="F53" s="86">
        <v>141.84</v>
      </c>
      <c r="G53" s="94">
        <v>605.09000000000015</v>
      </c>
      <c r="H53" s="86">
        <v>68.08</v>
      </c>
      <c r="I53" s="114">
        <v>45376</v>
      </c>
      <c r="J53" s="50">
        <f t="shared" si="12"/>
        <v>567.36</v>
      </c>
      <c r="K53" s="47">
        <f t="shared" si="13"/>
        <v>3</v>
      </c>
      <c r="L53" s="5">
        <v>0.04</v>
      </c>
      <c r="M53" s="6">
        <f t="shared" si="14"/>
        <v>22.694400000000002</v>
      </c>
    </row>
    <row r="54" spans="1:17" ht="15" customHeight="1" x14ac:dyDescent="0.25">
      <c r="A54" s="83" t="s">
        <v>291</v>
      </c>
      <c r="B54" s="107" t="s">
        <v>18</v>
      </c>
      <c r="C54" s="95" t="s">
        <v>308</v>
      </c>
      <c r="D54" s="85">
        <v>45374</v>
      </c>
      <c r="E54" s="86">
        <v>23.4</v>
      </c>
      <c r="F54" s="86">
        <v>2.81</v>
      </c>
      <c r="G54" s="94">
        <v>23.06</v>
      </c>
      <c r="H54" s="86">
        <v>2.4700000000000002</v>
      </c>
      <c r="I54" s="114">
        <v>45376</v>
      </c>
      <c r="J54" s="50">
        <f t="shared" si="12"/>
        <v>20.59</v>
      </c>
      <c r="K54" s="47">
        <f t="shared" si="13"/>
        <v>2</v>
      </c>
      <c r="L54" s="5">
        <v>0.04</v>
      </c>
      <c r="M54" s="6">
        <f t="shared" si="14"/>
        <v>0.8236</v>
      </c>
    </row>
    <row r="55" spans="1:17" ht="15" customHeight="1" x14ac:dyDescent="0.25">
      <c r="A55" s="83"/>
      <c r="B55" s="111"/>
      <c r="C55" s="95"/>
      <c r="D55" s="85"/>
      <c r="E55" s="86"/>
      <c r="F55" s="86"/>
      <c r="G55" s="94"/>
      <c r="H55" s="86"/>
      <c r="I55" s="84"/>
      <c r="J55" s="50"/>
      <c r="K55" s="47"/>
      <c r="L55" s="5"/>
      <c r="M55" s="6"/>
    </row>
    <row r="56" spans="1:17" ht="15" customHeight="1" x14ac:dyDescent="0.3">
      <c r="A56" s="2"/>
      <c r="B56" s="3"/>
      <c r="C56" s="3"/>
      <c r="D56" s="61"/>
      <c r="E56" s="4"/>
      <c r="F56" s="4"/>
      <c r="G56" s="9"/>
      <c r="H56" s="10"/>
      <c r="I56" s="71"/>
      <c r="J56" s="50"/>
      <c r="K56" s="47"/>
      <c r="L56" s="5"/>
      <c r="M56" s="6"/>
      <c r="O56" s="15"/>
      <c r="P56" s="8"/>
      <c r="Q56" s="8"/>
    </row>
    <row r="57" spans="1:17" ht="15" customHeight="1" x14ac:dyDescent="0.3">
      <c r="G57" s="16">
        <f>SUM(G35:G56)</f>
        <v>4804.51</v>
      </c>
      <c r="J57" s="16">
        <f>SUM(J35:J56)</f>
        <v>4460.9364285714282</v>
      </c>
      <c r="M57" s="16">
        <f>SUM(M35:M56)</f>
        <v>158.70955714285714</v>
      </c>
    </row>
    <row r="58" spans="1:17" ht="15" customHeight="1" x14ac:dyDescent="0.25">
      <c r="G58" s="8"/>
      <c r="H58" s="8"/>
    </row>
    <row r="59" spans="1:17" ht="15" customHeight="1" x14ac:dyDescent="0.25">
      <c r="A59" s="17" t="s">
        <v>19</v>
      </c>
      <c r="B59" s="17" t="s">
        <v>20</v>
      </c>
      <c r="C59" s="18" t="s">
        <v>21</v>
      </c>
      <c r="I59" s="8"/>
      <c r="J59" s="8"/>
    </row>
    <row r="60" spans="1:17" s="52" customFormat="1" ht="15" customHeight="1" x14ac:dyDescent="0.25">
      <c r="A60" s="91" t="s">
        <v>38</v>
      </c>
      <c r="B60" s="101" t="s">
        <v>285</v>
      </c>
      <c r="C60" s="93" t="s">
        <v>288</v>
      </c>
      <c r="D60" s="88">
        <v>45351</v>
      </c>
      <c r="E60" s="92">
        <v>441.72</v>
      </c>
      <c r="F60" s="92">
        <v>88.35</v>
      </c>
      <c r="G60" s="90">
        <v>379.52</v>
      </c>
      <c r="H60" s="92">
        <v>42.4</v>
      </c>
      <c r="I60" s="105">
        <v>45381</v>
      </c>
      <c r="J60" s="50">
        <f t="shared" ref="J60:J62" si="15">+E60-F60</f>
        <v>353.37</v>
      </c>
      <c r="K60" s="47">
        <f t="shared" ref="K60:K62" si="16">+I60-D60</f>
        <v>30</v>
      </c>
      <c r="L60" s="48">
        <v>0.03</v>
      </c>
      <c r="M60" s="49">
        <f t="shared" ref="M60:M62" si="17">+J60*L60</f>
        <v>10.601099999999999</v>
      </c>
      <c r="N60" s="60"/>
    </row>
    <row r="61" spans="1:17" s="52" customFormat="1" ht="15" customHeight="1" x14ac:dyDescent="0.25">
      <c r="A61" s="91" t="s">
        <v>40</v>
      </c>
      <c r="B61" s="101" t="s">
        <v>286</v>
      </c>
      <c r="C61" s="93" t="s">
        <v>289</v>
      </c>
      <c r="D61" s="88">
        <v>45356</v>
      </c>
      <c r="E61" s="92">
        <v>1044</v>
      </c>
      <c r="F61" s="92">
        <v>261</v>
      </c>
      <c r="G61" s="90">
        <v>840.92</v>
      </c>
      <c r="H61" s="92">
        <v>93.96</v>
      </c>
      <c r="I61" s="88">
        <v>45386</v>
      </c>
      <c r="J61" s="50">
        <f t="shared" si="15"/>
        <v>783</v>
      </c>
      <c r="K61" s="47">
        <f t="shared" si="16"/>
        <v>30</v>
      </c>
      <c r="L61" s="48">
        <v>0.03</v>
      </c>
      <c r="M61" s="49">
        <f t="shared" si="17"/>
        <v>23.49</v>
      </c>
      <c r="N61" s="60"/>
    </row>
    <row r="62" spans="1:17" s="52" customFormat="1" ht="15" customHeight="1" x14ac:dyDescent="0.25">
      <c r="A62" s="91" t="s">
        <v>40</v>
      </c>
      <c r="B62" s="101" t="s">
        <v>287</v>
      </c>
      <c r="C62" s="93" t="s">
        <v>290</v>
      </c>
      <c r="D62" s="88">
        <v>45379</v>
      </c>
      <c r="E62" s="92">
        <v>501.6</v>
      </c>
      <c r="F62" s="92">
        <v>100.32</v>
      </c>
      <c r="G62" s="90">
        <v>430.97</v>
      </c>
      <c r="H62" s="92">
        <v>48.15</v>
      </c>
      <c r="I62" s="88">
        <v>45413</v>
      </c>
      <c r="J62" s="50">
        <f t="shared" si="15"/>
        <v>401.28000000000003</v>
      </c>
      <c r="K62" s="47">
        <f t="shared" si="16"/>
        <v>34</v>
      </c>
      <c r="L62" s="48">
        <v>0.03</v>
      </c>
      <c r="M62" s="49">
        <f t="shared" si="17"/>
        <v>12.038400000000001</v>
      </c>
      <c r="N62" s="60"/>
    </row>
    <row r="63" spans="1:17" s="52" customFormat="1" ht="15" customHeight="1" x14ac:dyDescent="0.3">
      <c r="A63" s="42"/>
      <c r="B63" s="43"/>
      <c r="C63" s="43"/>
      <c r="D63" s="68"/>
      <c r="E63" s="44"/>
      <c r="F63" s="44"/>
      <c r="G63" s="45"/>
      <c r="H63" s="46"/>
      <c r="I63" s="72"/>
      <c r="J63" s="50"/>
      <c r="K63" s="47"/>
      <c r="L63" s="48"/>
      <c r="M63" s="49"/>
      <c r="N63" s="60"/>
    </row>
    <row r="64" spans="1:17" ht="15" customHeight="1" thickBot="1" x14ac:dyDescent="0.35">
      <c r="A64" s="332" t="s">
        <v>29</v>
      </c>
      <c r="B64" s="332"/>
      <c r="C64" s="332"/>
      <c r="D64" s="332"/>
      <c r="E64" s="332"/>
      <c r="F64" s="332"/>
      <c r="G64" s="16">
        <f>SUM(G57:G63)</f>
        <v>6455.920000000001</v>
      </c>
      <c r="J64" s="16">
        <f>SUM(J57:J63)</f>
        <v>5998.5864285714279</v>
      </c>
      <c r="L64" s="20"/>
      <c r="M64" s="23">
        <f>SUM(M57:M63)</f>
        <v>204.83905714285714</v>
      </c>
    </row>
    <row r="65" spans="1:15" ht="15" customHeight="1" x14ac:dyDescent="0.3">
      <c r="A65" s="22"/>
      <c r="G65" s="8"/>
    </row>
    <row r="66" spans="1:15" ht="15" customHeight="1" x14ac:dyDescent="0.3">
      <c r="A66" s="39"/>
      <c r="G66" s="8"/>
      <c r="J66" s="8"/>
    </row>
    <row r="67" spans="1:15" ht="15" customHeight="1" x14ac:dyDescent="0.3">
      <c r="A67" s="39"/>
      <c r="G67" s="8"/>
      <c r="J67" s="8">
        <f>(J25+J64)*2%</f>
        <v>172.03232857142856</v>
      </c>
      <c r="M67" s="8">
        <f>M25/12</f>
        <v>6.5615750000000004</v>
      </c>
      <c r="N67" s="59" t="s">
        <v>342</v>
      </c>
    </row>
    <row r="68" spans="1:15" ht="15" customHeight="1" x14ac:dyDescent="0.3">
      <c r="A68" s="39"/>
      <c r="G68" s="8"/>
      <c r="J68" s="8">
        <f>J67/12</f>
        <v>14.33602738095238</v>
      </c>
      <c r="M68" s="8">
        <f>M25/24</f>
        <v>3.2807875000000002</v>
      </c>
      <c r="N68" s="59" t="s">
        <v>342</v>
      </c>
    </row>
    <row r="69" spans="1:15" ht="15" customHeight="1" x14ac:dyDescent="0.3">
      <c r="A69" s="39"/>
      <c r="G69" s="8"/>
      <c r="J69" s="8">
        <f>J67/24</f>
        <v>7.1680136904761902</v>
      </c>
      <c r="M69" s="8">
        <f>M64/12</f>
        <v>17.06992142857143</v>
      </c>
      <c r="N69" s="59" t="s">
        <v>341</v>
      </c>
      <c r="O69" s="8">
        <f>M67+M69</f>
        <v>23.631496428571431</v>
      </c>
    </row>
    <row r="70" spans="1:15" ht="15" customHeight="1" x14ac:dyDescent="0.3">
      <c r="A70" s="39"/>
      <c r="G70" s="8"/>
      <c r="J70" s="8"/>
      <c r="M70" s="8">
        <f>M64/24</f>
        <v>8.5349607142857149</v>
      </c>
      <c r="N70" s="59" t="s">
        <v>341</v>
      </c>
      <c r="O70" s="8">
        <f>M68+M70</f>
        <v>11.815748214285716</v>
      </c>
    </row>
    <row r="71" spans="1:15" ht="15" customHeight="1" x14ac:dyDescent="0.3">
      <c r="A71" s="39"/>
      <c r="G71" s="8"/>
      <c r="J71" s="8"/>
      <c r="M71" s="8"/>
    </row>
    <row r="72" spans="1:15" ht="15" customHeight="1" x14ac:dyDescent="0.3">
      <c r="A72" s="39"/>
      <c r="G72" s="8"/>
      <c r="J72" s="8"/>
      <c r="M72" s="7">
        <f>14.34+23.63</f>
        <v>37.97</v>
      </c>
    </row>
    <row r="73" spans="1:15" ht="15" customHeight="1" x14ac:dyDescent="0.3">
      <c r="A73" s="39"/>
      <c r="G73" s="8"/>
      <c r="J73" s="8">
        <f>389.76-172.03-213.13</f>
        <v>4.5999999999999943</v>
      </c>
    </row>
    <row r="74" spans="1:15" ht="15" customHeight="1" x14ac:dyDescent="0.3">
      <c r="A74" s="39"/>
      <c r="G74" s="8"/>
      <c r="J74" s="8"/>
    </row>
    <row r="75" spans="1:15" ht="15" customHeight="1" x14ac:dyDescent="0.3">
      <c r="A75" s="39"/>
      <c r="G75" s="8"/>
      <c r="J75" s="8"/>
    </row>
    <row r="76" spans="1:15" ht="15" customHeight="1" x14ac:dyDescent="0.3">
      <c r="A76" s="39"/>
      <c r="G76" s="8"/>
      <c r="J76" s="8"/>
    </row>
    <row r="77" spans="1:15" ht="15" customHeight="1" x14ac:dyDescent="0.3">
      <c r="A77" s="22"/>
      <c r="K77" s="15"/>
    </row>
  </sheetData>
  <mergeCells count="7">
    <mergeCell ref="A64:F64"/>
    <mergeCell ref="A2:F2"/>
    <mergeCell ref="A3:F3"/>
    <mergeCell ref="A17:F17"/>
    <mergeCell ref="A25:F25"/>
    <mergeCell ref="A29:F29"/>
    <mergeCell ref="A30:F30"/>
  </mergeCells>
  <pageMargins left="0.39370078740157483" right="0" top="0.39370078740157483" bottom="0" header="0" footer="0"/>
  <pageSetup paperSize="9" scale="8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79"/>
  <sheetViews>
    <sheetView topLeftCell="G47" workbookViewId="0">
      <selection activeCell="O62" sqref="O62"/>
    </sheetView>
  </sheetViews>
  <sheetFormatPr baseColWidth="10" defaultColWidth="11.44140625" defaultRowHeight="13.2" x14ac:dyDescent="0.25"/>
  <cols>
    <col min="1" max="1" width="25.109375" style="7" customWidth="1"/>
    <col min="2" max="2" width="27.5546875" style="7" customWidth="1"/>
    <col min="3" max="3" width="10.88671875" style="7" customWidth="1"/>
    <col min="4" max="4" width="10.88671875" style="63" customWidth="1"/>
    <col min="5" max="5" width="11.44140625" style="7"/>
    <col min="6" max="6" width="8.5546875" style="7" customWidth="1"/>
    <col min="7" max="7" width="12.5546875" style="7" customWidth="1"/>
    <col min="8" max="8" width="8.33203125" style="7" customWidth="1"/>
    <col min="9" max="9" width="13.6640625" style="63" customWidth="1"/>
    <col min="10" max="10" width="12.44140625" style="7" customWidth="1"/>
    <col min="11" max="11" width="7.109375" style="7" customWidth="1"/>
    <col min="12" max="12" width="7.33203125" style="7" customWidth="1"/>
    <col min="13" max="13" width="10.33203125" style="7" customWidth="1"/>
    <col min="14" max="14" width="9.33203125" style="59" customWidth="1"/>
    <col min="15" max="16" width="8" style="7" customWidth="1"/>
    <col min="17" max="16384" width="11.44140625" style="7"/>
  </cols>
  <sheetData>
    <row r="1" spans="1:30" ht="15" customHeight="1" x14ac:dyDescent="0.25">
      <c r="B1" s="8"/>
      <c r="C1" s="8"/>
      <c r="G1" s="8"/>
    </row>
    <row r="2" spans="1:30" ht="15" customHeight="1" x14ac:dyDescent="0.25">
      <c r="A2" s="331" t="s">
        <v>0</v>
      </c>
      <c r="B2" s="331"/>
      <c r="C2" s="331"/>
      <c r="D2" s="331"/>
      <c r="E2" s="331"/>
      <c r="F2" s="331"/>
      <c r="G2" s="24"/>
      <c r="H2" s="25"/>
      <c r="I2" s="65"/>
      <c r="J2" s="26"/>
      <c r="K2" s="27"/>
      <c r="L2" s="28"/>
      <c r="M2" s="29"/>
    </row>
    <row r="3" spans="1:30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65"/>
      <c r="J3" s="27"/>
      <c r="K3" s="27"/>
      <c r="L3" s="28"/>
      <c r="M3" s="29"/>
    </row>
    <row r="4" spans="1:30" ht="15" customHeight="1" x14ac:dyDescent="0.25">
      <c r="A4" s="30"/>
      <c r="B4" s="31" t="s">
        <v>277</v>
      </c>
      <c r="C4" s="30"/>
      <c r="D4" s="64"/>
      <c r="E4" s="30"/>
      <c r="F4" s="30"/>
      <c r="G4" s="24"/>
      <c r="H4" s="25"/>
      <c r="I4" s="65"/>
      <c r="J4" s="27"/>
      <c r="K4" s="27"/>
      <c r="L4" s="28"/>
      <c r="M4" s="29"/>
    </row>
    <row r="5" spans="1:30" ht="15" customHeight="1" thickBot="1" x14ac:dyDescent="0.3">
      <c r="A5" s="30"/>
      <c r="B5" s="31" t="s">
        <v>2</v>
      </c>
      <c r="C5" s="30"/>
      <c r="D5" s="64"/>
      <c r="E5" s="30"/>
      <c r="F5" s="30"/>
      <c r="G5" s="32"/>
      <c r="H5" s="24"/>
      <c r="I5" s="69"/>
      <c r="J5" s="33"/>
      <c r="K5" s="27"/>
      <c r="L5" s="28"/>
      <c r="M5" s="29"/>
    </row>
    <row r="6" spans="1:30" ht="15" customHeight="1" x14ac:dyDescent="0.25">
      <c r="A6" s="34" t="s">
        <v>66</v>
      </c>
      <c r="B6" s="33"/>
      <c r="C6" s="33"/>
      <c r="D6" s="65"/>
      <c r="E6" s="33"/>
      <c r="F6" s="33"/>
      <c r="G6" s="35" t="s">
        <v>3</v>
      </c>
      <c r="H6" s="27"/>
      <c r="I6" s="65"/>
      <c r="J6" s="36" t="s">
        <v>4</v>
      </c>
      <c r="K6" s="56" t="s">
        <v>5</v>
      </c>
      <c r="L6" s="40" t="s">
        <v>6</v>
      </c>
      <c r="M6" s="36" t="s">
        <v>7</v>
      </c>
    </row>
    <row r="7" spans="1:30" ht="15" customHeight="1" thickBot="1" x14ac:dyDescent="0.3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12" t="s">
        <v>13</v>
      </c>
      <c r="H7" s="13" t="s">
        <v>14</v>
      </c>
      <c r="I7" s="70" t="s">
        <v>15</v>
      </c>
      <c r="J7" s="14" t="s">
        <v>16</v>
      </c>
      <c r="K7" s="57"/>
      <c r="L7" s="58" t="s">
        <v>17</v>
      </c>
      <c r="M7" s="14" t="s">
        <v>39</v>
      </c>
    </row>
    <row r="8" spans="1:30" s="1" customFormat="1" ht="15" customHeight="1" x14ac:dyDescent="0.25">
      <c r="A8" s="83"/>
      <c r="B8" s="55"/>
      <c r="C8" s="95"/>
      <c r="D8" s="85"/>
      <c r="E8" s="86"/>
      <c r="F8" s="86"/>
      <c r="G8" s="94"/>
      <c r="H8" s="86"/>
      <c r="I8" s="105"/>
      <c r="J8" s="50"/>
      <c r="K8" s="47"/>
      <c r="L8" s="48"/>
      <c r="M8" s="49"/>
      <c r="N8" s="74"/>
    </row>
    <row r="9" spans="1:30" s="49" customFormat="1" ht="15" customHeight="1" x14ac:dyDescent="0.3">
      <c r="A9" s="42"/>
      <c r="B9" s="43"/>
      <c r="C9" s="43"/>
      <c r="D9" s="68"/>
      <c r="E9" s="44"/>
      <c r="F9" s="44"/>
      <c r="G9" s="45"/>
      <c r="H9" s="46"/>
      <c r="I9" s="72"/>
      <c r="J9" s="50"/>
      <c r="K9" s="47"/>
      <c r="L9" s="48"/>
      <c r="N9" s="74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s="52" customFormat="1" ht="15" customHeight="1" x14ac:dyDescent="0.25">
      <c r="A10" s="333"/>
      <c r="B10" s="333"/>
      <c r="C10" s="333"/>
      <c r="D10" s="333"/>
      <c r="E10" s="333"/>
      <c r="F10" s="333"/>
      <c r="G10" s="75">
        <f>SUM(G8:G9)</f>
        <v>0</v>
      </c>
      <c r="H10" s="80"/>
      <c r="I10" s="81"/>
      <c r="J10" s="75">
        <f>SUM(J8:J9)</f>
        <v>0</v>
      </c>
      <c r="K10" s="82"/>
      <c r="L10" s="82"/>
      <c r="M10" s="75">
        <f>SUM(M8:M9)</f>
        <v>0</v>
      </c>
      <c r="N10" s="60"/>
    </row>
    <row r="11" spans="1:30" s="52" customFormat="1" ht="15" customHeight="1" x14ac:dyDescent="0.25">
      <c r="A11" s="76"/>
      <c r="B11" s="76"/>
      <c r="C11" s="76"/>
      <c r="D11" s="77"/>
      <c r="E11" s="76"/>
      <c r="F11" s="76"/>
      <c r="G11" s="78"/>
      <c r="I11" s="79"/>
      <c r="N11" s="60"/>
    </row>
    <row r="12" spans="1:30" s="52" customFormat="1" ht="15" customHeight="1" x14ac:dyDescent="0.25">
      <c r="A12" s="76"/>
      <c r="B12" s="76"/>
      <c r="C12" s="76"/>
      <c r="D12" s="77"/>
      <c r="E12" s="76"/>
      <c r="F12" s="76"/>
      <c r="G12" s="78"/>
      <c r="I12" s="79"/>
      <c r="J12" s="78"/>
      <c r="M12" s="78"/>
      <c r="N12" s="60"/>
    </row>
    <row r="13" spans="1:30" s="52" customFormat="1" ht="15" customHeight="1" x14ac:dyDescent="0.25">
      <c r="A13" s="52" t="s">
        <v>19</v>
      </c>
      <c r="B13" s="52" t="s">
        <v>20</v>
      </c>
      <c r="C13" s="76" t="s">
        <v>21</v>
      </c>
      <c r="D13" s="79"/>
      <c r="G13" s="78"/>
      <c r="I13" s="79"/>
      <c r="N13" s="60"/>
    </row>
    <row r="14" spans="1:30" s="1" customFormat="1" ht="15" customHeight="1" x14ac:dyDescent="0.25">
      <c r="A14" s="91" t="s">
        <v>52</v>
      </c>
      <c r="B14" s="101" t="s">
        <v>278</v>
      </c>
      <c r="C14" s="93" t="s">
        <v>281</v>
      </c>
      <c r="D14" s="88">
        <v>45376</v>
      </c>
      <c r="E14" s="92">
        <v>108</v>
      </c>
      <c r="F14" s="92">
        <v>27</v>
      </c>
      <c r="G14" s="90">
        <v>86.99</v>
      </c>
      <c r="H14" s="92">
        <v>9.7200000000000006</v>
      </c>
      <c r="I14" s="88">
        <v>45437</v>
      </c>
      <c r="J14" s="50">
        <f t="shared" ref="J14:J17" si="0">+E14-F14</f>
        <v>81</v>
      </c>
      <c r="K14" s="47">
        <f t="shared" ref="K14:K17" si="1">+I14-D14</f>
        <v>61</v>
      </c>
      <c r="L14" s="48">
        <v>0.03</v>
      </c>
      <c r="M14" s="49">
        <f t="shared" ref="M14:M17" si="2">+J14*L14</f>
        <v>2.4299999999999997</v>
      </c>
      <c r="N14" s="74"/>
    </row>
    <row r="15" spans="1:30" s="1" customFormat="1" ht="15" customHeight="1" x14ac:dyDescent="0.25">
      <c r="A15" s="91" t="s">
        <v>128</v>
      </c>
      <c r="B15" s="101" t="s">
        <v>279</v>
      </c>
      <c r="C15" s="93" t="s">
        <v>282</v>
      </c>
      <c r="D15" s="88">
        <v>45387</v>
      </c>
      <c r="E15" s="92">
        <v>201.96</v>
      </c>
      <c r="F15" s="92">
        <v>30.3</v>
      </c>
      <c r="G15" s="90">
        <v>187.96</v>
      </c>
      <c r="H15" s="92">
        <v>25.75</v>
      </c>
      <c r="I15" s="105">
        <v>45423</v>
      </c>
      <c r="J15" s="50">
        <f t="shared" si="0"/>
        <v>171.66</v>
      </c>
      <c r="K15" s="47">
        <f t="shared" si="1"/>
        <v>36</v>
      </c>
      <c r="L15" s="48">
        <v>0.03</v>
      </c>
      <c r="M15" s="49">
        <f t="shared" si="2"/>
        <v>5.1497999999999999</v>
      </c>
      <c r="N15" s="74"/>
    </row>
    <row r="16" spans="1:30" s="1" customFormat="1" ht="15" customHeight="1" x14ac:dyDescent="0.25">
      <c r="A16" s="91" t="s">
        <v>52</v>
      </c>
      <c r="B16" s="101" t="s">
        <v>280</v>
      </c>
      <c r="C16" s="93" t="s">
        <v>283</v>
      </c>
      <c r="D16" s="88">
        <v>45404</v>
      </c>
      <c r="E16" s="92">
        <v>536.4</v>
      </c>
      <c r="F16" s="92">
        <v>134.1</v>
      </c>
      <c r="G16" s="90">
        <v>440.52</v>
      </c>
      <c r="H16" s="92">
        <v>60.35</v>
      </c>
      <c r="I16" s="105">
        <v>45468</v>
      </c>
      <c r="J16" s="50">
        <f t="shared" si="0"/>
        <v>402.29999999999995</v>
      </c>
      <c r="K16" s="47">
        <f t="shared" si="1"/>
        <v>64</v>
      </c>
      <c r="L16" s="48">
        <v>0.03</v>
      </c>
      <c r="M16" s="49">
        <f t="shared" si="2"/>
        <v>12.068999999999999</v>
      </c>
      <c r="N16" s="74"/>
    </row>
    <row r="17" spans="1:14" s="1" customFormat="1" ht="15" customHeight="1" x14ac:dyDescent="0.25">
      <c r="A17" s="91" t="s">
        <v>52</v>
      </c>
      <c r="B17" s="101" t="s">
        <v>280</v>
      </c>
      <c r="C17" s="93" t="s">
        <v>284</v>
      </c>
      <c r="D17" s="88">
        <v>45406</v>
      </c>
      <c r="E17" s="92">
        <v>369.6</v>
      </c>
      <c r="F17" s="92">
        <v>92.4</v>
      </c>
      <c r="G17" s="90">
        <v>303.53999999999996</v>
      </c>
      <c r="H17" s="92">
        <v>41.58</v>
      </c>
      <c r="I17" s="105">
        <v>45468</v>
      </c>
      <c r="J17" s="50">
        <f t="shared" si="0"/>
        <v>277.20000000000005</v>
      </c>
      <c r="K17" s="47">
        <f t="shared" si="1"/>
        <v>62</v>
      </c>
      <c r="L17" s="48">
        <v>0.03</v>
      </c>
      <c r="M17" s="49">
        <f t="shared" si="2"/>
        <v>8.3160000000000007</v>
      </c>
      <c r="N17" s="74"/>
    </row>
    <row r="18" spans="1:14" s="1" customFormat="1" ht="15" customHeight="1" thickBot="1" x14ac:dyDescent="0.3">
      <c r="A18" s="91"/>
      <c r="B18" s="101"/>
      <c r="C18" s="93"/>
      <c r="D18" s="88"/>
      <c r="E18" s="92"/>
      <c r="F18" s="92"/>
      <c r="G18" s="90"/>
      <c r="H18" s="92"/>
      <c r="I18" s="105"/>
      <c r="J18" s="50"/>
      <c r="K18" s="47"/>
      <c r="L18" s="48"/>
      <c r="M18" s="49"/>
      <c r="N18" s="74"/>
    </row>
    <row r="19" spans="1:14" ht="15" customHeight="1" thickBot="1" x14ac:dyDescent="0.35">
      <c r="A19" s="332" t="s">
        <v>29</v>
      </c>
      <c r="B19" s="332"/>
      <c r="C19" s="332"/>
      <c r="D19" s="332"/>
      <c r="E19" s="332"/>
      <c r="F19" s="332"/>
      <c r="G19" s="37">
        <f>SUM(G10:G18)</f>
        <v>1019.01</v>
      </c>
      <c r="J19" s="37">
        <f>SUM(J10:J18)</f>
        <v>932.16</v>
      </c>
      <c r="L19" s="20"/>
      <c r="M19" s="38">
        <f>SUM(M10:M18)</f>
        <v>27.964799999999997</v>
      </c>
    </row>
    <row r="20" spans="1:14" ht="15" customHeight="1" x14ac:dyDescent="0.25">
      <c r="A20" s="19"/>
      <c r="B20" s="19"/>
      <c r="C20" s="19"/>
      <c r="D20" s="67"/>
      <c r="E20" s="19"/>
      <c r="F20" s="19"/>
      <c r="G20" s="8"/>
      <c r="J20" s="8"/>
      <c r="M20" s="8"/>
    </row>
    <row r="21" spans="1:14" ht="15" customHeight="1" x14ac:dyDescent="0.3">
      <c r="A21" s="39"/>
      <c r="B21" s="19"/>
      <c r="C21" s="19"/>
      <c r="D21" s="67"/>
      <c r="E21" s="19"/>
      <c r="F21" s="19"/>
      <c r="G21" s="8"/>
      <c r="J21" s="8"/>
      <c r="M21" s="8"/>
    </row>
    <row r="22" spans="1:14" ht="15" customHeight="1" x14ac:dyDescent="0.25">
      <c r="A22" s="19"/>
      <c r="B22" s="19"/>
      <c r="C22" s="19"/>
      <c r="D22" s="67"/>
      <c r="E22" s="19"/>
      <c r="F22" s="19"/>
      <c r="G22" s="8"/>
      <c r="I22" s="73"/>
    </row>
    <row r="23" spans="1:14" ht="15" customHeight="1" x14ac:dyDescent="0.25">
      <c r="A23" s="331" t="s">
        <v>112</v>
      </c>
      <c r="B23" s="331"/>
      <c r="C23" s="331"/>
      <c r="D23" s="331"/>
      <c r="E23" s="331"/>
      <c r="F23" s="331"/>
      <c r="G23" s="24"/>
      <c r="H23" s="24"/>
      <c r="I23" s="65"/>
      <c r="J23" s="26"/>
      <c r="K23" s="27"/>
      <c r="L23" s="28"/>
      <c r="M23" s="29"/>
    </row>
    <row r="24" spans="1:14" ht="15" customHeight="1" x14ac:dyDescent="0.25">
      <c r="A24" s="331" t="s">
        <v>1</v>
      </c>
      <c r="B24" s="331"/>
      <c r="C24" s="331"/>
      <c r="D24" s="331"/>
      <c r="E24" s="331"/>
      <c r="F24" s="331"/>
      <c r="G24" s="24"/>
      <c r="H24" s="25"/>
      <c r="I24" s="65"/>
      <c r="J24" s="27"/>
      <c r="K24" s="27"/>
      <c r="L24" s="28"/>
      <c r="M24" s="29"/>
    </row>
    <row r="25" spans="1:14" ht="15" customHeight="1" x14ac:dyDescent="0.25">
      <c r="A25" s="30"/>
      <c r="B25" s="31" t="s">
        <v>265</v>
      </c>
      <c r="C25" s="30"/>
      <c r="D25" s="64"/>
      <c r="E25" s="30"/>
      <c r="F25" s="30"/>
      <c r="G25" s="24"/>
      <c r="H25" s="25"/>
      <c r="I25" s="65"/>
      <c r="J25" s="27"/>
      <c r="K25" s="27"/>
      <c r="L25" s="28"/>
      <c r="M25" s="29"/>
    </row>
    <row r="26" spans="1:14" ht="15" customHeight="1" thickBot="1" x14ac:dyDescent="0.3">
      <c r="A26" s="30"/>
      <c r="B26" s="31" t="s">
        <v>22</v>
      </c>
      <c r="C26" s="30"/>
      <c r="D26" s="64"/>
      <c r="E26" s="30"/>
      <c r="F26" s="30"/>
      <c r="G26" s="32"/>
      <c r="H26" s="24"/>
      <c r="I26" s="69"/>
      <c r="J26" s="33"/>
      <c r="K26" s="27"/>
      <c r="L26" s="28"/>
      <c r="M26" s="29"/>
    </row>
    <row r="27" spans="1:14" ht="15" customHeight="1" x14ac:dyDescent="0.25">
      <c r="A27" s="34"/>
      <c r="B27" s="33"/>
      <c r="C27" s="33"/>
      <c r="D27" s="65"/>
      <c r="E27" s="33"/>
      <c r="F27" s="33"/>
      <c r="G27" s="35" t="s">
        <v>3</v>
      </c>
      <c r="H27" s="27"/>
      <c r="I27" s="65"/>
      <c r="J27" s="36" t="s">
        <v>4</v>
      </c>
      <c r="K27" s="56" t="s">
        <v>5</v>
      </c>
      <c r="L27" s="40" t="s">
        <v>6</v>
      </c>
      <c r="M27" s="36" t="s">
        <v>7</v>
      </c>
    </row>
    <row r="28" spans="1:14" ht="15" customHeight="1" x14ac:dyDescent="0.25">
      <c r="A28" s="11" t="s">
        <v>8</v>
      </c>
      <c r="B28" s="11" t="s">
        <v>9</v>
      </c>
      <c r="C28" s="11" t="s">
        <v>10</v>
      </c>
      <c r="D28" s="66" t="s">
        <v>11</v>
      </c>
      <c r="E28" s="11" t="s">
        <v>12</v>
      </c>
      <c r="F28" s="54" t="s">
        <v>50</v>
      </c>
      <c r="G28" s="62" t="s">
        <v>13</v>
      </c>
      <c r="H28" s="13" t="s">
        <v>14</v>
      </c>
      <c r="I28" s="70" t="s">
        <v>15</v>
      </c>
      <c r="J28" s="14" t="s">
        <v>16</v>
      </c>
      <c r="K28" s="57"/>
      <c r="L28" s="58" t="s">
        <v>17</v>
      </c>
      <c r="M28" s="14" t="s">
        <v>39</v>
      </c>
    </row>
    <row r="29" spans="1:14" ht="15" customHeight="1" x14ac:dyDescent="0.25">
      <c r="A29" s="83" t="s">
        <v>76</v>
      </c>
      <c r="B29" s="55" t="s">
        <v>18</v>
      </c>
      <c r="C29" s="95" t="s">
        <v>318</v>
      </c>
      <c r="D29" s="85">
        <v>45266</v>
      </c>
      <c r="E29" s="86">
        <v>10.8</v>
      </c>
      <c r="F29" s="86">
        <v>1.62</v>
      </c>
      <c r="G29" s="94">
        <v>9.86</v>
      </c>
      <c r="H29" s="86">
        <v>1.1000000000000001</v>
      </c>
      <c r="I29" s="106">
        <v>45391</v>
      </c>
      <c r="J29" s="50">
        <f t="shared" ref="J29:J50" si="3">+E29-F29</f>
        <v>9.18</v>
      </c>
      <c r="K29" s="47">
        <f t="shared" ref="K29:K50" si="4">+I29-D29</f>
        <v>125</v>
      </c>
      <c r="L29" s="5">
        <v>0.03</v>
      </c>
      <c r="M29" s="6">
        <f t="shared" ref="M29:M50" si="5">+J29*L29</f>
        <v>0.27539999999999998</v>
      </c>
    </row>
    <row r="30" spans="1:14" ht="15" customHeight="1" x14ac:dyDescent="0.25">
      <c r="A30" s="83" t="s">
        <v>76</v>
      </c>
      <c r="B30" s="55" t="s">
        <v>18</v>
      </c>
      <c r="C30" s="95" t="s">
        <v>319</v>
      </c>
      <c r="D30" s="85">
        <v>45267</v>
      </c>
      <c r="E30" s="86">
        <v>21.6</v>
      </c>
      <c r="F30" s="86">
        <v>3.24</v>
      </c>
      <c r="G30" s="94">
        <v>19.72</v>
      </c>
      <c r="H30" s="86">
        <v>2.2000000000000002</v>
      </c>
      <c r="I30" s="106">
        <v>45391</v>
      </c>
      <c r="J30" s="50">
        <f t="shared" si="3"/>
        <v>18.36</v>
      </c>
      <c r="K30" s="47">
        <f t="shared" si="4"/>
        <v>124</v>
      </c>
      <c r="L30" s="5">
        <v>0.03</v>
      </c>
      <c r="M30" s="6">
        <f t="shared" si="5"/>
        <v>0.55079999999999996</v>
      </c>
    </row>
    <row r="31" spans="1:14" ht="15" customHeight="1" x14ac:dyDescent="0.25">
      <c r="A31" s="83" t="s">
        <v>76</v>
      </c>
      <c r="B31" s="55" t="s">
        <v>18</v>
      </c>
      <c r="C31" s="95" t="s">
        <v>320</v>
      </c>
      <c r="D31" s="85">
        <v>45268</v>
      </c>
      <c r="E31" s="86">
        <v>2527.1999999999998</v>
      </c>
      <c r="F31" s="86">
        <v>379.08</v>
      </c>
      <c r="G31" s="94">
        <v>2307.08</v>
      </c>
      <c r="H31" s="86">
        <v>257.77</v>
      </c>
      <c r="I31" s="106">
        <v>45391</v>
      </c>
      <c r="J31" s="50">
        <f t="shared" si="3"/>
        <v>2148.12</v>
      </c>
      <c r="K31" s="47">
        <f>+I31-D31</f>
        <v>123</v>
      </c>
      <c r="L31" s="5">
        <v>0.03</v>
      </c>
      <c r="M31" s="6">
        <f t="shared" si="5"/>
        <v>64.443599999999989</v>
      </c>
    </row>
    <row r="32" spans="1:14" ht="15" customHeight="1" x14ac:dyDescent="0.25">
      <c r="A32" s="83" t="s">
        <v>76</v>
      </c>
      <c r="B32" s="55" t="s">
        <v>18</v>
      </c>
      <c r="C32" s="95" t="s">
        <v>321</v>
      </c>
      <c r="D32" s="85">
        <v>45268</v>
      </c>
      <c r="E32" s="86">
        <v>129.6</v>
      </c>
      <c r="F32" s="86">
        <v>19.440000000000001</v>
      </c>
      <c r="G32" s="94">
        <v>118.31</v>
      </c>
      <c r="H32" s="86">
        <v>13.22</v>
      </c>
      <c r="I32" s="106">
        <v>45391</v>
      </c>
      <c r="J32" s="50">
        <f t="shared" si="3"/>
        <v>110.16</v>
      </c>
      <c r="K32" s="47">
        <f t="shared" si="4"/>
        <v>123</v>
      </c>
      <c r="L32" s="5">
        <v>0.03</v>
      </c>
      <c r="M32" s="6">
        <f t="shared" si="5"/>
        <v>3.3047999999999997</v>
      </c>
    </row>
    <row r="33" spans="1:14" ht="15" customHeight="1" x14ac:dyDescent="0.25">
      <c r="A33" s="83" t="s">
        <v>76</v>
      </c>
      <c r="B33" s="113" t="s">
        <v>18</v>
      </c>
      <c r="C33" s="95" t="s">
        <v>322</v>
      </c>
      <c r="D33" s="85">
        <v>45273</v>
      </c>
      <c r="E33" s="86">
        <v>21.6</v>
      </c>
      <c r="F33" s="86">
        <v>3.24</v>
      </c>
      <c r="G33" s="94">
        <v>19.72</v>
      </c>
      <c r="H33" s="86">
        <v>2.2000000000000002</v>
      </c>
      <c r="I33" s="106">
        <v>45391</v>
      </c>
      <c r="J33" s="50">
        <f t="shared" si="3"/>
        <v>18.36</v>
      </c>
      <c r="K33" s="47">
        <f t="shared" si="4"/>
        <v>118</v>
      </c>
      <c r="L33" s="5">
        <v>0.03</v>
      </c>
      <c r="M33" s="6">
        <f t="shared" si="5"/>
        <v>0.55079999999999996</v>
      </c>
    </row>
    <row r="34" spans="1:14" ht="15" customHeight="1" x14ac:dyDescent="0.25">
      <c r="A34" s="83" t="s">
        <v>76</v>
      </c>
      <c r="B34" s="113" t="s">
        <v>18</v>
      </c>
      <c r="C34" s="95" t="s">
        <v>323</v>
      </c>
      <c r="D34" s="85">
        <v>45293</v>
      </c>
      <c r="E34" s="86">
        <v>163.80000000000001</v>
      </c>
      <c r="F34" s="86">
        <v>24.57</v>
      </c>
      <c r="G34" s="94">
        <v>149.54000000000002</v>
      </c>
      <c r="H34" s="86">
        <v>16.71</v>
      </c>
      <c r="I34" s="106">
        <v>45391</v>
      </c>
      <c r="J34" s="50">
        <f t="shared" si="3"/>
        <v>139.23000000000002</v>
      </c>
      <c r="K34" s="47">
        <f t="shared" si="4"/>
        <v>98</v>
      </c>
      <c r="L34" s="5">
        <v>0.03</v>
      </c>
      <c r="M34" s="6">
        <f t="shared" si="5"/>
        <v>4.1769000000000007</v>
      </c>
    </row>
    <row r="35" spans="1:14" ht="15" customHeight="1" x14ac:dyDescent="0.25">
      <c r="A35" s="83" t="s">
        <v>76</v>
      </c>
      <c r="B35" s="113" t="s">
        <v>18</v>
      </c>
      <c r="C35" s="95" t="s">
        <v>324</v>
      </c>
      <c r="D35" s="85">
        <v>45293</v>
      </c>
      <c r="E35" s="86">
        <v>154.08000000000001</v>
      </c>
      <c r="F35" s="86">
        <v>23.11</v>
      </c>
      <c r="G35" s="94">
        <v>140.66</v>
      </c>
      <c r="H35" s="86">
        <v>15.72</v>
      </c>
      <c r="I35" s="105">
        <v>45412</v>
      </c>
      <c r="J35" s="50">
        <f t="shared" si="3"/>
        <v>130.97000000000003</v>
      </c>
      <c r="K35" s="47">
        <f t="shared" si="4"/>
        <v>119</v>
      </c>
      <c r="L35" s="5">
        <v>0.03</v>
      </c>
      <c r="M35" s="6">
        <f t="shared" si="5"/>
        <v>3.9291000000000005</v>
      </c>
    </row>
    <row r="36" spans="1:14" ht="15" customHeight="1" x14ac:dyDescent="0.25">
      <c r="A36" s="83" t="s">
        <v>76</v>
      </c>
      <c r="B36" s="113" t="s">
        <v>18</v>
      </c>
      <c r="C36" s="95" t="s">
        <v>325</v>
      </c>
      <c r="D36" s="85">
        <v>45296</v>
      </c>
      <c r="E36" s="86">
        <v>343.2</v>
      </c>
      <c r="F36" s="86">
        <v>51.48</v>
      </c>
      <c r="G36" s="94">
        <v>313.31</v>
      </c>
      <c r="H36" s="86">
        <v>35.01</v>
      </c>
      <c r="I36" s="105">
        <v>45412</v>
      </c>
      <c r="J36" s="50">
        <f t="shared" si="3"/>
        <v>291.71999999999997</v>
      </c>
      <c r="K36" s="47">
        <f t="shared" si="4"/>
        <v>116</v>
      </c>
      <c r="L36" s="5">
        <v>0.03</v>
      </c>
      <c r="M36" s="6">
        <f t="shared" si="5"/>
        <v>8.751599999999998</v>
      </c>
    </row>
    <row r="37" spans="1:14" ht="15" customHeight="1" x14ac:dyDescent="0.25">
      <c r="A37" s="83" t="s">
        <v>76</v>
      </c>
      <c r="B37" s="113" t="s">
        <v>18</v>
      </c>
      <c r="C37" s="95" t="s">
        <v>326</v>
      </c>
      <c r="D37" s="85">
        <v>45302</v>
      </c>
      <c r="E37" s="86">
        <v>46.8</v>
      </c>
      <c r="F37" s="86">
        <v>7.02</v>
      </c>
      <c r="G37" s="94">
        <v>42.72</v>
      </c>
      <c r="H37" s="86">
        <v>4.7699999999999996</v>
      </c>
      <c r="I37" s="105">
        <v>45391</v>
      </c>
      <c r="J37" s="50">
        <f t="shared" si="3"/>
        <v>39.78</v>
      </c>
      <c r="K37" s="47">
        <f t="shared" si="4"/>
        <v>89</v>
      </c>
      <c r="L37" s="5">
        <v>0.03</v>
      </c>
      <c r="M37" s="6">
        <f t="shared" si="5"/>
        <v>1.1934</v>
      </c>
    </row>
    <row r="38" spans="1:14" ht="15" customHeight="1" x14ac:dyDescent="0.25">
      <c r="A38" s="83" t="s">
        <v>76</v>
      </c>
      <c r="B38" s="113" t="s">
        <v>18</v>
      </c>
      <c r="C38" s="95" t="s">
        <v>327</v>
      </c>
      <c r="D38" s="85">
        <v>45302</v>
      </c>
      <c r="E38" s="86">
        <v>10.8</v>
      </c>
      <c r="F38" s="86">
        <v>1.62</v>
      </c>
      <c r="G38" s="94">
        <v>9.86</v>
      </c>
      <c r="H38" s="86">
        <v>1.1000000000000001</v>
      </c>
      <c r="I38" s="105">
        <v>45412</v>
      </c>
      <c r="J38" s="50">
        <f t="shared" si="3"/>
        <v>9.18</v>
      </c>
      <c r="K38" s="47">
        <f t="shared" si="4"/>
        <v>110</v>
      </c>
      <c r="L38" s="5">
        <v>0.03</v>
      </c>
      <c r="M38" s="6">
        <f t="shared" si="5"/>
        <v>0.27539999999999998</v>
      </c>
    </row>
    <row r="39" spans="1:14" ht="15" customHeight="1" x14ac:dyDescent="0.25">
      <c r="A39" s="83" t="s">
        <v>89</v>
      </c>
      <c r="B39" s="113" t="s">
        <v>18</v>
      </c>
      <c r="C39" s="95" t="s">
        <v>328</v>
      </c>
      <c r="D39" s="85">
        <v>45320</v>
      </c>
      <c r="E39" s="86">
        <v>347.16</v>
      </c>
      <c r="F39" s="86">
        <v>69.430000000000007</v>
      </c>
      <c r="G39" s="94">
        <v>298.28000000000003</v>
      </c>
      <c r="H39" s="86">
        <v>33.33</v>
      </c>
      <c r="I39" s="105">
        <v>45390</v>
      </c>
      <c r="J39" s="50">
        <f t="shared" si="3"/>
        <v>277.73</v>
      </c>
      <c r="K39" s="47">
        <f t="shared" si="4"/>
        <v>70</v>
      </c>
      <c r="L39" s="5">
        <v>0.03</v>
      </c>
      <c r="M39" s="6">
        <f t="shared" si="5"/>
        <v>8.331900000000001</v>
      </c>
    </row>
    <row r="40" spans="1:14" ht="15" customHeight="1" x14ac:dyDescent="0.25">
      <c r="A40" s="83" t="s">
        <v>76</v>
      </c>
      <c r="B40" s="113" t="s">
        <v>18</v>
      </c>
      <c r="C40" s="95" t="s">
        <v>329</v>
      </c>
      <c r="D40" s="85">
        <v>45330</v>
      </c>
      <c r="E40" s="86">
        <v>110.88</v>
      </c>
      <c r="F40" s="86">
        <v>16.63</v>
      </c>
      <c r="G40" s="94">
        <v>101.23</v>
      </c>
      <c r="H40" s="86">
        <v>11.31</v>
      </c>
      <c r="I40" s="106">
        <v>45412</v>
      </c>
      <c r="J40" s="50">
        <f t="shared" si="3"/>
        <v>94.25</v>
      </c>
      <c r="K40" s="47">
        <f t="shared" si="4"/>
        <v>82</v>
      </c>
      <c r="L40" s="5">
        <v>0.03</v>
      </c>
      <c r="M40" s="6">
        <f t="shared" si="5"/>
        <v>2.8274999999999997</v>
      </c>
    </row>
    <row r="41" spans="1:14" ht="15" customHeight="1" x14ac:dyDescent="0.25">
      <c r="A41" s="83" t="s">
        <v>76</v>
      </c>
      <c r="B41" s="113" t="s">
        <v>18</v>
      </c>
      <c r="C41" s="95" t="s">
        <v>330</v>
      </c>
      <c r="D41" s="85">
        <v>45336</v>
      </c>
      <c r="E41" s="86">
        <v>128.52000000000001</v>
      </c>
      <c r="F41" s="86">
        <v>19.28</v>
      </c>
      <c r="G41" s="94">
        <v>117.32999999999998</v>
      </c>
      <c r="H41" s="86">
        <v>13.11</v>
      </c>
      <c r="I41" s="106">
        <v>45412</v>
      </c>
      <c r="J41" s="50">
        <f t="shared" si="3"/>
        <v>109.24000000000001</v>
      </c>
      <c r="K41" s="47">
        <f t="shared" si="4"/>
        <v>76</v>
      </c>
      <c r="L41" s="5">
        <v>0.03</v>
      </c>
      <c r="M41" s="6">
        <f t="shared" si="5"/>
        <v>3.2772000000000001</v>
      </c>
    </row>
    <row r="42" spans="1:14" ht="15" customHeight="1" x14ac:dyDescent="0.25">
      <c r="A42" s="83" t="s">
        <v>89</v>
      </c>
      <c r="B42" s="113" t="s">
        <v>18</v>
      </c>
      <c r="C42" s="95" t="s">
        <v>331</v>
      </c>
      <c r="D42" s="85">
        <v>45342</v>
      </c>
      <c r="E42" s="86">
        <v>214.2</v>
      </c>
      <c r="F42" s="86">
        <v>42.84</v>
      </c>
      <c r="G42" s="94">
        <v>184.04</v>
      </c>
      <c r="H42" s="86">
        <v>20.56</v>
      </c>
      <c r="I42" s="106">
        <v>45390</v>
      </c>
      <c r="J42" s="50">
        <f t="shared" si="3"/>
        <v>171.35999999999999</v>
      </c>
      <c r="K42" s="47">
        <f t="shared" si="4"/>
        <v>48</v>
      </c>
      <c r="L42" s="5">
        <v>0.03</v>
      </c>
      <c r="M42" s="6">
        <f t="shared" si="5"/>
        <v>5.1407999999999996</v>
      </c>
    </row>
    <row r="43" spans="1:14" ht="15" customHeight="1" x14ac:dyDescent="0.25">
      <c r="A43" s="83" t="s">
        <v>42</v>
      </c>
      <c r="B43" s="113" t="s">
        <v>18</v>
      </c>
      <c r="C43" s="95" t="s">
        <v>332</v>
      </c>
      <c r="D43" s="85">
        <v>45359</v>
      </c>
      <c r="E43" s="86">
        <v>169.2</v>
      </c>
      <c r="F43" s="86">
        <v>25.38</v>
      </c>
      <c r="G43" s="94">
        <v>154.46</v>
      </c>
      <c r="H43" s="86">
        <v>17.260000000000002</v>
      </c>
      <c r="I43" s="106">
        <v>45392</v>
      </c>
      <c r="J43" s="50">
        <f t="shared" si="3"/>
        <v>143.82</v>
      </c>
      <c r="K43" s="47">
        <f t="shared" si="4"/>
        <v>33</v>
      </c>
      <c r="L43" s="5">
        <v>0.03</v>
      </c>
      <c r="M43" s="6">
        <f t="shared" si="5"/>
        <v>4.3145999999999995</v>
      </c>
    </row>
    <row r="44" spans="1:14" ht="15" customHeight="1" x14ac:dyDescent="0.25">
      <c r="A44" s="83" t="s">
        <v>94</v>
      </c>
      <c r="B44" s="113" t="s">
        <v>18</v>
      </c>
      <c r="C44" s="95" t="s">
        <v>333</v>
      </c>
      <c r="D44" s="85">
        <v>45366</v>
      </c>
      <c r="E44" s="86">
        <v>216</v>
      </c>
      <c r="F44" s="86">
        <v>32.4</v>
      </c>
      <c r="G44" s="94">
        <v>195.80999999999997</v>
      </c>
      <c r="H44" s="86">
        <v>22.03</v>
      </c>
      <c r="I44" s="106">
        <v>45405</v>
      </c>
      <c r="J44" s="50">
        <f t="shared" si="3"/>
        <v>183.6</v>
      </c>
      <c r="K44" s="47">
        <f t="shared" si="4"/>
        <v>39</v>
      </c>
      <c r="L44" s="5">
        <v>0.03</v>
      </c>
      <c r="M44" s="6">
        <f t="shared" si="5"/>
        <v>5.508</v>
      </c>
    </row>
    <row r="45" spans="1:14" ht="15" customHeight="1" x14ac:dyDescent="0.25">
      <c r="A45" s="83" t="s">
        <v>71</v>
      </c>
      <c r="B45" s="107" t="s">
        <v>24</v>
      </c>
      <c r="C45" s="95" t="s">
        <v>334</v>
      </c>
      <c r="D45" s="85">
        <v>45379</v>
      </c>
      <c r="E45" s="86">
        <v>634.32000000000005</v>
      </c>
      <c r="F45" s="86">
        <v>158.58000000000001</v>
      </c>
      <c r="G45" s="94">
        <v>532.83000000000004</v>
      </c>
      <c r="H45" s="86">
        <v>57.09</v>
      </c>
      <c r="I45" s="114">
        <v>45401</v>
      </c>
      <c r="J45" s="50">
        <f t="shared" si="3"/>
        <v>475.74</v>
      </c>
      <c r="K45" s="47">
        <f t="shared" si="4"/>
        <v>22</v>
      </c>
      <c r="L45" s="5">
        <v>3.5000000000000003E-2</v>
      </c>
      <c r="M45" s="6">
        <f t="shared" si="5"/>
        <v>16.650900000000004</v>
      </c>
    </row>
    <row r="46" spans="1:14" ht="15" customHeight="1" x14ac:dyDescent="0.25">
      <c r="A46" s="83" t="s">
        <v>71</v>
      </c>
      <c r="B46" s="107" t="s">
        <v>24</v>
      </c>
      <c r="C46" s="95" t="s">
        <v>335</v>
      </c>
      <c r="D46" s="85">
        <v>45383</v>
      </c>
      <c r="E46" s="86">
        <v>1108.8</v>
      </c>
      <c r="F46" s="86">
        <v>277.2</v>
      </c>
      <c r="G46" s="94">
        <v>956.34</v>
      </c>
      <c r="H46" s="86">
        <v>124.74</v>
      </c>
      <c r="I46" s="114">
        <v>45401</v>
      </c>
      <c r="J46" s="50">
        <f t="shared" si="3"/>
        <v>831.59999999999991</v>
      </c>
      <c r="K46" s="47">
        <f t="shared" si="4"/>
        <v>18</v>
      </c>
      <c r="L46" s="5">
        <v>3.5000000000000003E-2</v>
      </c>
      <c r="M46" s="6">
        <f t="shared" si="5"/>
        <v>29.105999999999998</v>
      </c>
    </row>
    <row r="47" spans="1:14" ht="15" customHeight="1" x14ac:dyDescent="0.25">
      <c r="A47" s="83" t="s">
        <v>45</v>
      </c>
      <c r="B47" s="107" t="s">
        <v>24</v>
      </c>
      <c r="C47" s="95" t="s">
        <v>336</v>
      </c>
      <c r="D47" s="85">
        <v>45383</v>
      </c>
      <c r="E47" s="86">
        <v>797.04</v>
      </c>
      <c r="F47" s="86">
        <v>199.26</v>
      </c>
      <c r="G47" s="94">
        <v>654.57000000000005</v>
      </c>
      <c r="H47" s="86">
        <v>89.67</v>
      </c>
      <c r="I47" s="105">
        <v>45392</v>
      </c>
      <c r="J47" s="50">
        <f t="shared" si="3"/>
        <v>597.78</v>
      </c>
      <c r="K47" s="47">
        <f t="shared" si="4"/>
        <v>9</v>
      </c>
      <c r="L47" s="5">
        <v>3.5000000000000003E-2</v>
      </c>
      <c r="M47" s="6">
        <f t="shared" si="5"/>
        <v>20.9223</v>
      </c>
    </row>
    <row r="48" spans="1:14" s="52" customFormat="1" ht="15" customHeight="1" x14ac:dyDescent="0.25">
      <c r="A48" s="83" t="s">
        <v>78</v>
      </c>
      <c r="B48" s="107" t="s">
        <v>18</v>
      </c>
      <c r="C48" s="95" t="s">
        <v>337</v>
      </c>
      <c r="D48" s="85">
        <v>45386</v>
      </c>
      <c r="E48" s="86">
        <v>86.4</v>
      </c>
      <c r="F48" s="86">
        <v>10.36</v>
      </c>
      <c r="G48" s="94">
        <v>83.17</v>
      </c>
      <c r="H48" s="86">
        <v>11.41</v>
      </c>
      <c r="I48" s="105">
        <v>45390</v>
      </c>
      <c r="J48" s="50">
        <f t="shared" si="3"/>
        <v>76.040000000000006</v>
      </c>
      <c r="K48" s="47">
        <f t="shared" si="4"/>
        <v>4</v>
      </c>
      <c r="L48" s="5">
        <v>0.04</v>
      </c>
      <c r="M48" s="6">
        <f t="shared" si="5"/>
        <v>3.0416000000000003</v>
      </c>
      <c r="N48" s="60"/>
    </row>
    <row r="49" spans="1:17" ht="15" customHeight="1" x14ac:dyDescent="0.25">
      <c r="A49" s="83" t="s">
        <v>102</v>
      </c>
      <c r="B49" s="107" t="s">
        <v>18</v>
      </c>
      <c r="C49" s="95" t="s">
        <v>338</v>
      </c>
      <c r="D49" s="85">
        <v>45392</v>
      </c>
      <c r="E49" s="86">
        <v>70.2</v>
      </c>
      <c r="F49" s="86">
        <v>10.53</v>
      </c>
      <c r="G49" s="94">
        <v>68.62</v>
      </c>
      <c r="H49" s="86">
        <v>8.9499999999999993</v>
      </c>
      <c r="I49" s="105">
        <v>45407</v>
      </c>
      <c r="J49" s="50">
        <f t="shared" si="3"/>
        <v>59.67</v>
      </c>
      <c r="K49" s="47">
        <f t="shared" si="4"/>
        <v>15</v>
      </c>
      <c r="L49" s="5">
        <v>3.5000000000000003E-2</v>
      </c>
      <c r="M49" s="6">
        <f t="shared" si="5"/>
        <v>2.0884500000000004</v>
      </c>
    </row>
    <row r="50" spans="1:17" ht="15" customHeight="1" x14ac:dyDescent="0.25">
      <c r="A50" s="83" t="s">
        <v>118</v>
      </c>
      <c r="B50" s="107" t="s">
        <v>120</v>
      </c>
      <c r="C50" s="95" t="s">
        <v>339</v>
      </c>
      <c r="D50" s="85">
        <v>45404</v>
      </c>
      <c r="E50" s="86">
        <v>83.16</v>
      </c>
      <c r="F50" s="86">
        <v>12.47</v>
      </c>
      <c r="G50" s="94">
        <v>76.87</v>
      </c>
      <c r="H50" s="86">
        <v>10.6</v>
      </c>
      <c r="I50" s="105">
        <v>45411</v>
      </c>
      <c r="J50" s="50">
        <f t="shared" si="3"/>
        <v>70.69</v>
      </c>
      <c r="K50" s="47">
        <f t="shared" si="4"/>
        <v>7</v>
      </c>
      <c r="L50" s="5">
        <v>0.04</v>
      </c>
      <c r="M50" s="6">
        <f t="shared" si="5"/>
        <v>2.8275999999999999</v>
      </c>
    </row>
    <row r="51" spans="1:17" ht="15" customHeight="1" x14ac:dyDescent="0.25">
      <c r="A51" s="83"/>
      <c r="B51" s="111"/>
      <c r="C51" s="95"/>
      <c r="D51" s="85"/>
      <c r="E51" s="86"/>
      <c r="F51" s="86"/>
      <c r="G51" s="94"/>
      <c r="H51" s="86"/>
      <c r="I51" s="84"/>
      <c r="J51" s="50"/>
      <c r="K51" s="47"/>
      <c r="L51" s="5"/>
      <c r="M51" s="6"/>
    </row>
    <row r="52" spans="1:17" ht="15" customHeight="1" x14ac:dyDescent="0.3">
      <c r="A52" s="2"/>
      <c r="B52" s="3"/>
      <c r="C52" s="3"/>
      <c r="D52" s="61"/>
      <c r="E52" s="4"/>
      <c r="F52" s="4"/>
      <c r="G52" s="9"/>
      <c r="H52" s="10"/>
      <c r="I52" s="71"/>
      <c r="J52" s="50"/>
      <c r="K52" s="47"/>
      <c r="L52" s="5"/>
      <c r="M52" s="6"/>
      <c r="O52" s="15"/>
      <c r="P52" s="8"/>
      <c r="Q52" s="8"/>
    </row>
    <row r="53" spans="1:17" ht="15" customHeight="1" x14ac:dyDescent="0.3">
      <c r="G53" s="16">
        <f>SUM(G29:G52)</f>
        <v>6554.329999999999</v>
      </c>
      <c r="J53" s="16">
        <f>SUM(J29:J52)</f>
        <v>6006.579999999999</v>
      </c>
      <c r="M53" s="16">
        <f>SUM(M29:M52)</f>
        <v>191.48864999999995</v>
      </c>
    </row>
    <row r="54" spans="1:17" ht="15" customHeight="1" x14ac:dyDescent="0.25">
      <c r="G54" s="8"/>
      <c r="H54" s="8"/>
    </row>
    <row r="55" spans="1:17" ht="15" customHeight="1" x14ac:dyDescent="0.25">
      <c r="A55" s="17" t="s">
        <v>19</v>
      </c>
      <c r="B55" s="17" t="s">
        <v>20</v>
      </c>
      <c r="C55" s="18" t="s">
        <v>21</v>
      </c>
      <c r="I55" s="8"/>
      <c r="J55" s="8"/>
    </row>
    <row r="56" spans="1:17" s="52" customFormat="1" ht="15" customHeight="1" x14ac:dyDescent="0.25">
      <c r="A56" s="91" t="s">
        <v>47</v>
      </c>
      <c r="B56" s="101" t="s">
        <v>309</v>
      </c>
      <c r="C56" s="93" t="s">
        <v>314</v>
      </c>
      <c r="D56" s="88">
        <v>45365</v>
      </c>
      <c r="E56" s="92">
        <v>232.56</v>
      </c>
      <c r="F56" s="92">
        <v>39.54</v>
      </c>
      <c r="G56" s="90">
        <v>216.18</v>
      </c>
      <c r="H56" s="92">
        <v>23.16</v>
      </c>
      <c r="I56" s="105">
        <v>45426</v>
      </c>
      <c r="J56" s="50">
        <f t="shared" ref="J56:J60" si="6">+E56-F56</f>
        <v>193.02</v>
      </c>
      <c r="K56" s="47">
        <f t="shared" ref="K56:K60" si="7">+I56-D56</f>
        <v>61</v>
      </c>
      <c r="L56" s="48">
        <v>0.03</v>
      </c>
      <c r="M56" s="49">
        <f t="shared" ref="M56:M60" si="8">+J56*L56</f>
        <v>5.7906000000000004</v>
      </c>
      <c r="N56" s="60"/>
    </row>
    <row r="57" spans="1:17" s="52" customFormat="1" ht="15" customHeight="1" x14ac:dyDescent="0.25">
      <c r="A57" s="91" t="s">
        <v>38</v>
      </c>
      <c r="B57" s="101" t="s">
        <v>311</v>
      </c>
      <c r="C57" s="93" t="s">
        <v>315</v>
      </c>
      <c r="D57" s="88">
        <v>45379</v>
      </c>
      <c r="E57" s="92">
        <v>3022.2</v>
      </c>
      <c r="F57" s="92">
        <v>664.89</v>
      </c>
      <c r="G57" s="90">
        <v>2531.7599999999998</v>
      </c>
      <c r="H57" s="92">
        <v>282.88</v>
      </c>
      <c r="I57" s="88">
        <v>45417</v>
      </c>
      <c r="J57" s="50">
        <f t="shared" si="6"/>
        <v>2357.31</v>
      </c>
      <c r="K57" s="47">
        <f t="shared" si="7"/>
        <v>38</v>
      </c>
      <c r="L57" s="48">
        <v>0.03</v>
      </c>
      <c r="M57" s="49">
        <f t="shared" si="8"/>
        <v>70.71929999999999</v>
      </c>
      <c r="N57" s="60"/>
    </row>
    <row r="58" spans="1:17" s="52" customFormat="1" ht="15" customHeight="1" x14ac:dyDescent="0.25">
      <c r="A58" s="91" t="s">
        <v>40</v>
      </c>
      <c r="B58" s="103" t="s">
        <v>310</v>
      </c>
      <c r="C58" s="93" t="s">
        <v>340</v>
      </c>
      <c r="D58" s="88">
        <v>45383</v>
      </c>
      <c r="E58" s="92">
        <v>912</v>
      </c>
      <c r="F58" s="92">
        <v>228</v>
      </c>
      <c r="G58" s="90">
        <f>786.6-6.84-30.78</f>
        <v>748.98</v>
      </c>
      <c r="H58" s="92">
        <v>102.6</v>
      </c>
      <c r="I58" s="105">
        <v>45413</v>
      </c>
      <c r="J58" s="50">
        <f t="shared" ref="J58" si="9">+E58-F58</f>
        <v>684</v>
      </c>
      <c r="K58" s="47">
        <f t="shared" ref="K58" si="10">+I58-D58</f>
        <v>30</v>
      </c>
      <c r="L58" s="48">
        <v>0.03</v>
      </c>
      <c r="M58" s="49">
        <f t="shared" ref="M58" si="11">+J58*L58</f>
        <v>20.52</v>
      </c>
      <c r="N58" s="60"/>
    </row>
    <row r="59" spans="1:17" s="52" customFormat="1" ht="15" customHeight="1" x14ac:dyDescent="0.25">
      <c r="A59" s="91" t="s">
        <v>47</v>
      </c>
      <c r="B59" s="101" t="s">
        <v>312</v>
      </c>
      <c r="C59" s="93" t="s">
        <v>316</v>
      </c>
      <c r="D59" s="88">
        <v>45384</v>
      </c>
      <c r="E59" s="92">
        <v>404.4</v>
      </c>
      <c r="F59" s="92">
        <v>68.739999999999995</v>
      </c>
      <c r="G59" s="96">
        <v>386.01</v>
      </c>
      <c r="H59" s="92">
        <v>50.35</v>
      </c>
      <c r="I59" s="105">
        <v>45445</v>
      </c>
      <c r="J59" s="50">
        <f t="shared" si="6"/>
        <v>335.65999999999997</v>
      </c>
      <c r="K59" s="47">
        <f t="shared" si="7"/>
        <v>61</v>
      </c>
      <c r="L59" s="48">
        <v>0.03</v>
      </c>
      <c r="M59" s="49">
        <f t="shared" si="8"/>
        <v>10.069799999999999</v>
      </c>
      <c r="N59" s="60"/>
    </row>
    <row r="60" spans="1:17" s="52" customFormat="1" ht="15" customHeight="1" x14ac:dyDescent="0.25">
      <c r="A60" s="91" t="s">
        <v>42</v>
      </c>
      <c r="B60" s="101" t="s">
        <v>313</v>
      </c>
      <c r="C60" s="93" t="s">
        <v>317</v>
      </c>
      <c r="D60" s="88">
        <v>45387</v>
      </c>
      <c r="E60" s="92">
        <v>174</v>
      </c>
      <c r="F60" s="92">
        <v>26.1</v>
      </c>
      <c r="G60" s="96">
        <v>161.95000000000002</v>
      </c>
      <c r="H60" s="92">
        <v>22.19</v>
      </c>
      <c r="I60" s="105">
        <v>45420</v>
      </c>
      <c r="J60" s="50">
        <f t="shared" si="6"/>
        <v>147.9</v>
      </c>
      <c r="K60" s="47">
        <f t="shared" si="7"/>
        <v>33</v>
      </c>
      <c r="L60" s="48">
        <v>0.03</v>
      </c>
      <c r="M60" s="49">
        <f t="shared" si="8"/>
        <v>4.4370000000000003</v>
      </c>
      <c r="N60" s="60"/>
    </row>
    <row r="61" spans="1:17" s="52" customFormat="1" ht="15" customHeight="1" x14ac:dyDescent="0.3">
      <c r="A61" s="42"/>
      <c r="B61" s="43"/>
      <c r="C61" s="43"/>
      <c r="D61" s="68"/>
      <c r="E61" s="44"/>
      <c r="F61" s="44"/>
      <c r="G61" s="45"/>
      <c r="H61" s="46"/>
      <c r="I61" s="72"/>
      <c r="J61" s="50"/>
      <c r="K61" s="47"/>
      <c r="L61" s="48"/>
      <c r="M61" s="49"/>
      <c r="N61" s="60"/>
    </row>
    <row r="62" spans="1:17" ht="15" customHeight="1" thickBot="1" x14ac:dyDescent="0.35">
      <c r="A62" s="332" t="s">
        <v>29</v>
      </c>
      <c r="B62" s="332"/>
      <c r="C62" s="332"/>
      <c r="D62" s="332"/>
      <c r="E62" s="332"/>
      <c r="F62" s="332"/>
      <c r="G62" s="16">
        <f>SUM(G53:G61)</f>
        <v>10599.21</v>
      </c>
      <c r="J62" s="16">
        <f>SUM(J53:J61)</f>
        <v>9724.4699999999993</v>
      </c>
      <c r="L62" s="20"/>
      <c r="M62" s="23">
        <f>SUM(M53:M61)</f>
        <v>303.02534999999995</v>
      </c>
      <c r="O62" s="7">
        <f>204.84+303.03</f>
        <v>507.87</v>
      </c>
    </row>
    <row r="63" spans="1:17" ht="15" customHeight="1" x14ac:dyDescent="0.3">
      <c r="A63" s="22"/>
      <c r="G63" s="8"/>
    </row>
    <row r="64" spans="1:17" ht="15" customHeight="1" x14ac:dyDescent="0.3">
      <c r="A64" s="39"/>
      <c r="G64" s="8"/>
      <c r="J64" s="8"/>
    </row>
    <row r="65" spans="1:15" ht="15" customHeight="1" x14ac:dyDescent="0.3">
      <c r="A65" s="39"/>
      <c r="G65" s="8"/>
      <c r="J65" s="8"/>
    </row>
    <row r="66" spans="1:15" ht="15" customHeight="1" x14ac:dyDescent="0.3">
      <c r="A66" s="39"/>
      <c r="G66" s="8"/>
      <c r="J66" s="8"/>
    </row>
    <row r="67" spans="1:15" ht="15" customHeight="1" x14ac:dyDescent="0.3">
      <c r="A67" s="39"/>
      <c r="G67" s="8"/>
      <c r="J67" s="8"/>
    </row>
    <row r="68" spans="1:15" ht="15" customHeight="1" x14ac:dyDescent="0.3">
      <c r="A68" s="39"/>
      <c r="G68" s="8"/>
      <c r="J68" s="8"/>
    </row>
    <row r="69" spans="1:15" ht="15" customHeight="1" x14ac:dyDescent="0.3">
      <c r="A69" s="39"/>
      <c r="G69" s="8"/>
      <c r="J69" s="8">
        <f>(J19+J62)*2%</f>
        <v>213.1326</v>
      </c>
      <c r="M69" s="8">
        <f>M19/12</f>
        <v>2.3303999999999996</v>
      </c>
      <c r="N69" s="59" t="s">
        <v>342</v>
      </c>
    </row>
    <row r="70" spans="1:15" ht="15" customHeight="1" x14ac:dyDescent="0.3">
      <c r="A70" s="39"/>
      <c r="G70" s="8"/>
      <c r="J70" s="8">
        <f>J69/12</f>
        <v>17.761050000000001</v>
      </c>
      <c r="M70" s="8">
        <f>M19/24</f>
        <v>1.1651999999999998</v>
      </c>
      <c r="N70" s="59" t="s">
        <v>342</v>
      </c>
    </row>
    <row r="71" spans="1:15" ht="15" customHeight="1" x14ac:dyDescent="0.3">
      <c r="A71" s="39"/>
      <c r="G71" s="8"/>
      <c r="J71" s="8">
        <f>J69/24</f>
        <v>8.8805250000000004</v>
      </c>
      <c r="M71" s="8">
        <f>M62/12</f>
        <v>25.252112499999996</v>
      </c>
      <c r="N71" s="59" t="s">
        <v>341</v>
      </c>
      <c r="O71" s="8">
        <f>M69+M71</f>
        <v>27.582512499999996</v>
      </c>
    </row>
    <row r="72" spans="1:15" ht="15" customHeight="1" x14ac:dyDescent="0.3">
      <c r="A72" s="39"/>
      <c r="G72" s="8"/>
      <c r="J72" s="8"/>
      <c r="M72" s="8">
        <f>M62/24</f>
        <v>12.626056249999998</v>
      </c>
      <c r="N72" s="59" t="s">
        <v>341</v>
      </c>
      <c r="O72" s="8">
        <f>M70+M72</f>
        <v>13.791256249999998</v>
      </c>
    </row>
    <row r="73" spans="1:15" ht="15" customHeight="1" x14ac:dyDescent="0.3">
      <c r="A73" s="39"/>
      <c r="G73" s="8"/>
      <c r="J73" s="8"/>
      <c r="M73" s="8"/>
    </row>
    <row r="74" spans="1:15" ht="15" customHeight="1" x14ac:dyDescent="0.3">
      <c r="A74" s="39"/>
      <c r="G74" s="8"/>
      <c r="J74" s="8"/>
      <c r="M74" s="7">
        <f>17.76+27.58</f>
        <v>45.34</v>
      </c>
    </row>
    <row r="75" spans="1:15" ht="15" customHeight="1" x14ac:dyDescent="0.3">
      <c r="A75" s="39"/>
      <c r="G75" s="8"/>
      <c r="J75" s="8"/>
    </row>
    <row r="76" spans="1:15" ht="15" customHeight="1" x14ac:dyDescent="0.3">
      <c r="A76" s="39"/>
      <c r="G76" s="8"/>
      <c r="J76" s="8"/>
    </row>
    <row r="77" spans="1:15" ht="15" customHeight="1" x14ac:dyDescent="0.3">
      <c r="A77" s="39"/>
      <c r="G77" s="8"/>
      <c r="J77" s="8"/>
    </row>
    <row r="78" spans="1:15" ht="15" customHeight="1" x14ac:dyDescent="0.3">
      <c r="A78" s="39"/>
      <c r="G78" s="8"/>
      <c r="J78" s="8"/>
    </row>
    <row r="79" spans="1:15" ht="15" customHeight="1" x14ac:dyDescent="0.3">
      <c r="A79" s="22"/>
      <c r="K79" s="15"/>
    </row>
  </sheetData>
  <sortState xmlns:xlrd2="http://schemas.microsoft.com/office/spreadsheetml/2017/richdata2" ref="A29:AD50">
    <sortCondition ref="C29:C50"/>
  </sortState>
  <mergeCells count="7">
    <mergeCell ref="A62:F62"/>
    <mergeCell ref="A2:F2"/>
    <mergeCell ref="A3:F3"/>
    <mergeCell ref="A10:F10"/>
    <mergeCell ref="A19:F19"/>
    <mergeCell ref="A23:F23"/>
    <mergeCell ref="A24:F24"/>
  </mergeCells>
  <pageMargins left="0.39370078740157483" right="0" top="0.39370078740157483" bottom="0" header="0" footer="0"/>
  <pageSetup paperSize="9" scale="85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06"/>
  <sheetViews>
    <sheetView topLeftCell="I86" workbookViewId="0">
      <selection activeCell="C86" sqref="C86"/>
    </sheetView>
  </sheetViews>
  <sheetFormatPr baseColWidth="10" defaultColWidth="11.44140625" defaultRowHeight="13.2" x14ac:dyDescent="0.25"/>
  <cols>
    <col min="1" max="1" width="43.109375" style="7" customWidth="1"/>
    <col min="2" max="2" width="27.5546875" style="7" customWidth="1"/>
    <col min="3" max="3" width="10.88671875" style="7" customWidth="1"/>
    <col min="4" max="4" width="15.88671875" style="63" customWidth="1"/>
    <col min="5" max="5" width="11.44140625" style="7"/>
    <col min="6" max="6" width="9.5546875" style="7" customWidth="1"/>
    <col min="7" max="7" width="12.5546875" style="7" customWidth="1"/>
    <col min="8" max="8" width="10.109375" style="7" customWidth="1"/>
    <col min="9" max="9" width="13.6640625" style="63" customWidth="1"/>
    <col min="10" max="10" width="12.44140625" style="7" customWidth="1"/>
    <col min="11" max="11" width="7.109375" style="7" customWidth="1"/>
    <col min="12" max="12" width="7.33203125" style="7" customWidth="1"/>
    <col min="13" max="13" width="10.33203125" style="7" customWidth="1"/>
    <col min="14" max="14" width="9.33203125" style="59" customWidth="1"/>
    <col min="15" max="16" width="8" style="7" customWidth="1"/>
    <col min="17" max="16384" width="11.44140625" style="7"/>
  </cols>
  <sheetData>
    <row r="1" spans="1:30" ht="15" customHeight="1" x14ac:dyDescent="0.25">
      <c r="B1" s="8"/>
      <c r="C1" s="8"/>
      <c r="G1" s="8"/>
    </row>
    <row r="2" spans="1:30" ht="15" customHeight="1" x14ac:dyDescent="0.25">
      <c r="A2" s="331" t="s">
        <v>0</v>
      </c>
      <c r="B2" s="331"/>
      <c r="C2" s="331"/>
      <c r="D2" s="331"/>
      <c r="E2" s="331"/>
      <c r="F2" s="331"/>
      <c r="G2" s="24"/>
      <c r="H2" s="25"/>
      <c r="I2" s="65"/>
      <c r="J2" s="26"/>
      <c r="K2" s="27"/>
      <c r="L2" s="28"/>
      <c r="M2" s="29"/>
    </row>
    <row r="3" spans="1:30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65"/>
      <c r="J3" s="27"/>
      <c r="K3" s="27"/>
      <c r="L3" s="28"/>
      <c r="M3" s="29"/>
    </row>
    <row r="4" spans="1:30" ht="15" customHeight="1" x14ac:dyDescent="0.25">
      <c r="A4" s="30"/>
      <c r="B4" s="31" t="s">
        <v>412</v>
      </c>
      <c r="C4" s="30"/>
      <c r="D4" s="64"/>
      <c r="E4" s="30"/>
      <c r="F4" s="30"/>
      <c r="G4" s="24"/>
      <c r="H4" s="25"/>
      <c r="I4" s="65"/>
      <c r="J4" s="27"/>
      <c r="K4" s="27"/>
      <c r="L4" s="28"/>
      <c r="M4" s="29"/>
    </row>
    <row r="5" spans="1:30" ht="15" customHeight="1" thickBot="1" x14ac:dyDescent="0.3">
      <c r="A5" s="30"/>
      <c r="B5" s="31" t="s">
        <v>2</v>
      </c>
      <c r="C5" s="30"/>
      <c r="D5" s="64"/>
      <c r="E5" s="30"/>
      <c r="F5" s="30"/>
      <c r="G5" s="32"/>
      <c r="H5" s="24"/>
      <c r="I5" s="69"/>
      <c r="J5" s="33"/>
      <c r="K5" s="27"/>
      <c r="L5" s="28"/>
      <c r="M5" s="29"/>
    </row>
    <row r="6" spans="1:30" ht="15" customHeight="1" x14ac:dyDescent="0.25">
      <c r="A6" s="34" t="s">
        <v>66</v>
      </c>
      <c r="B6" s="33"/>
      <c r="C6" s="33"/>
      <c r="D6" s="65"/>
      <c r="E6" s="33"/>
      <c r="F6" s="33"/>
      <c r="G6" s="35" t="s">
        <v>3</v>
      </c>
      <c r="H6" s="27"/>
      <c r="I6" s="65"/>
      <c r="J6" s="36" t="s">
        <v>4</v>
      </c>
      <c r="K6" s="56" t="s">
        <v>5</v>
      </c>
      <c r="L6" s="40" t="s">
        <v>6</v>
      </c>
      <c r="M6" s="36" t="s">
        <v>7</v>
      </c>
    </row>
    <row r="7" spans="1:30" ht="15" customHeight="1" thickBot="1" x14ac:dyDescent="0.3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12" t="s">
        <v>13</v>
      </c>
      <c r="H7" s="13" t="s">
        <v>14</v>
      </c>
      <c r="I7" s="70" t="s">
        <v>15</v>
      </c>
      <c r="J7" s="14" t="s">
        <v>16</v>
      </c>
      <c r="K7" s="57"/>
      <c r="L7" s="58" t="s">
        <v>17</v>
      </c>
      <c r="M7" s="14" t="s">
        <v>39</v>
      </c>
    </row>
    <row r="8" spans="1:30" s="1" customFormat="1" ht="15" customHeight="1" x14ac:dyDescent="0.25">
      <c r="A8" s="127" t="s">
        <v>85</v>
      </c>
      <c r="B8" s="116" t="s">
        <v>23</v>
      </c>
      <c r="C8" s="117" t="s">
        <v>343</v>
      </c>
      <c r="D8" s="118">
        <v>45363</v>
      </c>
      <c r="E8" s="119">
        <v>363</v>
      </c>
      <c r="F8" s="119">
        <v>72.59</v>
      </c>
      <c r="G8" s="120">
        <v>325.26</v>
      </c>
      <c r="H8" s="119">
        <v>34.85</v>
      </c>
      <c r="I8" s="121">
        <v>45432</v>
      </c>
      <c r="J8" s="50">
        <f t="shared" ref="J8:J16" si="0">+E8-F8</f>
        <v>290.40999999999997</v>
      </c>
      <c r="K8" s="47">
        <f t="shared" ref="K8:K16" si="1">+I8-D8</f>
        <v>69</v>
      </c>
      <c r="L8" s="48">
        <v>0.03</v>
      </c>
      <c r="M8" s="49">
        <f t="shared" ref="M8:M16" si="2">+J8*L8</f>
        <v>8.712299999999999</v>
      </c>
      <c r="N8" s="74"/>
      <c r="O8" s="78"/>
    </row>
    <row r="9" spans="1:30" s="49" customFormat="1" ht="15" customHeight="1" x14ac:dyDescent="0.25">
      <c r="A9" s="51" t="s">
        <v>74</v>
      </c>
      <c r="B9" s="116" t="s">
        <v>18</v>
      </c>
      <c r="C9" s="116" t="s">
        <v>344</v>
      </c>
      <c r="D9" s="122">
        <v>45364</v>
      </c>
      <c r="E9" s="123">
        <v>48.48</v>
      </c>
      <c r="F9" s="123">
        <v>7.27</v>
      </c>
      <c r="G9" s="124">
        <v>44.26</v>
      </c>
      <c r="H9" s="125">
        <v>4.95</v>
      </c>
      <c r="I9" s="126">
        <v>45440</v>
      </c>
      <c r="J9" s="50">
        <f t="shared" si="0"/>
        <v>41.209999999999994</v>
      </c>
      <c r="K9" s="47">
        <f t="shared" si="1"/>
        <v>76</v>
      </c>
      <c r="L9" s="48">
        <v>0.03</v>
      </c>
      <c r="M9" s="49">
        <f t="shared" si="2"/>
        <v>1.2362999999999997</v>
      </c>
      <c r="N9" s="74"/>
      <c r="O9" s="78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s="49" customFormat="1" ht="15" customHeight="1" x14ac:dyDescent="0.25">
      <c r="A10" s="147" t="s">
        <v>80</v>
      </c>
      <c r="B10" s="135" t="s">
        <v>18</v>
      </c>
      <c r="C10" s="146" t="s">
        <v>416</v>
      </c>
      <c r="D10" s="143">
        <v>45364</v>
      </c>
      <c r="E10" s="144">
        <v>108</v>
      </c>
      <c r="F10" s="144">
        <v>21.6</v>
      </c>
      <c r="G10" s="120">
        <v>92.8</v>
      </c>
      <c r="H10" s="144">
        <v>10.37</v>
      </c>
      <c r="I10" s="145">
        <v>45439</v>
      </c>
      <c r="J10" s="50">
        <f t="shared" ref="J10:J12" si="3">+E10-F10</f>
        <v>86.4</v>
      </c>
      <c r="K10" s="47">
        <f t="shared" ref="K10:K12" si="4">+I10-D10</f>
        <v>75</v>
      </c>
      <c r="L10" s="48">
        <v>0.03</v>
      </c>
      <c r="M10" s="49">
        <f t="shared" ref="M10:M12" si="5">+J10*L10</f>
        <v>2.5920000000000001</v>
      </c>
      <c r="N10" s="74"/>
      <c r="O10" s="7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s="49" customFormat="1" ht="15" customHeight="1" x14ac:dyDescent="0.25">
      <c r="A11" s="147" t="s">
        <v>80</v>
      </c>
      <c r="B11" s="135" t="s">
        <v>18</v>
      </c>
      <c r="C11" s="146" t="s">
        <v>417</v>
      </c>
      <c r="D11" s="143">
        <v>45366</v>
      </c>
      <c r="E11" s="144">
        <v>259.2</v>
      </c>
      <c r="F11" s="144">
        <v>51.84</v>
      </c>
      <c r="G11" s="120">
        <v>222.71</v>
      </c>
      <c r="H11" s="144">
        <v>24.88</v>
      </c>
      <c r="I11" s="145">
        <v>45439</v>
      </c>
      <c r="J11" s="50">
        <f t="shared" si="3"/>
        <v>207.35999999999999</v>
      </c>
      <c r="K11" s="47">
        <f t="shared" si="4"/>
        <v>73</v>
      </c>
      <c r="L11" s="48">
        <v>0.03</v>
      </c>
      <c r="M11" s="49">
        <f t="shared" si="5"/>
        <v>6.2207999999999997</v>
      </c>
      <c r="N11" s="74"/>
      <c r="O11" s="7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s="49" customFormat="1" ht="15" customHeight="1" x14ac:dyDescent="0.25">
      <c r="A12" s="147" t="s">
        <v>80</v>
      </c>
      <c r="B12" s="135" t="s">
        <v>18</v>
      </c>
      <c r="C12" s="146" t="s">
        <v>418</v>
      </c>
      <c r="D12" s="143">
        <v>45370</v>
      </c>
      <c r="E12" s="144">
        <v>648</v>
      </c>
      <c r="F12" s="144">
        <v>129.6</v>
      </c>
      <c r="G12" s="120">
        <v>556.7700000000001</v>
      </c>
      <c r="H12" s="144">
        <v>62.21</v>
      </c>
      <c r="I12" s="151">
        <v>45439</v>
      </c>
      <c r="J12" s="50">
        <f t="shared" si="3"/>
        <v>518.4</v>
      </c>
      <c r="K12" s="47">
        <f t="shared" si="4"/>
        <v>69</v>
      </c>
      <c r="L12" s="48">
        <v>0.03</v>
      </c>
      <c r="M12" s="49">
        <f t="shared" si="5"/>
        <v>15.552</v>
      </c>
      <c r="N12" s="74"/>
      <c r="O12" s="7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s="49" customFormat="1" ht="15" customHeight="1" x14ac:dyDescent="0.25">
      <c r="A13" s="51" t="s">
        <v>100</v>
      </c>
      <c r="B13" s="116" t="s">
        <v>75</v>
      </c>
      <c r="C13" s="116" t="s">
        <v>345</v>
      </c>
      <c r="D13" s="122">
        <v>45384</v>
      </c>
      <c r="E13" s="123">
        <v>249</v>
      </c>
      <c r="F13" s="123">
        <v>37.35</v>
      </c>
      <c r="G13" s="124">
        <v>243.4</v>
      </c>
      <c r="H13" s="125">
        <v>31.75</v>
      </c>
      <c r="I13" s="126">
        <v>45443</v>
      </c>
      <c r="J13" s="50">
        <f t="shared" si="0"/>
        <v>211.65</v>
      </c>
      <c r="K13" s="47">
        <f t="shared" si="1"/>
        <v>59</v>
      </c>
      <c r="L13" s="48">
        <v>0.03</v>
      </c>
      <c r="M13" s="49">
        <f t="shared" si="2"/>
        <v>6.3494999999999999</v>
      </c>
      <c r="N13" s="74"/>
      <c r="O13" s="7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s="1" customFormat="1" ht="15" customHeight="1" x14ac:dyDescent="0.25">
      <c r="A14" s="128" t="s">
        <v>74</v>
      </c>
      <c r="B14" s="116" t="s">
        <v>18</v>
      </c>
      <c r="C14" s="117" t="s">
        <v>346</v>
      </c>
      <c r="D14" s="118">
        <v>45385</v>
      </c>
      <c r="E14" s="119">
        <v>271.68</v>
      </c>
      <c r="F14" s="119">
        <v>40.76</v>
      </c>
      <c r="G14" s="120">
        <v>252.86</v>
      </c>
      <c r="H14" s="119">
        <v>34.64</v>
      </c>
      <c r="I14" s="121">
        <v>45440</v>
      </c>
      <c r="J14" s="50">
        <f t="shared" si="0"/>
        <v>230.92000000000002</v>
      </c>
      <c r="K14" s="47">
        <f t="shared" si="1"/>
        <v>55</v>
      </c>
      <c r="L14" s="48">
        <v>0.03</v>
      </c>
      <c r="M14" s="49">
        <f t="shared" si="2"/>
        <v>6.9276</v>
      </c>
      <c r="N14" s="74"/>
      <c r="O14" s="78"/>
    </row>
    <row r="15" spans="1:30" s="1" customFormat="1" ht="15" customHeight="1" x14ac:dyDescent="0.25">
      <c r="A15" s="128" t="s">
        <v>74</v>
      </c>
      <c r="B15" s="116" t="s">
        <v>18</v>
      </c>
      <c r="C15" s="117" t="s">
        <v>347</v>
      </c>
      <c r="D15" s="118">
        <v>45391</v>
      </c>
      <c r="E15" s="119">
        <v>366.84</v>
      </c>
      <c r="F15" s="119">
        <v>55.03</v>
      </c>
      <c r="G15" s="120">
        <v>341.43</v>
      </c>
      <c r="H15" s="119">
        <v>46.77</v>
      </c>
      <c r="I15" s="121">
        <v>45440</v>
      </c>
      <c r="J15" s="50">
        <f t="shared" si="0"/>
        <v>311.80999999999995</v>
      </c>
      <c r="K15" s="47">
        <f t="shared" si="1"/>
        <v>49</v>
      </c>
      <c r="L15" s="48">
        <v>0.03</v>
      </c>
      <c r="M15" s="49">
        <f t="shared" si="2"/>
        <v>9.3542999999999985</v>
      </c>
      <c r="N15" s="74"/>
      <c r="O15" s="78"/>
    </row>
    <row r="16" spans="1:30" s="49" customFormat="1" ht="15" customHeight="1" x14ac:dyDescent="0.25">
      <c r="A16" s="51" t="s">
        <v>80</v>
      </c>
      <c r="B16" s="116" t="s">
        <v>18</v>
      </c>
      <c r="C16" s="116" t="s">
        <v>348</v>
      </c>
      <c r="D16" s="122">
        <v>45397</v>
      </c>
      <c r="E16" s="123">
        <v>648</v>
      </c>
      <c r="F16" s="123">
        <v>129.6</v>
      </c>
      <c r="G16" s="124">
        <v>567.65</v>
      </c>
      <c r="H16" s="125">
        <v>77.760000000000005</v>
      </c>
      <c r="I16" s="126">
        <v>45439</v>
      </c>
      <c r="J16" s="50">
        <f t="shared" si="0"/>
        <v>518.4</v>
      </c>
      <c r="K16" s="47">
        <f t="shared" si="1"/>
        <v>42</v>
      </c>
      <c r="L16" s="48">
        <v>0.03</v>
      </c>
      <c r="M16" s="49">
        <f t="shared" si="2"/>
        <v>15.552</v>
      </c>
      <c r="N16" s="74"/>
      <c r="O16" s="7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s="1" customFormat="1" ht="15" customHeight="1" x14ac:dyDescent="0.25">
      <c r="A17" s="128" t="s">
        <v>80</v>
      </c>
      <c r="B17" s="116" t="s">
        <v>18</v>
      </c>
      <c r="C17" s="117" t="s">
        <v>349</v>
      </c>
      <c r="D17" s="118">
        <v>45399</v>
      </c>
      <c r="E17" s="119">
        <v>1458</v>
      </c>
      <c r="F17" s="119">
        <v>291.60000000000002</v>
      </c>
      <c r="G17" s="120">
        <v>1277.2099999999998</v>
      </c>
      <c r="H17" s="119">
        <v>174.96</v>
      </c>
      <c r="I17" s="121">
        <v>45439</v>
      </c>
      <c r="J17" s="50">
        <f t="shared" ref="J17:J19" si="6">+E17-F17</f>
        <v>1166.4000000000001</v>
      </c>
      <c r="K17" s="47">
        <f t="shared" ref="K17:K19" si="7">+I17-D17</f>
        <v>40</v>
      </c>
      <c r="L17" s="48">
        <v>0.03</v>
      </c>
      <c r="M17" s="49">
        <f t="shared" ref="M17:M19" si="8">+J17*L17</f>
        <v>34.992000000000004</v>
      </c>
      <c r="N17" s="74"/>
      <c r="O17" s="78"/>
    </row>
    <row r="18" spans="1:30" s="1" customFormat="1" ht="15" customHeight="1" x14ac:dyDescent="0.25">
      <c r="A18" s="147" t="s">
        <v>74</v>
      </c>
      <c r="B18" s="136" t="s">
        <v>18</v>
      </c>
      <c r="C18" s="146" t="s">
        <v>415</v>
      </c>
      <c r="D18" s="143">
        <v>45399</v>
      </c>
      <c r="E18" s="144">
        <v>70.56</v>
      </c>
      <c r="F18" s="144">
        <v>10.58</v>
      </c>
      <c r="G18" s="120">
        <f>68.98-0.6-2.7</f>
        <v>65.680000000000007</v>
      </c>
      <c r="H18" s="144">
        <v>9</v>
      </c>
      <c r="I18" s="150">
        <v>45443</v>
      </c>
      <c r="J18" s="50">
        <f t="shared" ref="J18" si="9">+E18-F18</f>
        <v>59.980000000000004</v>
      </c>
      <c r="K18" s="47">
        <f t="shared" ref="K18" si="10">+I18-D18</f>
        <v>44</v>
      </c>
      <c r="L18" s="48">
        <v>0.03</v>
      </c>
      <c r="M18" s="49">
        <f t="shared" ref="M18" si="11">+J18*L18</f>
        <v>1.7994000000000001</v>
      </c>
      <c r="N18" s="74"/>
      <c r="O18" s="78"/>
    </row>
    <row r="19" spans="1:30" s="49" customFormat="1" ht="15" customHeight="1" x14ac:dyDescent="0.25">
      <c r="A19" s="51" t="s">
        <v>125</v>
      </c>
      <c r="B19" s="116" t="s">
        <v>18</v>
      </c>
      <c r="C19" s="116" t="s">
        <v>395</v>
      </c>
      <c r="D19" s="122">
        <v>45442</v>
      </c>
      <c r="E19" s="123">
        <v>118.8</v>
      </c>
      <c r="F19" s="123">
        <v>0</v>
      </c>
      <c r="G19" s="124">
        <v>130.08000000000001</v>
      </c>
      <c r="H19" s="125">
        <v>17.82</v>
      </c>
      <c r="I19" s="126">
        <v>45443</v>
      </c>
      <c r="J19" s="50">
        <f t="shared" si="6"/>
        <v>118.8</v>
      </c>
      <c r="K19" s="47">
        <f t="shared" si="7"/>
        <v>1</v>
      </c>
      <c r="L19" s="48">
        <v>0.04</v>
      </c>
      <c r="M19" s="49">
        <f t="shared" si="8"/>
        <v>4.7519999999999998</v>
      </c>
      <c r="N19" s="74"/>
      <c r="O19" s="78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s="52" customFormat="1" ht="15" customHeight="1" x14ac:dyDescent="0.25">
      <c r="A20" s="333"/>
      <c r="B20" s="333"/>
      <c r="C20" s="333"/>
      <c r="D20" s="333"/>
      <c r="E20" s="333"/>
      <c r="F20" s="333"/>
      <c r="G20" s="75">
        <f>SUM(G8:G19)</f>
        <v>4120.1100000000006</v>
      </c>
      <c r="H20" s="80"/>
      <c r="I20" s="81"/>
      <c r="J20" s="75">
        <f>SUM(J8:J19)</f>
        <v>3761.7400000000002</v>
      </c>
      <c r="K20" s="82"/>
      <c r="L20" s="82"/>
      <c r="M20" s="75">
        <f>SUM(M8:M19)</f>
        <v>114.04020000000001</v>
      </c>
      <c r="N20" s="60"/>
    </row>
    <row r="21" spans="1:30" s="52" customFormat="1" ht="15" customHeight="1" x14ac:dyDescent="0.25">
      <c r="A21" s="76"/>
      <c r="B21" s="76"/>
      <c r="C21" s="76"/>
      <c r="D21" s="77"/>
      <c r="E21" s="76"/>
      <c r="F21" s="76"/>
      <c r="G21" s="78"/>
      <c r="I21" s="79"/>
      <c r="N21" s="60"/>
    </row>
    <row r="22" spans="1:30" s="52" customFormat="1" ht="15" customHeight="1" x14ac:dyDescent="0.25">
      <c r="A22" s="76"/>
      <c r="B22" s="76"/>
      <c r="C22" s="76"/>
      <c r="D22" s="77"/>
      <c r="E22" s="76"/>
      <c r="F22" s="76"/>
      <c r="G22" s="78"/>
      <c r="I22" s="79"/>
      <c r="J22" s="78"/>
      <c r="M22" s="78"/>
      <c r="N22" s="60"/>
    </row>
    <row r="23" spans="1:30" s="52" customFormat="1" ht="15" customHeight="1" x14ac:dyDescent="0.25">
      <c r="A23" s="52" t="s">
        <v>19</v>
      </c>
      <c r="B23" s="52" t="s">
        <v>20</v>
      </c>
      <c r="C23" s="76" t="s">
        <v>21</v>
      </c>
      <c r="D23" s="79"/>
      <c r="G23" s="78"/>
      <c r="I23" s="79"/>
      <c r="N23" s="60"/>
    </row>
    <row r="24" spans="1:30" s="1" customFormat="1" ht="15" customHeight="1" x14ac:dyDescent="0.25">
      <c r="A24" s="129" t="s">
        <v>35</v>
      </c>
      <c r="B24" s="102" t="s">
        <v>413</v>
      </c>
      <c r="C24" s="131" t="s">
        <v>350</v>
      </c>
      <c r="D24" s="132">
        <v>45363</v>
      </c>
      <c r="E24" s="133">
        <v>234</v>
      </c>
      <c r="F24" s="133">
        <v>35.1</v>
      </c>
      <c r="G24" s="50">
        <v>222.77</v>
      </c>
      <c r="H24" s="133">
        <v>23.87</v>
      </c>
      <c r="I24" s="132">
        <v>45448</v>
      </c>
      <c r="J24" s="50">
        <f t="shared" ref="J24:J27" si="12">+E24-F24</f>
        <v>198.9</v>
      </c>
      <c r="K24" s="47">
        <f t="shared" ref="K24:K27" si="13">+I24-D24</f>
        <v>85</v>
      </c>
      <c r="L24" s="48">
        <v>0.03</v>
      </c>
      <c r="M24" s="49">
        <f t="shared" ref="M24:M27" si="14">+J24*L24</f>
        <v>5.9669999999999996</v>
      </c>
      <c r="N24" s="74"/>
      <c r="O24" s="78"/>
    </row>
    <row r="25" spans="1:30" s="1" customFormat="1" ht="15" customHeight="1" x14ac:dyDescent="0.25">
      <c r="A25" s="129" t="s">
        <v>52</v>
      </c>
      <c r="B25" s="102" t="s">
        <v>414</v>
      </c>
      <c r="C25" s="131" t="s">
        <v>351</v>
      </c>
      <c r="D25" s="132">
        <v>45419</v>
      </c>
      <c r="E25" s="133">
        <v>324</v>
      </c>
      <c r="F25" s="133">
        <v>81</v>
      </c>
      <c r="G25" s="50">
        <v>266.08</v>
      </c>
      <c r="H25" s="133">
        <v>36.450000000000003</v>
      </c>
      <c r="I25" s="121">
        <v>45493</v>
      </c>
      <c r="J25" s="50">
        <f t="shared" ref="J25" si="15">+E25-F25</f>
        <v>243</v>
      </c>
      <c r="K25" s="47">
        <f t="shared" ref="K25" si="16">+I25-D25</f>
        <v>74</v>
      </c>
      <c r="L25" s="48">
        <v>0.03</v>
      </c>
      <c r="M25" s="49">
        <f t="shared" ref="M25" si="17">+J25*L25</f>
        <v>7.29</v>
      </c>
      <c r="N25" s="74"/>
      <c r="O25" s="78"/>
    </row>
    <row r="26" spans="1:30" s="1" customFormat="1" ht="15" customHeight="1" x14ac:dyDescent="0.25">
      <c r="A26" s="129" t="s">
        <v>52</v>
      </c>
      <c r="B26" s="102" t="s">
        <v>414</v>
      </c>
      <c r="C26" s="131" t="s">
        <v>352</v>
      </c>
      <c r="D26" s="132">
        <v>45425</v>
      </c>
      <c r="E26" s="133">
        <v>250.8</v>
      </c>
      <c r="F26" s="133">
        <v>62.7</v>
      </c>
      <c r="G26" s="50">
        <v>205.97</v>
      </c>
      <c r="H26" s="133">
        <v>28.22</v>
      </c>
      <c r="I26" s="121">
        <v>45493</v>
      </c>
      <c r="J26" s="50">
        <f t="shared" si="12"/>
        <v>188.10000000000002</v>
      </c>
      <c r="K26" s="47">
        <f t="shared" si="13"/>
        <v>68</v>
      </c>
      <c r="L26" s="48">
        <v>0.03</v>
      </c>
      <c r="M26" s="49">
        <f t="shared" si="14"/>
        <v>5.6430000000000007</v>
      </c>
      <c r="N26" s="74"/>
      <c r="O26" s="78"/>
    </row>
    <row r="27" spans="1:30" s="1" customFormat="1" ht="15" customHeight="1" thickBot="1" x14ac:dyDescent="0.3">
      <c r="A27" s="129" t="s">
        <v>35</v>
      </c>
      <c r="B27" s="102" t="s">
        <v>413</v>
      </c>
      <c r="C27" s="131" t="s">
        <v>353</v>
      </c>
      <c r="D27" s="132">
        <v>45432</v>
      </c>
      <c r="E27" s="133">
        <v>117</v>
      </c>
      <c r="F27" s="133">
        <v>17.55</v>
      </c>
      <c r="G27" s="50">
        <v>114.37</v>
      </c>
      <c r="H27" s="133">
        <v>14.92</v>
      </c>
      <c r="I27" s="121">
        <v>45448</v>
      </c>
      <c r="J27" s="50">
        <f t="shared" si="12"/>
        <v>99.45</v>
      </c>
      <c r="K27" s="47">
        <f t="shared" si="13"/>
        <v>16</v>
      </c>
      <c r="L27" s="48">
        <v>0.03</v>
      </c>
      <c r="M27" s="49">
        <f t="shared" si="14"/>
        <v>2.9834999999999998</v>
      </c>
      <c r="N27" s="74"/>
      <c r="O27" s="78"/>
    </row>
    <row r="28" spans="1:30" ht="15" customHeight="1" thickBot="1" x14ac:dyDescent="0.35">
      <c r="A28" s="332" t="s">
        <v>29</v>
      </c>
      <c r="B28" s="332"/>
      <c r="C28" s="332"/>
      <c r="D28" s="332"/>
      <c r="E28" s="332"/>
      <c r="F28" s="332"/>
      <c r="G28" s="37">
        <f>SUM(G20:G27)</f>
        <v>4929.3000000000011</v>
      </c>
      <c r="J28" s="37">
        <f>SUM(J20:J27)</f>
        <v>4491.1900000000005</v>
      </c>
      <c r="L28" s="20"/>
      <c r="M28" s="38">
        <f>SUM(M20:M27)</f>
        <v>135.9237</v>
      </c>
    </row>
    <row r="29" spans="1:30" ht="15" customHeight="1" x14ac:dyDescent="0.25">
      <c r="A29" s="19"/>
      <c r="B29" s="19"/>
      <c r="C29" s="19"/>
      <c r="D29" s="67"/>
      <c r="E29" s="19"/>
      <c r="F29" s="19"/>
      <c r="G29" s="8"/>
      <c r="J29" s="8"/>
      <c r="M29" s="8"/>
    </row>
    <row r="30" spans="1:30" ht="15" customHeight="1" x14ac:dyDescent="0.3">
      <c r="A30" s="39"/>
      <c r="B30" s="19"/>
      <c r="C30" s="19"/>
      <c r="D30" s="67"/>
      <c r="E30" s="19"/>
      <c r="F30" s="19"/>
      <c r="G30" s="8"/>
      <c r="J30" s="8"/>
      <c r="M30" s="8"/>
    </row>
    <row r="31" spans="1:30" ht="15" customHeight="1" x14ac:dyDescent="0.25">
      <c r="A31" s="19"/>
      <c r="B31" s="19"/>
      <c r="C31" s="19"/>
      <c r="D31" s="67"/>
      <c r="E31" s="19"/>
      <c r="F31" s="19"/>
      <c r="G31" s="8"/>
      <c r="I31" s="73"/>
    </row>
    <row r="32" spans="1:30" ht="15" customHeight="1" x14ac:dyDescent="0.25">
      <c r="A32" s="331" t="s">
        <v>112</v>
      </c>
      <c r="B32" s="331"/>
      <c r="C32" s="331"/>
      <c r="D32" s="331"/>
      <c r="E32" s="331"/>
      <c r="F32" s="331"/>
      <c r="G32" s="24"/>
      <c r="H32" s="24"/>
      <c r="I32" s="65"/>
      <c r="J32" s="26"/>
      <c r="K32" s="27"/>
      <c r="L32" s="28"/>
      <c r="M32" s="29"/>
    </row>
    <row r="33" spans="1:15" ht="15" customHeight="1" x14ac:dyDescent="0.25">
      <c r="A33" s="331" t="s">
        <v>1</v>
      </c>
      <c r="B33" s="331"/>
      <c r="C33" s="331"/>
      <c r="D33" s="331"/>
      <c r="E33" s="331"/>
      <c r="F33" s="331"/>
      <c r="G33" s="24"/>
      <c r="H33" s="25"/>
      <c r="I33" s="65"/>
      <c r="J33" s="27"/>
      <c r="K33" s="27"/>
      <c r="L33" s="28"/>
      <c r="M33" s="29"/>
    </row>
    <row r="34" spans="1:15" ht="15" customHeight="1" x14ac:dyDescent="0.25">
      <c r="A34" s="30"/>
      <c r="B34" s="31" t="s">
        <v>412</v>
      </c>
      <c r="C34" s="30"/>
      <c r="D34" s="64"/>
      <c r="E34" s="30"/>
      <c r="F34" s="30"/>
      <c r="G34" s="24"/>
      <c r="H34" s="25"/>
      <c r="I34" s="65"/>
      <c r="J34" s="27"/>
      <c r="K34" s="27"/>
      <c r="L34" s="28"/>
      <c r="M34" s="29"/>
    </row>
    <row r="35" spans="1:15" ht="15" customHeight="1" thickBot="1" x14ac:dyDescent="0.3">
      <c r="A35" s="30"/>
      <c r="B35" s="31" t="s">
        <v>22</v>
      </c>
      <c r="C35" s="30"/>
      <c r="D35" s="64"/>
      <c r="E35" s="30"/>
      <c r="F35" s="30"/>
      <c r="G35" s="32"/>
      <c r="H35" s="24"/>
      <c r="I35" s="69"/>
      <c r="J35" s="33"/>
      <c r="K35" s="27"/>
      <c r="L35" s="28"/>
      <c r="M35" s="29"/>
    </row>
    <row r="36" spans="1:15" ht="15" customHeight="1" x14ac:dyDescent="0.25">
      <c r="A36" s="34"/>
      <c r="B36" s="33"/>
      <c r="C36" s="33"/>
      <c r="D36" s="65"/>
      <c r="E36" s="33"/>
      <c r="F36" s="33"/>
      <c r="G36" s="35" t="s">
        <v>3</v>
      </c>
      <c r="H36" s="27"/>
      <c r="I36" s="65"/>
      <c r="J36" s="36" t="s">
        <v>4</v>
      </c>
      <c r="K36" s="56" t="s">
        <v>5</v>
      </c>
      <c r="L36" s="40" t="s">
        <v>6</v>
      </c>
      <c r="M36" s="36" t="s">
        <v>7</v>
      </c>
    </row>
    <row r="37" spans="1:15" ht="15" customHeight="1" x14ac:dyDescent="0.25">
      <c r="A37" s="11" t="s">
        <v>8</v>
      </c>
      <c r="B37" s="11" t="s">
        <v>9</v>
      </c>
      <c r="C37" s="11" t="s">
        <v>10</v>
      </c>
      <c r="D37" s="66" t="s">
        <v>11</v>
      </c>
      <c r="E37" s="11" t="s">
        <v>12</v>
      </c>
      <c r="F37" s="54" t="s">
        <v>50</v>
      </c>
      <c r="G37" s="62" t="s">
        <v>13</v>
      </c>
      <c r="H37" s="13" t="s">
        <v>14</v>
      </c>
      <c r="I37" s="70" t="s">
        <v>15</v>
      </c>
      <c r="J37" s="14" t="s">
        <v>16</v>
      </c>
      <c r="K37" s="57"/>
      <c r="L37" s="58" t="s">
        <v>17</v>
      </c>
      <c r="M37" s="14" t="s">
        <v>39</v>
      </c>
    </row>
    <row r="38" spans="1:15" ht="15" customHeight="1" x14ac:dyDescent="0.25">
      <c r="A38" s="115" t="s">
        <v>76</v>
      </c>
      <c r="B38" s="116" t="s">
        <v>18</v>
      </c>
      <c r="C38" s="117" t="s">
        <v>354</v>
      </c>
      <c r="D38" s="118">
        <v>45308</v>
      </c>
      <c r="E38" s="119">
        <v>93.6</v>
      </c>
      <c r="F38" s="119">
        <v>14.04</v>
      </c>
      <c r="G38" s="120">
        <v>85.44</v>
      </c>
      <c r="H38" s="119">
        <v>9.5500000000000007</v>
      </c>
      <c r="I38" s="134">
        <v>45433</v>
      </c>
      <c r="J38" s="50">
        <f t="shared" ref="J38:J51" si="18">+E38-F38</f>
        <v>79.56</v>
      </c>
      <c r="K38" s="47">
        <f t="shared" ref="K38:K75" si="19">+I38-D38</f>
        <v>125</v>
      </c>
      <c r="L38" s="5">
        <v>0.03</v>
      </c>
      <c r="M38" s="6">
        <f t="shared" ref="M38:M75" si="20">+J38*L38</f>
        <v>2.3868</v>
      </c>
      <c r="O38" s="78"/>
    </row>
    <row r="39" spans="1:15" ht="15" customHeight="1" x14ac:dyDescent="0.25">
      <c r="A39" s="115" t="s">
        <v>76</v>
      </c>
      <c r="B39" s="116" t="s">
        <v>18</v>
      </c>
      <c r="C39" s="117" t="s">
        <v>355</v>
      </c>
      <c r="D39" s="118">
        <v>45308</v>
      </c>
      <c r="E39" s="119">
        <v>10.8</v>
      </c>
      <c r="F39" s="119">
        <v>1.62</v>
      </c>
      <c r="G39" s="120">
        <v>9.86</v>
      </c>
      <c r="H39" s="119">
        <v>1.1000000000000001</v>
      </c>
      <c r="I39" s="134">
        <v>45433</v>
      </c>
      <c r="J39" s="50">
        <f t="shared" si="18"/>
        <v>9.18</v>
      </c>
      <c r="K39" s="47">
        <f t="shared" si="19"/>
        <v>125</v>
      </c>
      <c r="L39" s="5">
        <v>0.03</v>
      </c>
      <c r="M39" s="6">
        <f t="shared" si="20"/>
        <v>0.27539999999999998</v>
      </c>
      <c r="O39" s="78"/>
    </row>
    <row r="40" spans="1:15" ht="15" customHeight="1" x14ac:dyDescent="0.25">
      <c r="A40" s="115" t="s">
        <v>89</v>
      </c>
      <c r="B40" s="135" t="s">
        <v>18</v>
      </c>
      <c r="C40" s="117" t="s">
        <v>356</v>
      </c>
      <c r="D40" s="118">
        <v>45309</v>
      </c>
      <c r="E40" s="119">
        <v>544.67999999999995</v>
      </c>
      <c r="F40" s="119">
        <v>108.94</v>
      </c>
      <c r="G40" s="120">
        <v>467.97999999999996</v>
      </c>
      <c r="H40" s="119">
        <v>52.29</v>
      </c>
      <c r="I40" s="134">
        <v>45426</v>
      </c>
      <c r="J40" s="50">
        <f t="shared" si="18"/>
        <v>435.73999999999995</v>
      </c>
      <c r="K40" s="47">
        <f t="shared" si="19"/>
        <v>117</v>
      </c>
      <c r="L40" s="5">
        <v>0.03</v>
      </c>
      <c r="M40" s="6">
        <f t="shared" si="20"/>
        <v>13.072199999999999</v>
      </c>
      <c r="O40" s="78"/>
    </row>
    <row r="41" spans="1:15" ht="15" customHeight="1" x14ac:dyDescent="0.25">
      <c r="A41" s="115" t="s">
        <v>76</v>
      </c>
      <c r="B41" s="135" t="s">
        <v>18</v>
      </c>
      <c r="C41" s="117" t="s">
        <v>357</v>
      </c>
      <c r="D41" s="118">
        <v>45314</v>
      </c>
      <c r="E41" s="119">
        <v>117</v>
      </c>
      <c r="F41" s="119">
        <v>17.55</v>
      </c>
      <c r="G41" s="120">
        <v>106.81</v>
      </c>
      <c r="H41" s="119">
        <v>11.93</v>
      </c>
      <c r="I41" s="134">
        <v>45433</v>
      </c>
      <c r="J41" s="50">
        <f t="shared" si="18"/>
        <v>99.45</v>
      </c>
      <c r="K41" s="47">
        <f t="shared" si="19"/>
        <v>119</v>
      </c>
      <c r="L41" s="5">
        <v>0.03</v>
      </c>
      <c r="M41" s="6">
        <f t="shared" si="20"/>
        <v>2.9834999999999998</v>
      </c>
      <c r="O41" s="78"/>
    </row>
    <row r="42" spans="1:15" ht="15" customHeight="1" x14ac:dyDescent="0.25">
      <c r="A42" s="115" t="s">
        <v>90</v>
      </c>
      <c r="B42" s="135" t="s">
        <v>18</v>
      </c>
      <c r="C42" s="117" t="s">
        <v>358</v>
      </c>
      <c r="D42" s="118">
        <v>45316</v>
      </c>
      <c r="E42" s="119">
        <v>93.84</v>
      </c>
      <c r="F42" s="119">
        <v>14.07</v>
      </c>
      <c r="G42" s="120">
        <v>85.67</v>
      </c>
      <c r="H42" s="119">
        <v>9.57</v>
      </c>
      <c r="I42" s="121">
        <v>45420</v>
      </c>
      <c r="J42" s="50">
        <f t="shared" si="18"/>
        <v>79.77000000000001</v>
      </c>
      <c r="K42" s="47">
        <f t="shared" si="19"/>
        <v>104</v>
      </c>
      <c r="L42" s="5">
        <v>0.03</v>
      </c>
      <c r="M42" s="6">
        <f t="shared" si="20"/>
        <v>2.3931</v>
      </c>
      <c r="O42" s="78"/>
    </row>
    <row r="43" spans="1:15" ht="15" customHeight="1" x14ac:dyDescent="0.25">
      <c r="A43" s="115" t="s">
        <v>105</v>
      </c>
      <c r="B43" s="135" t="s">
        <v>108</v>
      </c>
      <c r="C43" s="117" t="s">
        <v>359</v>
      </c>
      <c r="D43" s="118">
        <v>45320</v>
      </c>
      <c r="E43" s="119">
        <v>109.68</v>
      </c>
      <c r="F43" s="119">
        <v>16.45</v>
      </c>
      <c r="G43" s="120">
        <v>104.42</v>
      </c>
      <c r="H43" s="119">
        <v>11.19</v>
      </c>
      <c r="I43" s="121">
        <v>45433</v>
      </c>
      <c r="J43" s="50">
        <f t="shared" si="18"/>
        <v>93.23</v>
      </c>
      <c r="K43" s="47">
        <f t="shared" si="19"/>
        <v>113</v>
      </c>
      <c r="L43" s="5">
        <v>0.03</v>
      </c>
      <c r="M43" s="6">
        <f t="shared" si="20"/>
        <v>2.7968999999999999</v>
      </c>
      <c r="O43" s="78"/>
    </row>
    <row r="44" spans="1:15" ht="15" customHeight="1" x14ac:dyDescent="0.25">
      <c r="A44" s="115" t="s">
        <v>76</v>
      </c>
      <c r="B44" s="135" t="s">
        <v>18</v>
      </c>
      <c r="C44" s="117" t="s">
        <v>360</v>
      </c>
      <c r="D44" s="118">
        <v>45323</v>
      </c>
      <c r="E44" s="119">
        <v>23.4</v>
      </c>
      <c r="F44" s="119">
        <v>3.51</v>
      </c>
      <c r="G44" s="120">
        <v>21.360000000000003</v>
      </c>
      <c r="H44" s="119">
        <v>2.39</v>
      </c>
      <c r="I44" s="121">
        <v>45433</v>
      </c>
      <c r="J44" s="50">
        <f t="shared" si="18"/>
        <v>19.89</v>
      </c>
      <c r="K44" s="47">
        <f t="shared" si="19"/>
        <v>110</v>
      </c>
      <c r="L44" s="5">
        <v>0.03</v>
      </c>
      <c r="M44" s="6">
        <f t="shared" si="20"/>
        <v>0.59670000000000001</v>
      </c>
      <c r="O44" s="78"/>
    </row>
    <row r="45" spans="1:15" ht="15" customHeight="1" x14ac:dyDescent="0.25">
      <c r="A45" s="115" t="s">
        <v>76</v>
      </c>
      <c r="B45" s="135" t="s">
        <v>18</v>
      </c>
      <c r="C45" s="117" t="s">
        <v>361</v>
      </c>
      <c r="D45" s="118">
        <v>45329</v>
      </c>
      <c r="E45" s="119">
        <v>23.4</v>
      </c>
      <c r="F45" s="119">
        <v>3.51</v>
      </c>
      <c r="G45" s="120">
        <v>21.360000000000003</v>
      </c>
      <c r="H45" s="119">
        <v>2.39</v>
      </c>
      <c r="I45" s="121">
        <v>45433</v>
      </c>
      <c r="J45" s="50">
        <f t="shared" si="18"/>
        <v>19.89</v>
      </c>
      <c r="K45" s="47">
        <f t="shared" si="19"/>
        <v>104</v>
      </c>
      <c r="L45" s="5">
        <v>0.03</v>
      </c>
      <c r="M45" s="6">
        <f t="shared" si="20"/>
        <v>0.59670000000000001</v>
      </c>
      <c r="O45" s="78"/>
    </row>
    <row r="46" spans="1:15" ht="15" customHeight="1" x14ac:dyDescent="0.25">
      <c r="A46" s="115" t="s">
        <v>76</v>
      </c>
      <c r="B46" s="135" t="s">
        <v>18</v>
      </c>
      <c r="C46" s="117" t="s">
        <v>362</v>
      </c>
      <c r="D46" s="118">
        <v>45343</v>
      </c>
      <c r="E46" s="119">
        <v>32.4</v>
      </c>
      <c r="F46" s="119">
        <v>4.8600000000000003</v>
      </c>
      <c r="G46" s="120">
        <v>29.57</v>
      </c>
      <c r="H46" s="119">
        <v>3.3</v>
      </c>
      <c r="I46" s="121">
        <v>45433</v>
      </c>
      <c r="J46" s="50">
        <f t="shared" si="18"/>
        <v>27.54</v>
      </c>
      <c r="K46" s="47">
        <f t="shared" si="19"/>
        <v>90</v>
      </c>
      <c r="L46" s="5">
        <v>0.03</v>
      </c>
      <c r="M46" s="6">
        <f t="shared" si="20"/>
        <v>0.82619999999999993</v>
      </c>
      <c r="O46" s="78"/>
    </row>
    <row r="47" spans="1:15" ht="15" customHeight="1" x14ac:dyDescent="0.25">
      <c r="A47" s="115" t="s">
        <v>76</v>
      </c>
      <c r="B47" s="135" t="s">
        <v>18</v>
      </c>
      <c r="C47" s="117" t="s">
        <v>363</v>
      </c>
      <c r="D47" s="118">
        <v>45343</v>
      </c>
      <c r="E47" s="119">
        <v>117</v>
      </c>
      <c r="F47" s="119">
        <v>17.55</v>
      </c>
      <c r="G47" s="120">
        <v>106.81</v>
      </c>
      <c r="H47" s="119">
        <v>11.93</v>
      </c>
      <c r="I47" s="134">
        <v>45433</v>
      </c>
      <c r="J47" s="50">
        <f t="shared" si="18"/>
        <v>99.45</v>
      </c>
      <c r="K47" s="47">
        <f t="shared" si="19"/>
        <v>90</v>
      </c>
      <c r="L47" s="5">
        <v>0.03</v>
      </c>
      <c r="M47" s="6">
        <f t="shared" si="20"/>
        <v>2.9834999999999998</v>
      </c>
      <c r="O47" s="78"/>
    </row>
    <row r="48" spans="1:15" ht="15" customHeight="1" x14ac:dyDescent="0.25">
      <c r="A48" s="115" t="s">
        <v>76</v>
      </c>
      <c r="B48" s="135" t="s">
        <v>18</v>
      </c>
      <c r="C48" s="117" t="s">
        <v>364</v>
      </c>
      <c r="D48" s="118">
        <v>45352</v>
      </c>
      <c r="E48" s="119">
        <v>23.4</v>
      </c>
      <c r="F48" s="119">
        <v>3.51</v>
      </c>
      <c r="G48" s="120">
        <v>21.360000000000003</v>
      </c>
      <c r="H48" s="119">
        <v>2.39</v>
      </c>
      <c r="I48" s="134">
        <v>45433</v>
      </c>
      <c r="J48" s="50">
        <f t="shared" si="18"/>
        <v>19.89</v>
      </c>
      <c r="K48" s="47">
        <f t="shared" si="19"/>
        <v>81</v>
      </c>
      <c r="L48" s="5">
        <v>0.03</v>
      </c>
      <c r="M48" s="6">
        <f t="shared" si="20"/>
        <v>0.59670000000000001</v>
      </c>
      <c r="O48" s="78"/>
    </row>
    <row r="49" spans="1:30" ht="15" customHeight="1" x14ac:dyDescent="0.25">
      <c r="A49" s="115" t="s">
        <v>76</v>
      </c>
      <c r="B49" s="135" t="s">
        <v>18</v>
      </c>
      <c r="C49" s="117" t="s">
        <v>365</v>
      </c>
      <c r="D49" s="118">
        <v>45359</v>
      </c>
      <c r="E49" s="119">
        <v>10.8</v>
      </c>
      <c r="F49" s="119">
        <v>1.62</v>
      </c>
      <c r="G49" s="120">
        <v>9.86</v>
      </c>
      <c r="H49" s="119">
        <v>1.1000000000000001</v>
      </c>
      <c r="I49" s="134">
        <v>45433</v>
      </c>
      <c r="J49" s="50">
        <f t="shared" si="18"/>
        <v>9.18</v>
      </c>
      <c r="K49" s="47">
        <f t="shared" si="19"/>
        <v>74</v>
      </c>
      <c r="L49" s="5">
        <v>0.03</v>
      </c>
      <c r="M49" s="6">
        <f t="shared" si="20"/>
        <v>0.27539999999999998</v>
      </c>
      <c r="O49" s="78"/>
    </row>
    <row r="50" spans="1:30" ht="15" customHeight="1" x14ac:dyDescent="0.25">
      <c r="A50" s="115" t="s">
        <v>76</v>
      </c>
      <c r="B50" s="135" t="s">
        <v>18</v>
      </c>
      <c r="C50" s="117" t="s">
        <v>366</v>
      </c>
      <c r="D50" s="118">
        <v>45364</v>
      </c>
      <c r="E50" s="119">
        <v>203.76</v>
      </c>
      <c r="F50" s="119">
        <v>30.56</v>
      </c>
      <c r="G50" s="120">
        <v>186.02</v>
      </c>
      <c r="H50" s="119">
        <v>20.78</v>
      </c>
      <c r="I50" s="134">
        <v>45433</v>
      </c>
      <c r="J50" s="50">
        <f t="shared" si="18"/>
        <v>173.2</v>
      </c>
      <c r="K50" s="47">
        <f t="shared" si="19"/>
        <v>69</v>
      </c>
      <c r="L50" s="5">
        <v>0.03</v>
      </c>
      <c r="M50" s="6">
        <f t="shared" si="20"/>
        <v>5.1959999999999997</v>
      </c>
      <c r="O50" s="78"/>
    </row>
    <row r="51" spans="1:30" ht="15" customHeight="1" x14ac:dyDescent="0.25">
      <c r="A51" s="115" t="s">
        <v>76</v>
      </c>
      <c r="B51" s="135" t="s">
        <v>18</v>
      </c>
      <c r="C51" s="117" t="s">
        <v>367</v>
      </c>
      <c r="D51" s="118">
        <v>45364</v>
      </c>
      <c r="E51" s="119">
        <v>21.6</v>
      </c>
      <c r="F51" s="119">
        <v>3.24</v>
      </c>
      <c r="G51" s="120">
        <v>19.72</v>
      </c>
      <c r="H51" s="119">
        <v>2.2000000000000002</v>
      </c>
      <c r="I51" s="134">
        <v>45433</v>
      </c>
      <c r="J51" s="50">
        <f t="shared" si="18"/>
        <v>18.36</v>
      </c>
      <c r="K51" s="47">
        <f t="shared" si="19"/>
        <v>69</v>
      </c>
      <c r="L51" s="5">
        <v>0.03</v>
      </c>
      <c r="M51" s="6">
        <f t="shared" si="20"/>
        <v>0.55079999999999996</v>
      </c>
      <c r="O51" s="78"/>
    </row>
    <row r="52" spans="1:30" ht="15" customHeight="1" x14ac:dyDescent="0.25">
      <c r="A52" s="115" t="s">
        <v>62</v>
      </c>
      <c r="B52" s="136" t="s">
        <v>26</v>
      </c>
      <c r="C52" s="117" t="s">
        <v>370</v>
      </c>
      <c r="D52" s="118">
        <v>45366</v>
      </c>
      <c r="E52" s="119">
        <v>261.36</v>
      </c>
      <c r="F52" s="119">
        <v>39.21</v>
      </c>
      <c r="G52" s="120">
        <v>150</v>
      </c>
      <c r="H52" s="119">
        <v>26.66</v>
      </c>
      <c r="I52" s="134">
        <v>45425</v>
      </c>
      <c r="J52" s="50">
        <f>G52/1.12</f>
        <v>133.92857142857142</v>
      </c>
      <c r="K52" s="47">
        <f t="shared" si="19"/>
        <v>59</v>
      </c>
      <c r="L52" s="5">
        <v>0.03</v>
      </c>
      <c r="M52" s="6">
        <f t="shared" si="20"/>
        <v>4.0178571428571423</v>
      </c>
      <c r="N52" s="60"/>
      <c r="O52" s="78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</row>
    <row r="53" spans="1:30" ht="15" customHeight="1" x14ac:dyDescent="0.25">
      <c r="A53" s="115" t="s">
        <v>81</v>
      </c>
      <c r="B53" s="136" t="s">
        <v>26</v>
      </c>
      <c r="C53" s="117" t="s">
        <v>368</v>
      </c>
      <c r="D53" s="118">
        <v>45366</v>
      </c>
      <c r="E53" s="119">
        <v>154.44</v>
      </c>
      <c r="F53" s="119">
        <v>23.17</v>
      </c>
      <c r="G53" s="120">
        <v>147.02000000000001</v>
      </c>
      <c r="H53" s="119">
        <v>15.75</v>
      </c>
      <c r="I53" s="118">
        <v>45434</v>
      </c>
      <c r="J53" s="50">
        <f>+E53-F53</f>
        <v>131.26999999999998</v>
      </c>
      <c r="K53" s="47">
        <f t="shared" si="19"/>
        <v>68</v>
      </c>
      <c r="L53" s="5">
        <v>0.03</v>
      </c>
      <c r="M53" s="6">
        <f t="shared" si="20"/>
        <v>3.9380999999999995</v>
      </c>
      <c r="O53" s="78"/>
    </row>
    <row r="54" spans="1:30" ht="15" customHeight="1" x14ac:dyDescent="0.25">
      <c r="A54" s="115" t="s">
        <v>82</v>
      </c>
      <c r="B54" s="136" t="s">
        <v>83</v>
      </c>
      <c r="C54" s="117" t="s">
        <v>369</v>
      </c>
      <c r="D54" s="118">
        <v>45366</v>
      </c>
      <c r="E54" s="119">
        <v>601.20000000000005</v>
      </c>
      <c r="F54" s="119">
        <v>90.17</v>
      </c>
      <c r="G54" s="120">
        <v>642.41</v>
      </c>
      <c r="H54" s="119">
        <v>61.32</v>
      </c>
      <c r="I54" s="134">
        <v>45440</v>
      </c>
      <c r="J54" s="50">
        <f>+E54-F54</f>
        <v>511.03000000000003</v>
      </c>
      <c r="K54" s="47">
        <f t="shared" si="19"/>
        <v>74</v>
      </c>
      <c r="L54" s="5">
        <v>0.03</v>
      </c>
      <c r="M54" s="6">
        <f t="shared" si="20"/>
        <v>15.3309</v>
      </c>
      <c r="O54" s="78"/>
    </row>
    <row r="55" spans="1:30" ht="15" customHeight="1" x14ac:dyDescent="0.25">
      <c r="A55" s="147" t="s">
        <v>49</v>
      </c>
      <c r="B55" s="136" t="s">
        <v>26</v>
      </c>
      <c r="C55" s="117" t="s">
        <v>396</v>
      </c>
      <c r="D55" s="118">
        <v>45366</v>
      </c>
      <c r="E55" s="119">
        <v>570.6</v>
      </c>
      <c r="F55" s="119">
        <v>85.59</v>
      </c>
      <c r="G55" s="120">
        <f>543.21-4.85-17.46</f>
        <v>520.9</v>
      </c>
      <c r="H55" s="119">
        <v>58.2</v>
      </c>
      <c r="I55" s="134">
        <v>45443</v>
      </c>
      <c r="J55" s="50">
        <f>+E55-F55</f>
        <v>485.01</v>
      </c>
      <c r="K55" s="47">
        <f t="shared" si="19"/>
        <v>77</v>
      </c>
      <c r="L55" s="5">
        <v>0.03</v>
      </c>
      <c r="M55" s="6">
        <f t="shared" si="20"/>
        <v>14.5503</v>
      </c>
      <c r="O55" s="78"/>
    </row>
    <row r="56" spans="1:30" s="52" customFormat="1" ht="15" customHeight="1" x14ac:dyDescent="0.25">
      <c r="A56" s="147" t="s">
        <v>49</v>
      </c>
      <c r="B56" s="136" t="s">
        <v>26</v>
      </c>
      <c r="C56" s="117" t="s">
        <v>397</v>
      </c>
      <c r="D56" s="118">
        <v>45366</v>
      </c>
      <c r="E56" s="119">
        <v>345</v>
      </c>
      <c r="F56" s="119">
        <v>51.75</v>
      </c>
      <c r="G56" s="120">
        <f>328.44-2.93-10.56</f>
        <v>314.95</v>
      </c>
      <c r="H56" s="119">
        <v>35.19</v>
      </c>
      <c r="I56" s="121">
        <v>45443</v>
      </c>
      <c r="J56" s="50">
        <f>+E56-F56</f>
        <v>293.25</v>
      </c>
      <c r="K56" s="47">
        <f t="shared" si="19"/>
        <v>77</v>
      </c>
      <c r="L56" s="5">
        <v>0.03</v>
      </c>
      <c r="M56" s="6">
        <f t="shared" si="20"/>
        <v>8.7974999999999994</v>
      </c>
      <c r="N56" s="59"/>
      <c r="O56" s="78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1:30" ht="15" customHeight="1" x14ac:dyDescent="0.25">
      <c r="A57" s="115" t="s">
        <v>111</v>
      </c>
      <c r="B57" s="136" t="s">
        <v>63</v>
      </c>
      <c r="C57" s="117" t="s">
        <v>371</v>
      </c>
      <c r="D57" s="118">
        <v>45373</v>
      </c>
      <c r="E57" s="119">
        <v>246.24</v>
      </c>
      <c r="F57" s="119">
        <v>36.92</v>
      </c>
      <c r="G57" s="120">
        <v>224.81</v>
      </c>
      <c r="H57" s="119">
        <v>25.12</v>
      </c>
      <c r="I57" s="121">
        <v>45425</v>
      </c>
      <c r="J57" s="50">
        <f>+E57-F57</f>
        <v>209.32</v>
      </c>
      <c r="K57" s="47">
        <f t="shared" si="19"/>
        <v>52</v>
      </c>
      <c r="L57" s="5">
        <v>0.03</v>
      </c>
      <c r="M57" s="6">
        <f t="shared" si="20"/>
        <v>6.2795999999999994</v>
      </c>
      <c r="O57" s="78"/>
    </row>
    <row r="58" spans="1:30" ht="15" customHeight="1" x14ac:dyDescent="0.25">
      <c r="A58" s="115" t="s">
        <v>60</v>
      </c>
      <c r="B58" s="136" t="s">
        <v>61</v>
      </c>
      <c r="C58" s="117" t="s">
        <v>372</v>
      </c>
      <c r="D58" s="118">
        <v>45373</v>
      </c>
      <c r="E58" s="119">
        <v>413.4</v>
      </c>
      <c r="F58" s="119">
        <v>62</v>
      </c>
      <c r="G58" s="124">
        <f>150+93.57</f>
        <v>243.57</v>
      </c>
      <c r="H58" s="119">
        <v>42.17</v>
      </c>
      <c r="I58" s="121">
        <v>45429</v>
      </c>
      <c r="J58" s="50">
        <f>243.57/1.12</f>
        <v>217.47321428571425</v>
      </c>
      <c r="K58" s="47">
        <f t="shared" si="19"/>
        <v>56</v>
      </c>
      <c r="L58" s="5">
        <v>0.03</v>
      </c>
      <c r="M58" s="6">
        <f t="shared" si="20"/>
        <v>6.5241964285714271</v>
      </c>
      <c r="O58" s="78"/>
    </row>
    <row r="59" spans="1:30" ht="15" customHeight="1" x14ac:dyDescent="0.25">
      <c r="A59" s="115" t="s">
        <v>54</v>
      </c>
      <c r="B59" s="136" t="s">
        <v>32</v>
      </c>
      <c r="C59" s="117" t="s">
        <v>373</v>
      </c>
      <c r="D59" s="118">
        <v>45374</v>
      </c>
      <c r="E59" s="119">
        <v>1211.76</v>
      </c>
      <c r="F59" s="119">
        <v>181.77</v>
      </c>
      <c r="G59" s="124">
        <v>1106.21</v>
      </c>
      <c r="H59" s="119">
        <v>123.6</v>
      </c>
      <c r="I59" s="121">
        <v>45419</v>
      </c>
      <c r="J59" s="50">
        <f>+E59-F59</f>
        <v>1029.99</v>
      </c>
      <c r="K59" s="47">
        <f t="shared" si="19"/>
        <v>45</v>
      </c>
      <c r="L59" s="5">
        <v>0.03</v>
      </c>
      <c r="M59" s="6">
        <f t="shared" si="20"/>
        <v>30.899699999999999</v>
      </c>
      <c r="O59" s="78"/>
    </row>
    <row r="60" spans="1:30" ht="15" customHeight="1" x14ac:dyDescent="0.25">
      <c r="A60" s="115" t="s">
        <v>54</v>
      </c>
      <c r="B60" s="136" t="s">
        <v>32</v>
      </c>
      <c r="C60" s="117" t="s">
        <v>374</v>
      </c>
      <c r="D60" s="118">
        <v>45374</v>
      </c>
      <c r="E60" s="119">
        <v>187.2</v>
      </c>
      <c r="F60" s="119">
        <v>28.08</v>
      </c>
      <c r="G60" s="124">
        <v>170.89000000000001</v>
      </c>
      <c r="H60" s="119">
        <v>19.09</v>
      </c>
      <c r="I60" s="121">
        <v>45419</v>
      </c>
      <c r="J60" s="50">
        <f>+E60-F60</f>
        <v>159.12</v>
      </c>
      <c r="K60" s="47">
        <f t="shared" si="19"/>
        <v>45</v>
      </c>
      <c r="L60" s="5">
        <v>0.03</v>
      </c>
      <c r="M60" s="6">
        <f t="shared" si="20"/>
        <v>4.7736000000000001</v>
      </c>
      <c r="O60" s="78"/>
    </row>
    <row r="61" spans="1:30" ht="15" customHeight="1" x14ac:dyDescent="0.25">
      <c r="A61" s="115" t="s">
        <v>106</v>
      </c>
      <c r="B61" s="136" t="s">
        <v>61</v>
      </c>
      <c r="C61" s="117" t="s">
        <v>375</v>
      </c>
      <c r="D61" s="118">
        <v>45376</v>
      </c>
      <c r="E61" s="119">
        <v>650.4</v>
      </c>
      <c r="F61" s="119">
        <v>97.56</v>
      </c>
      <c r="G61" s="124">
        <v>400</v>
      </c>
      <c r="H61" s="119">
        <v>66.34</v>
      </c>
      <c r="I61" s="121">
        <v>45428</v>
      </c>
      <c r="J61" s="50">
        <f>400/1.12</f>
        <v>357.14285714285711</v>
      </c>
      <c r="K61" s="47">
        <f t="shared" si="19"/>
        <v>52</v>
      </c>
      <c r="L61" s="5">
        <v>0.03</v>
      </c>
      <c r="M61" s="6">
        <f t="shared" si="20"/>
        <v>10.714285714285714</v>
      </c>
      <c r="O61" s="78"/>
    </row>
    <row r="62" spans="1:30" ht="15" customHeight="1" x14ac:dyDescent="0.25">
      <c r="A62" s="115" t="s">
        <v>47</v>
      </c>
      <c r="B62" s="136" t="s">
        <v>18</v>
      </c>
      <c r="C62" s="117" t="s">
        <v>376</v>
      </c>
      <c r="D62" s="118">
        <v>45379</v>
      </c>
      <c r="E62" s="119">
        <v>388.44</v>
      </c>
      <c r="F62" s="119">
        <v>66.040000000000006</v>
      </c>
      <c r="G62" s="120">
        <v>361.09</v>
      </c>
      <c r="H62" s="119">
        <v>38.69</v>
      </c>
      <c r="I62" s="121">
        <v>45439</v>
      </c>
      <c r="J62" s="50">
        <f t="shared" ref="J62:J75" si="21">+E62-F62</f>
        <v>322.39999999999998</v>
      </c>
      <c r="K62" s="47">
        <f t="shared" si="19"/>
        <v>60</v>
      </c>
      <c r="L62" s="5">
        <v>0.03</v>
      </c>
      <c r="M62" s="6">
        <f t="shared" si="20"/>
        <v>9.6719999999999988</v>
      </c>
      <c r="O62" s="78"/>
    </row>
    <row r="63" spans="1:30" ht="15" customHeight="1" x14ac:dyDescent="0.25">
      <c r="A63" s="115" t="s">
        <v>71</v>
      </c>
      <c r="B63" s="136" t="s">
        <v>24</v>
      </c>
      <c r="C63" s="117" t="s">
        <v>377</v>
      </c>
      <c r="D63" s="118">
        <v>45400</v>
      </c>
      <c r="E63" s="119">
        <v>1098</v>
      </c>
      <c r="F63" s="119">
        <v>274.5</v>
      </c>
      <c r="G63" s="120">
        <v>947.03</v>
      </c>
      <c r="H63" s="119">
        <v>123.53</v>
      </c>
      <c r="I63" s="121">
        <v>45421</v>
      </c>
      <c r="J63" s="50">
        <f t="shared" si="21"/>
        <v>823.5</v>
      </c>
      <c r="K63" s="47">
        <f t="shared" si="19"/>
        <v>21</v>
      </c>
      <c r="L63" s="5">
        <v>3.5000000000000003E-2</v>
      </c>
      <c r="M63" s="6">
        <f t="shared" si="20"/>
        <v>28.822500000000002</v>
      </c>
      <c r="O63" s="78"/>
    </row>
    <row r="64" spans="1:30" ht="15" customHeight="1" x14ac:dyDescent="0.25">
      <c r="A64" s="115" t="s">
        <v>69</v>
      </c>
      <c r="B64" s="136" t="s">
        <v>64</v>
      </c>
      <c r="C64" s="117" t="s">
        <v>379</v>
      </c>
      <c r="D64" s="118">
        <v>45401</v>
      </c>
      <c r="E64" s="119">
        <v>118.8</v>
      </c>
      <c r="F64" s="119">
        <v>17.82</v>
      </c>
      <c r="G64" s="120">
        <v>116.13</v>
      </c>
      <c r="H64" s="119">
        <v>15.15</v>
      </c>
      <c r="I64" s="121">
        <v>45426</v>
      </c>
      <c r="J64" s="50">
        <f t="shared" si="21"/>
        <v>100.97999999999999</v>
      </c>
      <c r="K64" s="47">
        <f t="shared" si="19"/>
        <v>25</v>
      </c>
      <c r="L64" s="5">
        <v>3.5000000000000003E-2</v>
      </c>
      <c r="M64" s="6">
        <f t="shared" si="20"/>
        <v>3.5343</v>
      </c>
      <c r="O64" s="78"/>
    </row>
    <row r="65" spans="1:17" ht="15" customHeight="1" x14ac:dyDescent="0.25">
      <c r="A65" s="115" t="s">
        <v>94</v>
      </c>
      <c r="B65" s="136" t="s">
        <v>18</v>
      </c>
      <c r="C65" s="117" t="s">
        <v>380</v>
      </c>
      <c r="D65" s="118">
        <v>45404</v>
      </c>
      <c r="E65" s="119">
        <v>176.04</v>
      </c>
      <c r="F65" s="119">
        <v>26.4</v>
      </c>
      <c r="G65" s="120">
        <v>162.72999999999999</v>
      </c>
      <c r="H65" s="119">
        <v>22.45</v>
      </c>
      <c r="I65" s="121">
        <v>45418</v>
      </c>
      <c r="J65" s="50">
        <f t="shared" si="21"/>
        <v>149.63999999999999</v>
      </c>
      <c r="K65" s="47">
        <f t="shared" si="19"/>
        <v>14</v>
      </c>
      <c r="L65" s="5">
        <v>3.5000000000000003E-2</v>
      </c>
      <c r="M65" s="6">
        <f t="shared" si="20"/>
        <v>5.2374000000000001</v>
      </c>
      <c r="O65" s="78"/>
    </row>
    <row r="66" spans="1:17" ht="15" customHeight="1" x14ac:dyDescent="0.25">
      <c r="A66" s="115" t="s">
        <v>378</v>
      </c>
      <c r="B66" s="136" t="s">
        <v>120</v>
      </c>
      <c r="C66" s="117" t="s">
        <v>381</v>
      </c>
      <c r="D66" s="118">
        <v>45405</v>
      </c>
      <c r="E66" s="119">
        <v>188.16</v>
      </c>
      <c r="F66" s="119">
        <v>28.21</v>
      </c>
      <c r="G66" s="120">
        <v>183.94</v>
      </c>
      <c r="H66" s="119">
        <v>23.99</v>
      </c>
      <c r="I66" s="121">
        <v>45421</v>
      </c>
      <c r="J66" s="50">
        <f t="shared" si="21"/>
        <v>159.94999999999999</v>
      </c>
      <c r="K66" s="47">
        <f t="shared" si="19"/>
        <v>16</v>
      </c>
      <c r="L66" s="5">
        <v>3.5000000000000003E-2</v>
      </c>
      <c r="M66" s="6">
        <f t="shared" si="20"/>
        <v>5.5982500000000002</v>
      </c>
      <c r="O66" s="78"/>
    </row>
    <row r="67" spans="1:17" ht="15" customHeight="1" x14ac:dyDescent="0.25">
      <c r="A67" s="115" t="s">
        <v>101</v>
      </c>
      <c r="B67" s="136" t="s">
        <v>18</v>
      </c>
      <c r="C67" s="117" t="s">
        <v>382</v>
      </c>
      <c r="D67" s="118">
        <v>45408</v>
      </c>
      <c r="E67" s="119">
        <v>260.7</v>
      </c>
      <c r="F67" s="119">
        <v>39.1</v>
      </c>
      <c r="G67" s="120">
        <v>254.84</v>
      </c>
      <c r="H67" s="119">
        <v>33.24</v>
      </c>
      <c r="I67" s="121">
        <v>45425</v>
      </c>
      <c r="J67" s="50">
        <f t="shared" si="21"/>
        <v>221.6</v>
      </c>
      <c r="K67" s="47">
        <f t="shared" si="19"/>
        <v>17</v>
      </c>
      <c r="L67" s="5">
        <v>3.5000000000000003E-2</v>
      </c>
      <c r="M67" s="6">
        <f t="shared" si="20"/>
        <v>7.7560000000000002</v>
      </c>
      <c r="O67" s="78"/>
    </row>
    <row r="68" spans="1:17" ht="15" customHeight="1" x14ac:dyDescent="0.25">
      <c r="A68" s="115" t="s">
        <v>25</v>
      </c>
      <c r="B68" s="136" t="s">
        <v>30</v>
      </c>
      <c r="C68" s="117" t="s">
        <v>384</v>
      </c>
      <c r="D68" s="118">
        <v>45411</v>
      </c>
      <c r="E68" s="119">
        <v>563.52</v>
      </c>
      <c r="F68" s="119">
        <v>140.88</v>
      </c>
      <c r="G68" s="120">
        <v>462.79</v>
      </c>
      <c r="H68" s="119">
        <v>63.4</v>
      </c>
      <c r="I68" s="121">
        <v>45418</v>
      </c>
      <c r="J68" s="50">
        <f t="shared" si="21"/>
        <v>422.64</v>
      </c>
      <c r="K68" s="47">
        <f t="shared" si="19"/>
        <v>7</v>
      </c>
      <c r="L68" s="5">
        <v>0.04</v>
      </c>
      <c r="M68" s="6">
        <f t="shared" si="20"/>
        <v>16.9056</v>
      </c>
      <c r="O68" s="78"/>
    </row>
    <row r="69" spans="1:17" ht="15" customHeight="1" x14ac:dyDescent="0.25">
      <c r="A69" s="115" t="s">
        <v>71</v>
      </c>
      <c r="B69" s="136" t="s">
        <v>24</v>
      </c>
      <c r="C69" s="117" t="s">
        <v>383</v>
      </c>
      <c r="D69" s="118">
        <v>45411</v>
      </c>
      <c r="E69" s="119">
        <v>528.48</v>
      </c>
      <c r="F69" s="119">
        <v>132.12</v>
      </c>
      <c r="G69" s="120">
        <v>455.81</v>
      </c>
      <c r="H69" s="119">
        <v>59.45</v>
      </c>
      <c r="I69" s="121">
        <v>45421</v>
      </c>
      <c r="J69" s="50">
        <f t="shared" si="21"/>
        <v>396.36</v>
      </c>
      <c r="K69" s="47">
        <f t="shared" si="19"/>
        <v>10</v>
      </c>
      <c r="L69" s="5">
        <v>3.5000000000000003E-2</v>
      </c>
      <c r="M69" s="6">
        <f t="shared" si="20"/>
        <v>13.872600000000002</v>
      </c>
      <c r="O69" s="78"/>
    </row>
    <row r="70" spans="1:17" ht="15" customHeight="1" x14ac:dyDescent="0.25">
      <c r="A70" s="115" t="s">
        <v>38</v>
      </c>
      <c r="B70" s="136" t="s">
        <v>18</v>
      </c>
      <c r="C70" s="117" t="s">
        <v>398</v>
      </c>
      <c r="D70" s="118">
        <v>45418</v>
      </c>
      <c r="E70" s="119">
        <v>150.47999999999999</v>
      </c>
      <c r="F70" s="119">
        <v>30.1</v>
      </c>
      <c r="G70" s="120">
        <f>138.44-1.2-5.42</f>
        <v>131.82000000000002</v>
      </c>
      <c r="H70" s="119">
        <v>18.059999999999999</v>
      </c>
      <c r="I70" s="134">
        <v>45418</v>
      </c>
      <c r="J70" s="50">
        <f t="shared" si="21"/>
        <v>120.38</v>
      </c>
      <c r="K70" s="47">
        <f t="shared" si="19"/>
        <v>0</v>
      </c>
      <c r="L70" s="5">
        <v>0.04</v>
      </c>
      <c r="M70" s="6">
        <f t="shared" si="20"/>
        <v>4.8151999999999999</v>
      </c>
      <c r="O70" s="78"/>
    </row>
    <row r="71" spans="1:17" ht="15" customHeight="1" x14ac:dyDescent="0.25">
      <c r="A71" s="115" t="s">
        <v>116</v>
      </c>
      <c r="B71" s="136" t="s">
        <v>120</v>
      </c>
      <c r="C71" s="117" t="s">
        <v>399</v>
      </c>
      <c r="D71" s="118">
        <v>45418</v>
      </c>
      <c r="E71" s="119">
        <v>285.12</v>
      </c>
      <c r="F71" s="119">
        <v>42.77</v>
      </c>
      <c r="G71" s="120">
        <f>278.7-2.42-10.91</f>
        <v>265.36999999999995</v>
      </c>
      <c r="H71" s="119">
        <v>36.35</v>
      </c>
      <c r="I71" s="134">
        <v>45425</v>
      </c>
      <c r="J71" s="50">
        <f t="shared" si="21"/>
        <v>242.35</v>
      </c>
      <c r="K71" s="47">
        <f t="shared" si="19"/>
        <v>7</v>
      </c>
      <c r="L71" s="5">
        <v>0.04</v>
      </c>
      <c r="M71" s="6">
        <f t="shared" si="20"/>
        <v>9.6940000000000008</v>
      </c>
      <c r="O71" s="78"/>
    </row>
    <row r="72" spans="1:17" ht="15" customHeight="1" x14ac:dyDescent="0.25">
      <c r="A72" s="115" t="s">
        <v>81</v>
      </c>
      <c r="B72" s="136" t="s">
        <v>26</v>
      </c>
      <c r="C72" s="117" t="s">
        <v>400</v>
      </c>
      <c r="D72" s="118">
        <v>45419</v>
      </c>
      <c r="E72" s="119">
        <v>432</v>
      </c>
      <c r="F72" s="119">
        <v>64.8</v>
      </c>
      <c r="G72" s="120">
        <f>422.28</f>
        <v>422.28</v>
      </c>
      <c r="H72" s="119">
        <v>55.08</v>
      </c>
      <c r="I72" s="134">
        <v>45434</v>
      </c>
      <c r="J72" s="50">
        <f t="shared" si="21"/>
        <v>367.2</v>
      </c>
      <c r="K72" s="47">
        <f t="shared" si="19"/>
        <v>15</v>
      </c>
      <c r="L72" s="5">
        <v>3.5000000000000003E-2</v>
      </c>
      <c r="M72" s="6">
        <f t="shared" si="20"/>
        <v>12.852</v>
      </c>
      <c r="O72" s="78"/>
    </row>
    <row r="73" spans="1:17" ht="15" customHeight="1" x14ac:dyDescent="0.25">
      <c r="A73" s="115" t="s">
        <v>71</v>
      </c>
      <c r="B73" s="137" t="s">
        <v>24</v>
      </c>
      <c r="C73" s="117" t="s">
        <v>385</v>
      </c>
      <c r="D73" s="118">
        <v>45427</v>
      </c>
      <c r="E73" s="119">
        <v>232.8</v>
      </c>
      <c r="F73" s="119">
        <v>46.56</v>
      </c>
      <c r="G73" s="120">
        <v>214.18</v>
      </c>
      <c r="H73" s="119">
        <v>27.94</v>
      </c>
      <c r="I73" s="122">
        <v>45435</v>
      </c>
      <c r="J73" s="50">
        <f t="shared" si="21"/>
        <v>186.24</v>
      </c>
      <c r="K73" s="47">
        <f t="shared" si="19"/>
        <v>8</v>
      </c>
      <c r="L73" s="5">
        <v>3.5000000000000003E-2</v>
      </c>
      <c r="M73" s="6">
        <f t="shared" si="20"/>
        <v>6.5184000000000006</v>
      </c>
      <c r="O73" s="78"/>
    </row>
    <row r="74" spans="1:17" ht="15" customHeight="1" x14ac:dyDescent="0.25">
      <c r="A74" s="41" t="s">
        <v>92</v>
      </c>
      <c r="B74" s="100" t="s">
        <v>31</v>
      </c>
      <c r="C74" s="100" t="s">
        <v>28</v>
      </c>
      <c r="D74" s="138">
        <v>45439</v>
      </c>
      <c r="E74" s="139">
        <v>2395.1999999999998</v>
      </c>
      <c r="F74" s="139">
        <v>598.79999999999995</v>
      </c>
      <c r="G74" s="120">
        <v>1796.4</v>
      </c>
      <c r="H74" s="140">
        <v>0</v>
      </c>
      <c r="I74" s="149">
        <v>45442</v>
      </c>
      <c r="J74" s="50">
        <f t="shared" si="21"/>
        <v>1796.3999999999999</v>
      </c>
      <c r="K74" s="47">
        <f t="shared" si="19"/>
        <v>3</v>
      </c>
      <c r="L74" s="5">
        <v>0.04</v>
      </c>
      <c r="M74" s="6">
        <f t="shared" si="20"/>
        <v>71.855999999999995</v>
      </c>
      <c r="O74" s="78"/>
      <c r="P74" s="8"/>
      <c r="Q74" s="8"/>
    </row>
    <row r="75" spans="1:17" ht="15" customHeight="1" x14ac:dyDescent="0.25">
      <c r="A75" s="115" t="s">
        <v>119</v>
      </c>
      <c r="B75" s="136" t="s">
        <v>18</v>
      </c>
      <c r="C75" s="117" t="s">
        <v>386</v>
      </c>
      <c r="D75" s="118">
        <v>45443</v>
      </c>
      <c r="E75" s="119">
        <v>1128.75</v>
      </c>
      <c r="F75" s="119">
        <v>112.88</v>
      </c>
      <c r="G75" s="120">
        <v>1112.3799999999999</v>
      </c>
      <c r="H75" s="119">
        <v>152.38</v>
      </c>
      <c r="I75" s="121">
        <v>45443</v>
      </c>
      <c r="J75" s="50">
        <f t="shared" si="21"/>
        <v>1015.87</v>
      </c>
      <c r="K75" s="47">
        <f t="shared" si="19"/>
        <v>0</v>
      </c>
      <c r="L75" s="5">
        <v>0.04</v>
      </c>
      <c r="M75" s="6">
        <f t="shared" si="20"/>
        <v>40.634799999999998</v>
      </c>
      <c r="O75" s="78"/>
    </row>
    <row r="76" spans="1:17" ht="15" customHeight="1" x14ac:dyDescent="0.3">
      <c r="G76" s="16">
        <f>SUM(G38:G75)</f>
        <v>12083.79</v>
      </c>
      <c r="J76" s="16">
        <f>SUM(J38:J75)</f>
        <v>11037.374642857143</v>
      </c>
      <c r="M76" s="16">
        <f>SUM(M38:M75)</f>
        <v>379.12498928571421</v>
      </c>
    </row>
    <row r="77" spans="1:17" ht="15" customHeight="1" x14ac:dyDescent="0.25">
      <c r="G77" s="8"/>
      <c r="H77" s="8"/>
    </row>
    <row r="78" spans="1:17" ht="15" customHeight="1" x14ac:dyDescent="0.25">
      <c r="A78" s="17" t="s">
        <v>19</v>
      </c>
      <c r="B78" s="17" t="s">
        <v>20</v>
      </c>
      <c r="C78" s="18" t="s">
        <v>21</v>
      </c>
      <c r="I78" s="8"/>
      <c r="J78" s="8"/>
    </row>
    <row r="79" spans="1:17" s="52" customFormat="1" ht="15" customHeight="1" x14ac:dyDescent="0.25">
      <c r="A79" s="129" t="s">
        <v>49</v>
      </c>
      <c r="B79" s="130" t="s">
        <v>405</v>
      </c>
      <c r="C79" s="131" t="s">
        <v>387</v>
      </c>
      <c r="D79" s="132">
        <v>45373</v>
      </c>
      <c r="E79" s="133">
        <v>1944</v>
      </c>
      <c r="F79" s="133">
        <v>291.60000000000002</v>
      </c>
      <c r="G79" s="50">
        <v>1274.68</v>
      </c>
      <c r="H79" s="133">
        <v>198.29</v>
      </c>
      <c r="I79" s="121">
        <v>45485</v>
      </c>
      <c r="J79" s="50">
        <f>1274.68/1.12</f>
        <v>1138.1071428571429</v>
      </c>
      <c r="K79" s="47">
        <f t="shared" ref="K79:K88" si="22">+I79-D79</f>
        <v>112</v>
      </c>
      <c r="L79" s="48">
        <v>0.03</v>
      </c>
      <c r="M79" s="49">
        <f t="shared" ref="M79:M88" si="23">+J79*L79</f>
        <v>34.143214285714286</v>
      </c>
      <c r="N79" s="60"/>
      <c r="O79" s="78"/>
    </row>
    <row r="80" spans="1:17" s="52" customFormat="1" ht="15" customHeight="1" x14ac:dyDescent="0.25">
      <c r="A80" s="129" t="s">
        <v>121</v>
      </c>
      <c r="B80" s="142" t="s">
        <v>403</v>
      </c>
      <c r="C80" s="131" t="s">
        <v>404</v>
      </c>
      <c r="D80" s="132">
        <v>45373</v>
      </c>
      <c r="E80" s="133">
        <v>216</v>
      </c>
      <c r="F80" s="133">
        <v>32.4</v>
      </c>
      <c r="G80" s="124">
        <f>205.63</f>
        <v>205.63</v>
      </c>
      <c r="H80" s="133">
        <v>22.03</v>
      </c>
      <c r="I80" s="148">
        <v>45453</v>
      </c>
      <c r="J80" s="50">
        <f>+E80-F80</f>
        <v>183.6</v>
      </c>
      <c r="K80" s="47">
        <f t="shared" si="22"/>
        <v>80</v>
      </c>
      <c r="L80" s="48">
        <v>0.03</v>
      </c>
      <c r="M80" s="49">
        <f t="shared" si="23"/>
        <v>5.508</v>
      </c>
      <c r="N80" s="60"/>
      <c r="O80" s="78"/>
    </row>
    <row r="81" spans="1:15" s="52" customFormat="1" ht="15" customHeight="1" x14ac:dyDescent="0.25">
      <c r="A81" s="129" t="s">
        <v>65</v>
      </c>
      <c r="B81" s="141" t="s">
        <v>401</v>
      </c>
      <c r="C81" s="131" t="s">
        <v>402</v>
      </c>
      <c r="D81" s="132">
        <v>45376</v>
      </c>
      <c r="E81" s="133">
        <v>942.36</v>
      </c>
      <c r="F81" s="133">
        <v>141.35</v>
      </c>
      <c r="G81" s="124">
        <f>897.13-8.01-28.84+13.05</f>
        <v>873.32999999999993</v>
      </c>
      <c r="H81" s="133">
        <v>96.12</v>
      </c>
      <c r="I81" s="148">
        <v>45453</v>
      </c>
      <c r="J81" s="50">
        <f>+E81-F81</f>
        <v>801.01</v>
      </c>
      <c r="K81" s="47">
        <f t="shared" ref="K81" si="24">+I81-D81</f>
        <v>77</v>
      </c>
      <c r="L81" s="48">
        <v>0.03</v>
      </c>
      <c r="M81" s="49">
        <f t="shared" ref="M81" si="25">+J81*L81</f>
        <v>24.0303</v>
      </c>
      <c r="N81" s="60"/>
      <c r="O81" s="78"/>
    </row>
    <row r="82" spans="1:15" s="52" customFormat="1" ht="15" customHeight="1" x14ac:dyDescent="0.25">
      <c r="A82" s="129" t="s">
        <v>42</v>
      </c>
      <c r="B82" s="141" t="s">
        <v>406</v>
      </c>
      <c r="C82" s="131" t="s">
        <v>388</v>
      </c>
      <c r="D82" s="132">
        <v>45401</v>
      </c>
      <c r="E82" s="133">
        <v>303.60000000000002</v>
      </c>
      <c r="F82" s="133">
        <v>45.54</v>
      </c>
      <c r="G82" s="50">
        <v>282.58</v>
      </c>
      <c r="H82" s="133">
        <v>38.71</v>
      </c>
      <c r="I82" s="121">
        <v>45449</v>
      </c>
      <c r="J82" s="50">
        <f t="shared" ref="J82:J88" si="26">+E82-F82</f>
        <v>258.06</v>
      </c>
      <c r="K82" s="47">
        <f t="shared" si="22"/>
        <v>48</v>
      </c>
      <c r="L82" s="48">
        <v>0.03</v>
      </c>
      <c r="M82" s="49">
        <f t="shared" si="23"/>
        <v>7.7417999999999996</v>
      </c>
      <c r="N82" s="60"/>
      <c r="O82" s="78"/>
    </row>
    <row r="83" spans="1:15" s="52" customFormat="1" ht="15" customHeight="1" x14ac:dyDescent="0.25">
      <c r="A83" s="129" t="s">
        <v>42</v>
      </c>
      <c r="B83" s="141" t="s">
        <v>407</v>
      </c>
      <c r="C83" s="131" t="s">
        <v>389</v>
      </c>
      <c r="D83" s="132">
        <v>45411</v>
      </c>
      <c r="E83" s="133">
        <v>268.2</v>
      </c>
      <c r="F83" s="133">
        <v>40.229999999999997</v>
      </c>
      <c r="G83" s="124">
        <v>249.63000000000005</v>
      </c>
      <c r="H83" s="133">
        <v>34.200000000000003</v>
      </c>
      <c r="I83" s="121">
        <v>45457</v>
      </c>
      <c r="J83" s="50">
        <f t="shared" si="26"/>
        <v>227.97</v>
      </c>
      <c r="K83" s="47">
        <f t="shared" si="22"/>
        <v>46</v>
      </c>
      <c r="L83" s="48">
        <v>0.03</v>
      </c>
      <c r="M83" s="49">
        <f t="shared" si="23"/>
        <v>6.8390999999999993</v>
      </c>
      <c r="N83" s="60"/>
      <c r="O83" s="78"/>
    </row>
    <row r="84" spans="1:15" s="52" customFormat="1" ht="15" customHeight="1" x14ac:dyDescent="0.25">
      <c r="A84" s="129" t="s">
        <v>42</v>
      </c>
      <c r="B84" s="141" t="s">
        <v>408</v>
      </c>
      <c r="C84" s="131" t="s">
        <v>390</v>
      </c>
      <c r="D84" s="132">
        <v>45426</v>
      </c>
      <c r="E84" s="133">
        <v>250.8</v>
      </c>
      <c r="F84" s="133">
        <v>37.619999999999997</v>
      </c>
      <c r="G84" s="124">
        <v>233.44</v>
      </c>
      <c r="H84" s="133">
        <v>31.98</v>
      </c>
      <c r="I84" s="121">
        <v>45475</v>
      </c>
      <c r="J84" s="50">
        <f t="shared" si="26"/>
        <v>213.18</v>
      </c>
      <c r="K84" s="47">
        <f t="shared" si="22"/>
        <v>49</v>
      </c>
      <c r="L84" s="48">
        <v>0.03</v>
      </c>
      <c r="M84" s="49">
        <f t="shared" si="23"/>
        <v>6.3953999999999995</v>
      </c>
      <c r="N84" s="60"/>
      <c r="O84" s="78"/>
    </row>
    <row r="85" spans="1:15" s="52" customFormat="1" ht="15" customHeight="1" x14ac:dyDescent="0.25">
      <c r="A85" s="51" t="s">
        <v>47</v>
      </c>
      <c r="B85" s="141" t="s">
        <v>409</v>
      </c>
      <c r="C85" s="116" t="s">
        <v>391</v>
      </c>
      <c r="D85" s="122">
        <v>45428</v>
      </c>
      <c r="E85" s="123">
        <v>325.44</v>
      </c>
      <c r="F85" s="123">
        <v>55.34</v>
      </c>
      <c r="G85" s="124">
        <v>310.62</v>
      </c>
      <c r="H85" s="125">
        <v>40.520000000000003</v>
      </c>
      <c r="I85" s="126">
        <v>45489</v>
      </c>
      <c r="J85" s="50">
        <f t="shared" si="26"/>
        <v>270.10000000000002</v>
      </c>
      <c r="K85" s="47">
        <f t="shared" si="22"/>
        <v>61</v>
      </c>
      <c r="L85" s="48">
        <v>0.03</v>
      </c>
      <c r="M85" s="49">
        <f t="shared" si="23"/>
        <v>8.1029999999999998</v>
      </c>
      <c r="N85" s="60"/>
      <c r="O85" s="78"/>
    </row>
    <row r="86" spans="1:15" s="52" customFormat="1" ht="15" customHeight="1" x14ac:dyDescent="0.25">
      <c r="A86" s="51" t="s">
        <v>42</v>
      </c>
      <c r="B86" s="141" t="s">
        <v>408</v>
      </c>
      <c r="C86" s="116" t="s">
        <v>392</v>
      </c>
      <c r="D86" s="122">
        <v>45429</v>
      </c>
      <c r="E86" s="123">
        <v>204.93</v>
      </c>
      <c r="F86" s="123">
        <v>30.74</v>
      </c>
      <c r="G86" s="124">
        <v>190.73999999999998</v>
      </c>
      <c r="H86" s="125">
        <v>26.13</v>
      </c>
      <c r="I86" s="126">
        <v>45475</v>
      </c>
      <c r="J86" s="50">
        <f t="shared" si="26"/>
        <v>174.19</v>
      </c>
      <c r="K86" s="47">
        <f t="shared" si="22"/>
        <v>46</v>
      </c>
      <c r="L86" s="48">
        <v>0.03</v>
      </c>
      <c r="M86" s="49">
        <f t="shared" si="23"/>
        <v>5.2256999999999998</v>
      </c>
      <c r="N86" s="60"/>
      <c r="O86" s="78"/>
    </row>
    <row r="87" spans="1:15" s="52" customFormat="1" ht="15" customHeight="1" x14ac:dyDescent="0.25">
      <c r="A87" s="51" t="s">
        <v>40</v>
      </c>
      <c r="B87" s="141" t="s">
        <v>410</v>
      </c>
      <c r="C87" s="116" t="s">
        <v>393</v>
      </c>
      <c r="D87" s="122">
        <v>45443</v>
      </c>
      <c r="E87" s="123">
        <v>1003.2</v>
      </c>
      <c r="F87" s="123">
        <v>200.64</v>
      </c>
      <c r="G87" s="124">
        <v>878.80000000000007</v>
      </c>
      <c r="H87" s="125">
        <v>120.38</v>
      </c>
      <c r="I87" s="126">
        <v>45473</v>
      </c>
      <c r="J87" s="50">
        <f t="shared" si="26"/>
        <v>802.56000000000006</v>
      </c>
      <c r="K87" s="47">
        <f t="shared" si="22"/>
        <v>30</v>
      </c>
      <c r="L87" s="48">
        <v>0.03</v>
      </c>
      <c r="M87" s="49">
        <f t="shared" si="23"/>
        <v>24.076800000000002</v>
      </c>
      <c r="N87" s="60"/>
      <c r="O87" s="78"/>
    </row>
    <row r="88" spans="1:15" s="52" customFormat="1" ht="15" customHeight="1" x14ac:dyDescent="0.25">
      <c r="A88" s="51" t="s">
        <v>40</v>
      </c>
      <c r="B88" s="141" t="s">
        <v>411</v>
      </c>
      <c r="C88" s="116" t="s">
        <v>394</v>
      </c>
      <c r="D88" s="122">
        <v>45443</v>
      </c>
      <c r="E88" s="123">
        <v>921.6</v>
      </c>
      <c r="F88" s="123">
        <v>184.32</v>
      </c>
      <c r="G88" s="124">
        <v>807.32</v>
      </c>
      <c r="H88" s="125">
        <v>110.59</v>
      </c>
      <c r="I88" s="126">
        <v>45476</v>
      </c>
      <c r="J88" s="50">
        <f t="shared" si="26"/>
        <v>737.28</v>
      </c>
      <c r="K88" s="47">
        <f t="shared" si="22"/>
        <v>33</v>
      </c>
      <c r="L88" s="48">
        <v>0.03</v>
      </c>
      <c r="M88" s="49">
        <f t="shared" si="23"/>
        <v>22.118399999999998</v>
      </c>
      <c r="N88" s="60"/>
      <c r="O88" s="78"/>
    </row>
    <row r="89" spans="1:15" ht="15" customHeight="1" thickBot="1" x14ac:dyDescent="0.35">
      <c r="A89" s="332" t="s">
        <v>29</v>
      </c>
      <c r="B89" s="332"/>
      <c r="C89" s="332"/>
      <c r="D89" s="332"/>
      <c r="E89" s="332"/>
      <c r="F89" s="332"/>
      <c r="G89" s="16">
        <f>SUM(G76:G88)</f>
        <v>17390.560000000001</v>
      </c>
      <c r="J89" s="16">
        <f>SUM(J76:J88)</f>
        <v>15843.431785714287</v>
      </c>
      <c r="L89" s="20"/>
      <c r="M89" s="23">
        <f>SUM(M76:M88)</f>
        <v>523.30670357142844</v>
      </c>
    </row>
    <row r="90" spans="1:15" ht="15" customHeight="1" x14ac:dyDescent="0.3">
      <c r="A90" s="22"/>
      <c r="G90" s="8"/>
    </row>
    <row r="91" spans="1:15" ht="15" customHeight="1" x14ac:dyDescent="0.3">
      <c r="A91" s="39"/>
      <c r="G91" s="8"/>
      <c r="J91" s="8"/>
    </row>
    <row r="92" spans="1:15" ht="15" customHeight="1" x14ac:dyDescent="0.3">
      <c r="A92" s="39"/>
      <c r="G92" s="8"/>
      <c r="J92" s="8"/>
    </row>
    <row r="93" spans="1:15" ht="15" customHeight="1" x14ac:dyDescent="0.3">
      <c r="A93" s="39"/>
      <c r="G93" s="8"/>
      <c r="J93" s="8"/>
    </row>
    <row r="94" spans="1:15" ht="15" customHeight="1" x14ac:dyDescent="0.3">
      <c r="A94" s="39"/>
      <c r="G94" s="8">
        <f>4320-764.23</f>
        <v>3555.77</v>
      </c>
      <c r="J94" s="8"/>
    </row>
    <row r="95" spans="1:15" ht="15" customHeight="1" x14ac:dyDescent="0.3">
      <c r="A95" s="39"/>
      <c r="G95" s="8"/>
      <c r="J95" s="8"/>
    </row>
    <row r="96" spans="1:15" ht="15" customHeight="1" x14ac:dyDescent="0.3">
      <c r="A96" s="39"/>
      <c r="G96" s="8">
        <f>4491.19+15843.43</f>
        <v>20334.62</v>
      </c>
      <c r="J96" s="8">
        <f>(J28+J89)*2%</f>
        <v>406.69243571428575</v>
      </c>
      <c r="M96" s="8">
        <f>M28/12</f>
        <v>11.326974999999999</v>
      </c>
      <c r="N96" s="59" t="s">
        <v>342</v>
      </c>
    </row>
    <row r="97" spans="1:15" ht="15" customHeight="1" x14ac:dyDescent="0.3">
      <c r="A97" s="39"/>
      <c r="G97" s="8">
        <f>G96*2%</f>
        <v>406.69239999999996</v>
      </c>
      <c r="J97" s="8">
        <f>J96/12</f>
        <v>33.891036309523813</v>
      </c>
      <c r="M97" s="8">
        <f>M28/24</f>
        <v>5.6634874999999996</v>
      </c>
      <c r="N97" s="59" t="s">
        <v>342</v>
      </c>
    </row>
    <row r="98" spans="1:15" ht="15" customHeight="1" x14ac:dyDescent="0.3">
      <c r="A98" s="39"/>
      <c r="G98" s="8"/>
      <c r="J98" s="8">
        <f>J96/24</f>
        <v>16.945518154761906</v>
      </c>
      <c r="M98" s="8">
        <f>M89/12</f>
        <v>43.608891964285704</v>
      </c>
      <c r="N98" s="59" t="s">
        <v>341</v>
      </c>
      <c r="O98" s="8"/>
    </row>
    <row r="99" spans="1:15" ht="15" customHeight="1" x14ac:dyDescent="0.3">
      <c r="A99" s="39"/>
      <c r="G99" s="8"/>
      <c r="J99" s="8"/>
      <c r="M99" s="8">
        <f>M89/24</f>
        <v>21.804445982142852</v>
      </c>
      <c r="N99" s="59" t="s">
        <v>341</v>
      </c>
      <c r="O99" s="8"/>
    </row>
    <row r="100" spans="1:15" ht="15" customHeight="1" x14ac:dyDescent="0.3">
      <c r="A100" s="39"/>
      <c r="G100" s="8"/>
      <c r="J100" s="8"/>
      <c r="M100" s="8"/>
    </row>
    <row r="101" spans="1:15" ht="15" customHeight="1" x14ac:dyDescent="0.3">
      <c r="A101" s="39"/>
      <c r="G101" s="8"/>
      <c r="J101" s="8"/>
      <c r="M101" s="7">
        <f>17.76+27.58</f>
        <v>45.34</v>
      </c>
    </row>
    <row r="102" spans="1:15" ht="15" customHeight="1" x14ac:dyDescent="0.3">
      <c r="A102" s="39"/>
      <c r="G102" s="8"/>
      <c r="J102" s="8"/>
    </row>
    <row r="103" spans="1:15" ht="15" customHeight="1" x14ac:dyDescent="0.3">
      <c r="A103" s="39"/>
      <c r="G103" s="8"/>
      <c r="J103" s="8"/>
    </row>
    <row r="104" spans="1:15" ht="15" customHeight="1" x14ac:dyDescent="0.3">
      <c r="A104" s="39"/>
      <c r="G104" s="8"/>
      <c r="J104" s="8"/>
    </row>
    <row r="105" spans="1:15" ht="15" customHeight="1" x14ac:dyDescent="0.3">
      <c r="A105" s="39"/>
      <c r="G105" s="8"/>
      <c r="J105" s="8"/>
    </row>
    <row r="106" spans="1:15" ht="15" customHeight="1" x14ac:dyDescent="0.3">
      <c r="A106" s="22"/>
      <c r="K106" s="15"/>
    </row>
  </sheetData>
  <sortState xmlns:xlrd2="http://schemas.microsoft.com/office/spreadsheetml/2017/richdata2" ref="A38:AD75">
    <sortCondition ref="D38:D75"/>
  </sortState>
  <mergeCells count="7">
    <mergeCell ref="A89:F89"/>
    <mergeCell ref="A2:F2"/>
    <mergeCell ref="A3:F3"/>
    <mergeCell ref="A20:F20"/>
    <mergeCell ref="A28:F28"/>
    <mergeCell ref="A32:F32"/>
    <mergeCell ref="A33:F33"/>
  </mergeCells>
  <pageMargins left="0.19685039370078741" right="0" top="0.39370078740157483" bottom="0" header="0" footer="0"/>
  <pageSetup paperSize="9" scale="75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87"/>
  <sheetViews>
    <sheetView topLeftCell="A69" workbookViewId="0">
      <selection activeCell="J78" sqref="J78:J79"/>
    </sheetView>
  </sheetViews>
  <sheetFormatPr baseColWidth="10" defaultColWidth="11.44140625" defaultRowHeight="13.2" x14ac:dyDescent="0.25"/>
  <cols>
    <col min="1" max="1" width="39.109375" style="7" customWidth="1"/>
    <col min="2" max="2" width="28.6640625" style="7" customWidth="1"/>
    <col min="3" max="3" width="14.88671875" style="7" customWidth="1"/>
    <col min="4" max="4" width="13" style="63" customWidth="1"/>
    <col min="5" max="5" width="11.44140625" style="7"/>
    <col min="6" max="6" width="9.5546875" style="7" customWidth="1"/>
    <col min="7" max="7" width="12.5546875" style="7" customWidth="1"/>
    <col min="8" max="8" width="10.109375" style="7" customWidth="1"/>
    <col min="9" max="9" width="13.6640625" style="63" customWidth="1"/>
    <col min="10" max="10" width="12.44140625" style="7" customWidth="1"/>
    <col min="11" max="11" width="7.109375" style="7" customWidth="1"/>
    <col min="12" max="12" width="7.33203125" style="7" customWidth="1"/>
    <col min="13" max="13" width="10.33203125" style="7" customWidth="1"/>
    <col min="14" max="14" width="9.33203125" style="59" customWidth="1"/>
    <col min="15" max="16" width="8" style="7" customWidth="1"/>
    <col min="17" max="16384" width="11.44140625" style="7"/>
  </cols>
  <sheetData>
    <row r="1" spans="1:30" ht="15" customHeight="1" x14ac:dyDescent="0.25">
      <c r="B1" s="8"/>
      <c r="C1" s="8"/>
      <c r="G1" s="8"/>
    </row>
    <row r="2" spans="1:30" ht="15" customHeight="1" x14ac:dyDescent="0.25">
      <c r="A2" s="331" t="s">
        <v>0</v>
      </c>
      <c r="B2" s="331"/>
      <c r="C2" s="331"/>
      <c r="D2" s="331"/>
      <c r="E2" s="331"/>
      <c r="F2" s="331"/>
      <c r="G2" s="24"/>
      <c r="H2" s="25"/>
      <c r="I2" s="65"/>
      <c r="J2" s="26"/>
      <c r="K2" s="27"/>
      <c r="L2" s="28"/>
      <c r="M2" s="29"/>
    </row>
    <row r="3" spans="1:30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65"/>
      <c r="J3" s="27"/>
      <c r="K3" s="27"/>
      <c r="L3" s="28"/>
      <c r="M3" s="29"/>
    </row>
    <row r="4" spans="1:30" ht="15" customHeight="1" x14ac:dyDescent="0.25">
      <c r="A4" s="30"/>
      <c r="B4" s="31" t="s">
        <v>419</v>
      </c>
      <c r="C4" s="30"/>
      <c r="D4" s="64"/>
      <c r="E4" s="30"/>
      <c r="F4" s="30"/>
      <c r="G4" s="24"/>
      <c r="H4" s="25"/>
      <c r="I4" s="65"/>
      <c r="J4" s="27"/>
      <c r="K4" s="27"/>
      <c r="L4" s="28"/>
      <c r="M4" s="29"/>
    </row>
    <row r="5" spans="1:30" ht="15" customHeight="1" thickBot="1" x14ac:dyDescent="0.3">
      <c r="A5" s="30"/>
      <c r="B5" s="31" t="s">
        <v>2</v>
      </c>
      <c r="C5" s="30"/>
      <c r="D5" s="64"/>
      <c r="E5" s="30"/>
      <c r="F5" s="30"/>
      <c r="G5" s="32"/>
      <c r="H5" s="24"/>
      <c r="I5" s="69"/>
      <c r="J5" s="33"/>
      <c r="K5" s="27"/>
      <c r="L5" s="28"/>
      <c r="M5" s="29"/>
    </row>
    <row r="6" spans="1:30" ht="15" customHeight="1" x14ac:dyDescent="0.25">
      <c r="A6" s="34" t="s">
        <v>66</v>
      </c>
      <c r="B6" s="33"/>
      <c r="C6" s="33"/>
      <c r="D6" s="65"/>
      <c r="E6" s="33"/>
      <c r="F6" s="33"/>
      <c r="G6" s="35" t="s">
        <v>3</v>
      </c>
      <c r="H6" s="27"/>
      <c r="I6" s="65"/>
      <c r="J6" s="36" t="s">
        <v>4</v>
      </c>
      <c r="K6" s="56" t="s">
        <v>5</v>
      </c>
      <c r="L6" s="40" t="s">
        <v>6</v>
      </c>
      <c r="M6" s="36" t="s">
        <v>7</v>
      </c>
    </row>
    <row r="7" spans="1:30" ht="15" customHeight="1" thickBot="1" x14ac:dyDescent="0.3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12" t="s">
        <v>13</v>
      </c>
      <c r="H7" s="13" t="s">
        <v>14</v>
      </c>
      <c r="I7" s="70" t="s">
        <v>15</v>
      </c>
      <c r="J7" s="14" t="s">
        <v>16</v>
      </c>
      <c r="K7" s="57"/>
      <c r="L7" s="58" t="s">
        <v>17</v>
      </c>
      <c r="M7" s="14" t="s">
        <v>39</v>
      </c>
    </row>
    <row r="8" spans="1:30" s="49" customFormat="1" ht="15" customHeight="1" x14ac:dyDescent="0.25">
      <c r="A8" s="83" t="s">
        <v>80</v>
      </c>
      <c r="B8" s="107" t="s">
        <v>18</v>
      </c>
      <c r="C8" s="95" t="s">
        <v>463</v>
      </c>
      <c r="D8" s="85">
        <v>45426</v>
      </c>
      <c r="E8" s="86">
        <v>648</v>
      </c>
      <c r="F8" s="86">
        <v>129.6</v>
      </c>
      <c r="G8" s="94">
        <v>567.65</v>
      </c>
      <c r="H8" s="86">
        <v>77.760000000000005</v>
      </c>
      <c r="I8" s="105">
        <v>45464</v>
      </c>
      <c r="J8" s="50">
        <f t="shared" ref="J8:J10" si="0">+E8-F8</f>
        <v>518.4</v>
      </c>
      <c r="K8" s="47">
        <f t="shared" ref="K8:K10" si="1">+I8-D8</f>
        <v>38</v>
      </c>
      <c r="L8" s="48">
        <v>0.03</v>
      </c>
      <c r="M8" s="49">
        <f t="shared" ref="M8:M10" si="2">+J8*L8</f>
        <v>15.552</v>
      </c>
      <c r="N8" s="74"/>
      <c r="O8" s="78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s="49" customFormat="1" ht="15" customHeight="1" x14ac:dyDescent="0.25">
      <c r="A9" s="83" t="s">
        <v>80</v>
      </c>
      <c r="B9" s="107" t="s">
        <v>18</v>
      </c>
      <c r="C9" s="95" t="s">
        <v>464</v>
      </c>
      <c r="D9" s="85">
        <v>45435</v>
      </c>
      <c r="E9" s="86">
        <v>216</v>
      </c>
      <c r="F9" s="86">
        <v>43.2</v>
      </c>
      <c r="G9" s="94">
        <v>189.21</v>
      </c>
      <c r="H9" s="86">
        <v>25.92</v>
      </c>
      <c r="I9" s="105">
        <v>45464</v>
      </c>
      <c r="J9" s="50">
        <f t="shared" si="0"/>
        <v>172.8</v>
      </c>
      <c r="K9" s="47">
        <f t="shared" si="1"/>
        <v>29</v>
      </c>
      <c r="L9" s="48">
        <v>3.5000000000000003E-2</v>
      </c>
      <c r="M9" s="49">
        <f t="shared" si="2"/>
        <v>6.0480000000000009</v>
      </c>
      <c r="N9" s="74"/>
      <c r="O9" s="78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s="49" customFormat="1" ht="15" customHeight="1" x14ac:dyDescent="0.25">
      <c r="A10" s="83" t="s">
        <v>88</v>
      </c>
      <c r="B10" s="113" t="s">
        <v>18</v>
      </c>
      <c r="C10" s="95" t="s">
        <v>465</v>
      </c>
      <c r="D10" s="85">
        <v>45455</v>
      </c>
      <c r="E10" s="86">
        <v>702</v>
      </c>
      <c r="F10" s="86">
        <v>140.4</v>
      </c>
      <c r="G10" s="94">
        <v>645.84</v>
      </c>
      <c r="H10" s="86">
        <v>84.24</v>
      </c>
      <c r="I10" s="106">
        <v>45469</v>
      </c>
      <c r="J10" s="50">
        <f t="shared" si="0"/>
        <v>561.6</v>
      </c>
      <c r="K10" s="47">
        <f t="shared" si="1"/>
        <v>14</v>
      </c>
      <c r="L10" s="48">
        <v>3.5000000000000003E-2</v>
      </c>
      <c r="M10" s="49">
        <f t="shared" si="2"/>
        <v>19.656000000000002</v>
      </c>
      <c r="N10" s="74"/>
      <c r="O10" s="7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s="49" customFormat="1" ht="15" customHeight="1" x14ac:dyDescent="0.25">
      <c r="A11" s="51"/>
      <c r="B11" s="116"/>
      <c r="C11" s="116"/>
      <c r="D11" s="122"/>
      <c r="E11" s="123"/>
      <c r="F11" s="123"/>
      <c r="G11" s="124"/>
      <c r="H11" s="125"/>
      <c r="I11" s="126"/>
      <c r="J11" s="50"/>
      <c r="K11" s="47"/>
      <c r="L11" s="48"/>
      <c r="N11" s="74"/>
      <c r="O11" s="7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s="52" customFormat="1" ht="15" customHeight="1" x14ac:dyDescent="0.25">
      <c r="A12" s="333"/>
      <c r="B12" s="333"/>
      <c r="C12" s="333"/>
      <c r="D12" s="333"/>
      <c r="E12" s="333"/>
      <c r="F12" s="333"/>
      <c r="G12" s="75">
        <f>SUM(G8:G11)</f>
        <v>1402.7</v>
      </c>
      <c r="H12" s="80"/>
      <c r="I12" s="81"/>
      <c r="J12" s="75">
        <f>SUM(J8:J11)</f>
        <v>1252.8000000000002</v>
      </c>
      <c r="K12" s="82"/>
      <c r="L12" s="82"/>
      <c r="M12" s="75">
        <f>SUM(M8:M11)</f>
        <v>41.256</v>
      </c>
      <c r="N12" s="60"/>
    </row>
    <row r="13" spans="1:30" s="52" customFormat="1" ht="15" customHeight="1" x14ac:dyDescent="0.25">
      <c r="A13" s="76"/>
      <c r="B13" s="76"/>
      <c r="C13" s="76"/>
      <c r="D13" s="77"/>
      <c r="E13" s="76"/>
      <c r="F13" s="76"/>
      <c r="G13" s="78"/>
      <c r="I13" s="79"/>
      <c r="N13" s="60"/>
    </row>
    <row r="14" spans="1:30" s="52" customFormat="1" ht="15" customHeight="1" x14ac:dyDescent="0.25">
      <c r="A14" s="76"/>
      <c r="B14" s="76"/>
      <c r="C14" s="76"/>
      <c r="D14" s="77"/>
      <c r="E14" s="76"/>
      <c r="F14" s="76"/>
      <c r="G14" s="78"/>
      <c r="I14" s="79"/>
      <c r="J14" s="78"/>
      <c r="M14" s="78"/>
      <c r="N14" s="60"/>
    </row>
    <row r="15" spans="1:30" s="52" customFormat="1" ht="15" customHeight="1" x14ac:dyDescent="0.25">
      <c r="A15" s="52" t="s">
        <v>19</v>
      </c>
      <c r="B15" s="52" t="s">
        <v>20</v>
      </c>
      <c r="C15" s="76" t="s">
        <v>21</v>
      </c>
      <c r="D15" s="79"/>
      <c r="G15" s="78"/>
      <c r="I15" s="79"/>
      <c r="N15" s="60"/>
    </row>
    <row r="16" spans="1:30" s="1" customFormat="1" ht="15" customHeight="1" x14ac:dyDescent="0.25">
      <c r="A16" s="91" t="s">
        <v>34</v>
      </c>
      <c r="B16" s="101" t="s">
        <v>456</v>
      </c>
      <c r="C16" s="93" t="s">
        <v>459</v>
      </c>
      <c r="D16" s="88">
        <v>45384</v>
      </c>
      <c r="E16" s="92">
        <v>454.2</v>
      </c>
      <c r="F16" s="92">
        <v>68.13</v>
      </c>
      <c r="G16" s="90">
        <f>443.98-3.86-17.37+3.47</f>
        <v>426.22</v>
      </c>
      <c r="H16" s="92">
        <v>57.91</v>
      </c>
      <c r="I16" s="105">
        <v>45475</v>
      </c>
      <c r="J16" s="50">
        <f t="shared" ref="J16:J18" si="3">+E16-F16</f>
        <v>386.07</v>
      </c>
      <c r="K16" s="47">
        <f t="shared" ref="K16:K18" si="4">+I16-D16</f>
        <v>91</v>
      </c>
      <c r="L16" s="48">
        <v>0.03</v>
      </c>
      <c r="M16" s="49">
        <f t="shared" ref="M16:M18" si="5">+J16*L16</f>
        <v>11.582099999999999</v>
      </c>
      <c r="N16" s="74"/>
      <c r="O16" s="78"/>
    </row>
    <row r="17" spans="1:15" s="1" customFormat="1" ht="15" customHeight="1" x14ac:dyDescent="0.25">
      <c r="A17" s="91" t="s">
        <v>74</v>
      </c>
      <c r="B17" s="101" t="s">
        <v>457</v>
      </c>
      <c r="C17" s="93" t="s">
        <v>460</v>
      </c>
      <c r="D17" s="88">
        <v>45429</v>
      </c>
      <c r="E17" s="92">
        <v>171.36</v>
      </c>
      <c r="F17" s="92">
        <v>25.7</v>
      </c>
      <c r="G17" s="90">
        <f>167.51-1.46-6.56</f>
        <v>159.48999999999998</v>
      </c>
      <c r="H17" s="92">
        <v>21.85</v>
      </c>
      <c r="I17" s="105">
        <v>45474</v>
      </c>
      <c r="J17" s="50">
        <f t="shared" si="3"/>
        <v>145.66000000000003</v>
      </c>
      <c r="K17" s="47">
        <f t="shared" si="4"/>
        <v>45</v>
      </c>
      <c r="L17" s="48">
        <v>0.03</v>
      </c>
      <c r="M17" s="49">
        <f t="shared" si="5"/>
        <v>4.3698000000000006</v>
      </c>
      <c r="N17" s="74"/>
      <c r="O17" s="78"/>
    </row>
    <row r="18" spans="1:15" s="1" customFormat="1" ht="15" customHeight="1" x14ac:dyDescent="0.25">
      <c r="A18" s="91" t="s">
        <v>52</v>
      </c>
      <c r="B18" s="101" t="s">
        <v>458</v>
      </c>
      <c r="C18" s="93" t="s">
        <v>461</v>
      </c>
      <c r="D18" s="88">
        <v>45462</v>
      </c>
      <c r="E18" s="92">
        <v>222</v>
      </c>
      <c r="F18" s="92">
        <v>55.5</v>
      </c>
      <c r="G18" s="90">
        <v>182.32</v>
      </c>
      <c r="H18" s="92">
        <v>24.98</v>
      </c>
      <c r="I18" s="105">
        <v>45529</v>
      </c>
      <c r="J18" s="50">
        <f t="shared" si="3"/>
        <v>166.5</v>
      </c>
      <c r="K18" s="47">
        <f t="shared" si="4"/>
        <v>67</v>
      </c>
      <c r="L18" s="48">
        <v>0.03</v>
      </c>
      <c r="M18" s="49">
        <f t="shared" si="5"/>
        <v>4.9950000000000001</v>
      </c>
      <c r="N18" s="74"/>
      <c r="O18" s="78"/>
    </row>
    <row r="19" spans="1:15" s="1" customFormat="1" ht="15" customHeight="1" x14ac:dyDescent="0.25">
      <c r="A19" s="91" t="s">
        <v>52</v>
      </c>
      <c r="B19" s="101" t="s">
        <v>458</v>
      </c>
      <c r="C19" s="93" t="s">
        <v>462</v>
      </c>
      <c r="D19" s="88">
        <v>45467</v>
      </c>
      <c r="E19" s="92">
        <v>893.4</v>
      </c>
      <c r="F19" s="92">
        <v>223.35</v>
      </c>
      <c r="G19" s="90">
        <v>733.70999999999992</v>
      </c>
      <c r="H19" s="92">
        <v>100.51</v>
      </c>
      <c r="I19" s="105">
        <v>45529</v>
      </c>
      <c r="J19" s="50">
        <f t="shared" ref="J19" si="6">+E19-F19</f>
        <v>670.05</v>
      </c>
      <c r="K19" s="47">
        <f t="shared" ref="K19" si="7">+I19-D19</f>
        <v>62</v>
      </c>
      <c r="L19" s="48">
        <v>0.03</v>
      </c>
      <c r="M19" s="49">
        <f t="shared" ref="M19" si="8">+J19*L19</f>
        <v>20.101499999999998</v>
      </c>
      <c r="N19" s="74"/>
      <c r="O19" s="78"/>
    </row>
    <row r="20" spans="1:15" s="1" customFormat="1" ht="15" customHeight="1" thickBot="1" x14ac:dyDescent="0.3">
      <c r="A20" s="152"/>
      <c r="B20" s="153"/>
      <c r="C20" s="154"/>
      <c r="D20" s="155"/>
      <c r="E20" s="156"/>
      <c r="F20" s="156"/>
      <c r="G20" s="90"/>
      <c r="H20" s="92"/>
      <c r="I20" s="105"/>
      <c r="J20" s="50"/>
      <c r="K20" s="47"/>
      <c r="L20" s="48"/>
      <c r="M20" s="53"/>
      <c r="N20" s="74"/>
      <c r="O20" s="78"/>
    </row>
    <row r="21" spans="1:15" ht="15" customHeight="1" thickBot="1" x14ac:dyDescent="0.35">
      <c r="A21" s="332" t="s">
        <v>29</v>
      </c>
      <c r="B21" s="332"/>
      <c r="C21" s="332"/>
      <c r="D21" s="332"/>
      <c r="E21" s="332"/>
      <c r="F21" s="332"/>
      <c r="G21" s="37">
        <f>SUM(G12:G20)</f>
        <v>2904.44</v>
      </c>
      <c r="J21" s="37">
        <f>SUM(J12:J20)</f>
        <v>2621.08</v>
      </c>
      <c r="L21" s="20"/>
      <c r="M21" s="38">
        <f>SUM(M12:M20)</f>
        <v>82.304399999999987</v>
      </c>
    </row>
    <row r="22" spans="1:15" ht="15" customHeight="1" x14ac:dyDescent="0.25">
      <c r="A22" s="19"/>
      <c r="B22" s="19"/>
      <c r="C22" s="19"/>
      <c r="D22" s="67"/>
      <c r="E22" s="19"/>
      <c r="F22" s="19"/>
      <c r="G22" s="8"/>
      <c r="J22" s="8"/>
      <c r="M22" s="8"/>
    </row>
    <row r="23" spans="1:15" ht="15" customHeight="1" x14ac:dyDescent="0.3">
      <c r="A23" s="39"/>
      <c r="B23" s="19"/>
      <c r="C23" s="19"/>
      <c r="D23" s="67"/>
      <c r="E23" s="19"/>
      <c r="F23" s="19"/>
      <c r="G23" s="8"/>
      <c r="J23" s="8"/>
      <c r="M23" s="8"/>
    </row>
    <row r="24" spans="1:15" ht="15" customHeight="1" x14ac:dyDescent="0.25">
      <c r="A24" s="19"/>
      <c r="B24" s="19"/>
      <c r="C24" s="19"/>
      <c r="D24" s="67"/>
      <c r="E24" s="19"/>
      <c r="F24" s="19"/>
      <c r="G24" s="8"/>
      <c r="I24" s="73"/>
    </row>
    <row r="25" spans="1:15" ht="15" customHeight="1" x14ac:dyDescent="0.25">
      <c r="A25" s="331" t="s">
        <v>112</v>
      </c>
      <c r="B25" s="331"/>
      <c r="C25" s="331"/>
      <c r="D25" s="331"/>
      <c r="E25" s="331"/>
      <c r="F25" s="331"/>
      <c r="G25" s="24"/>
      <c r="H25" s="24"/>
      <c r="I25" s="65"/>
      <c r="J25" s="26"/>
      <c r="K25" s="27"/>
      <c r="L25" s="28"/>
      <c r="M25" s="29"/>
    </row>
    <row r="26" spans="1:15" ht="15" customHeight="1" x14ac:dyDescent="0.25">
      <c r="A26" s="331" t="s">
        <v>1</v>
      </c>
      <c r="B26" s="331"/>
      <c r="C26" s="331"/>
      <c r="D26" s="331"/>
      <c r="E26" s="331"/>
      <c r="F26" s="331"/>
      <c r="G26" s="24"/>
      <c r="H26" s="25"/>
      <c r="I26" s="65"/>
      <c r="J26" s="27"/>
      <c r="K26" s="27"/>
      <c r="L26" s="28"/>
      <c r="M26" s="29"/>
    </row>
    <row r="27" spans="1:15" ht="15" customHeight="1" x14ac:dyDescent="0.25">
      <c r="A27" s="30"/>
      <c r="B27" s="31" t="s">
        <v>419</v>
      </c>
      <c r="C27" s="30"/>
      <c r="D27" s="64"/>
      <c r="E27" s="30"/>
      <c r="F27" s="30"/>
      <c r="G27" s="24"/>
      <c r="H27" s="25"/>
      <c r="I27" s="65"/>
      <c r="J27" s="27"/>
      <c r="K27" s="27"/>
      <c r="L27" s="28"/>
      <c r="M27" s="29"/>
    </row>
    <row r="28" spans="1:15" ht="15" customHeight="1" thickBot="1" x14ac:dyDescent="0.3">
      <c r="A28" s="30"/>
      <c r="B28" s="31" t="s">
        <v>22</v>
      </c>
      <c r="C28" s="30"/>
      <c r="D28" s="64"/>
      <c r="E28" s="30"/>
      <c r="F28" s="30"/>
      <c r="G28" s="32"/>
      <c r="H28" s="24"/>
      <c r="I28" s="69"/>
      <c r="J28" s="33"/>
      <c r="K28" s="27"/>
      <c r="L28" s="28"/>
      <c r="M28" s="29"/>
    </row>
    <row r="29" spans="1:15" ht="15" customHeight="1" x14ac:dyDescent="0.25">
      <c r="A29" s="34"/>
      <c r="B29" s="33"/>
      <c r="C29" s="33"/>
      <c r="D29" s="65"/>
      <c r="E29" s="33"/>
      <c r="F29" s="33"/>
      <c r="G29" s="35" t="s">
        <v>3</v>
      </c>
      <c r="H29" s="27"/>
      <c r="I29" s="65"/>
      <c r="J29" s="36" t="s">
        <v>4</v>
      </c>
      <c r="K29" s="56" t="s">
        <v>5</v>
      </c>
      <c r="L29" s="40" t="s">
        <v>6</v>
      </c>
      <c r="M29" s="36" t="s">
        <v>7</v>
      </c>
    </row>
    <row r="30" spans="1:15" ht="15" customHeight="1" x14ac:dyDescent="0.25">
      <c r="A30" s="11" t="s">
        <v>8</v>
      </c>
      <c r="B30" s="11" t="s">
        <v>9</v>
      </c>
      <c r="C30" s="11" t="s">
        <v>10</v>
      </c>
      <c r="D30" s="66" t="s">
        <v>11</v>
      </c>
      <c r="E30" s="11" t="s">
        <v>12</v>
      </c>
      <c r="F30" s="54" t="s">
        <v>50</v>
      </c>
      <c r="G30" s="62" t="s">
        <v>13</v>
      </c>
      <c r="H30" s="13" t="s">
        <v>14</v>
      </c>
      <c r="I30" s="70" t="s">
        <v>15</v>
      </c>
      <c r="J30" s="14" t="s">
        <v>16</v>
      </c>
      <c r="K30" s="57"/>
      <c r="L30" s="58" t="s">
        <v>17</v>
      </c>
      <c r="M30" s="14" t="s">
        <v>39</v>
      </c>
    </row>
    <row r="31" spans="1:15" ht="15" customHeight="1" x14ac:dyDescent="0.25">
      <c r="A31" s="83" t="s">
        <v>76</v>
      </c>
      <c r="B31" s="113" t="s">
        <v>18</v>
      </c>
      <c r="C31" s="95" t="s">
        <v>421</v>
      </c>
      <c r="D31" s="85">
        <v>45359</v>
      </c>
      <c r="E31" s="86">
        <v>46.8</v>
      </c>
      <c r="F31" s="86">
        <v>7.02</v>
      </c>
      <c r="G31" s="94">
        <v>42.72</v>
      </c>
      <c r="H31" s="86">
        <v>4.7699999999999996</v>
      </c>
      <c r="I31" s="106">
        <v>45454</v>
      </c>
      <c r="J31" s="50">
        <f>+E31-F31</f>
        <v>39.78</v>
      </c>
      <c r="K31" s="47">
        <f t="shared" ref="K31:K58" si="9">+I31-D31</f>
        <v>95</v>
      </c>
      <c r="L31" s="5">
        <v>0.03</v>
      </c>
      <c r="M31" s="6">
        <f t="shared" ref="M31:M58" si="10">+J31*L31</f>
        <v>1.1934</v>
      </c>
      <c r="O31" s="78"/>
    </row>
    <row r="32" spans="1:15" ht="15" customHeight="1" x14ac:dyDescent="0.25">
      <c r="A32" s="83" t="s">
        <v>76</v>
      </c>
      <c r="B32" s="113" t="s">
        <v>18</v>
      </c>
      <c r="C32" s="95" t="s">
        <v>422</v>
      </c>
      <c r="D32" s="85">
        <v>45364</v>
      </c>
      <c r="E32" s="86">
        <v>23.4</v>
      </c>
      <c r="F32" s="86">
        <v>3.51</v>
      </c>
      <c r="G32" s="94">
        <v>21.360000000000003</v>
      </c>
      <c r="H32" s="86">
        <v>2.39</v>
      </c>
      <c r="I32" s="106">
        <v>45454</v>
      </c>
      <c r="J32" s="50">
        <f>+E32-F32</f>
        <v>19.89</v>
      </c>
      <c r="K32" s="47">
        <f t="shared" si="9"/>
        <v>90</v>
      </c>
      <c r="L32" s="5">
        <v>0.03</v>
      </c>
      <c r="M32" s="6">
        <f t="shared" si="10"/>
        <v>0.59670000000000001</v>
      </c>
      <c r="O32" s="78"/>
    </row>
    <row r="33" spans="1:30" ht="15" customHeight="1" x14ac:dyDescent="0.25">
      <c r="A33" s="83" t="s">
        <v>89</v>
      </c>
      <c r="B33" s="113" t="s">
        <v>18</v>
      </c>
      <c r="C33" s="95" t="s">
        <v>423</v>
      </c>
      <c r="D33" s="85">
        <v>45370</v>
      </c>
      <c r="E33" s="86">
        <v>132.47999999999999</v>
      </c>
      <c r="F33" s="86">
        <v>19.87</v>
      </c>
      <c r="G33" s="94">
        <v>120.94000000000001</v>
      </c>
      <c r="H33" s="86">
        <v>13.51</v>
      </c>
      <c r="I33" s="114">
        <v>45462</v>
      </c>
      <c r="J33" s="50">
        <f>+E33-F33</f>
        <v>112.60999999999999</v>
      </c>
      <c r="K33" s="47">
        <f t="shared" si="9"/>
        <v>92</v>
      </c>
      <c r="L33" s="5">
        <v>0.03</v>
      </c>
      <c r="M33" s="6">
        <f t="shared" si="10"/>
        <v>3.3782999999999994</v>
      </c>
      <c r="O33" s="78"/>
    </row>
    <row r="34" spans="1:30" ht="18" customHeight="1" x14ac:dyDescent="0.25">
      <c r="A34" s="83" t="s">
        <v>76</v>
      </c>
      <c r="B34" s="113" t="s">
        <v>18</v>
      </c>
      <c r="C34" s="95" t="s">
        <v>424</v>
      </c>
      <c r="D34" s="85">
        <v>45371</v>
      </c>
      <c r="E34" s="86">
        <v>23.4</v>
      </c>
      <c r="F34" s="86">
        <v>3.51</v>
      </c>
      <c r="G34" s="94">
        <f>22.7-0.2-0.84</f>
        <v>21.66</v>
      </c>
      <c r="H34" s="86">
        <v>2.81</v>
      </c>
      <c r="I34" s="114">
        <v>45454</v>
      </c>
      <c r="J34" s="50">
        <f>+E34-F34</f>
        <v>19.89</v>
      </c>
      <c r="K34" s="47">
        <f t="shared" si="9"/>
        <v>83</v>
      </c>
      <c r="L34" s="5">
        <v>0.03</v>
      </c>
      <c r="M34" s="6">
        <f t="shared" si="10"/>
        <v>0.59670000000000001</v>
      </c>
      <c r="O34" s="78"/>
    </row>
    <row r="35" spans="1:30" ht="15" customHeight="1" x14ac:dyDescent="0.25">
      <c r="A35" s="83" t="s">
        <v>115</v>
      </c>
      <c r="B35" s="107" t="s">
        <v>18</v>
      </c>
      <c r="C35" s="95" t="s">
        <v>425</v>
      </c>
      <c r="D35" s="85">
        <v>45373</v>
      </c>
      <c r="E35" s="86">
        <v>473.04</v>
      </c>
      <c r="F35" s="86">
        <v>94.62</v>
      </c>
      <c r="G35" s="94">
        <v>406.43</v>
      </c>
      <c r="H35" s="86">
        <v>45.41</v>
      </c>
      <c r="I35" s="114">
        <v>45454</v>
      </c>
      <c r="J35" s="50">
        <f>+E35-F35</f>
        <v>378.42</v>
      </c>
      <c r="K35" s="47">
        <f t="shared" si="9"/>
        <v>81</v>
      </c>
      <c r="L35" s="5">
        <v>0.03</v>
      </c>
      <c r="M35" s="6">
        <f t="shared" si="10"/>
        <v>11.352600000000001</v>
      </c>
      <c r="O35" s="78"/>
    </row>
    <row r="36" spans="1:30" ht="15" customHeight="1" x14ac:dyDescent="0.25">
      <c r="A36" s="83" t="s">
        <v>60</v>
      </c>
      <c r="B36" s="107" t="s">
        <v>61</v>
      </c>
      <c r="C36" s="95" t="s">
        <v>372</v>
      </c>
      <c r="D36" s="85">
        <v>45373</v>
      </c>
      <c r="E36" s="86">
        <v>413.4</v>
      </c>
      <c r="F36" s="86">
        <v>62</v>
      </c>
      <c r="G36" s="94">
        <v>150</v>
      </c>
      <c r="H36" s="86">
        <v>42.17</v>
      </c>
      <c r="I36" s="114">
        <v>45464</v>
      </c>
      <c r="J36" s="50">
        <f>150/1.12</f>
        <v>133.92857142857142</v>
      </c>
      <c r="K36" s="47">
        <f t="shared" si="9"/>
        <v>91</v>
      </c>
      <c r="L36" s="5">
        <v>0.03</v>
      </c>
      <c r="M36" s="6">
        <f t="shared" si="10"/>
        <v>4.0178571428571423</v>
      </c>
      <c r="O36" s="78"/>
    </row>
    <row r="37" spans="1:30" ht="15" customHeight="1" x14ac:dyDescent="0.25">
      <c r="A37" s="83" t="s">
        <v>420</v>
      </c>
      <c r="B37" s="107" t="s">
        <v>57</v>
      </c>
      <c r="C37" s="95" t="s">
        <v>426</v>
      </c>
      <c r="D37" s="85">
        <v>45374</v>
      </c>
      <c r="E37" s="86">
        <v>240</v>
      </c>
      <c r="F37" s="86">
        <v>36</v>
      </c>
      <c r="G37" s="94">
        <v>185</v>
      </c>
      <c r="H37" s="86">
        <v>24.48</v>
      </c>
      <c r="I37" s="114">
        <v>45454</v>
      </c>
      <c r="J37" s="50">
        <f>185/1.12</f>
        <v>165.17857142857142</v>
      </c>
      <c r="K37" s="47">
        <f t="shared" si="9"/>
        <v>80</v>
      </c>
      <c r="L37" s="5">
        <v>0.03</v>
      </c>
      <c r="M37" s="6">
        <f t="shared" si="10"/>
        <v>4.9553571428571423</v>
      </c>
      <c r="O37" s="78"/>
    </row>
    <row r="38" spans="1:30" ht="15" customHeight="1" x14ac:dyDescent="0.25">
      <c r="A38" s="83" t="s">
        <v>106</v>
      </c>
      <c r="B38" s="107" t="s">
        <v>61</v>
      </c>
      <c r="C38" s="95" t="s">
        <v>375</v>
      </c>
      <c r="D38" s="85">
        <v>45376</v>
      </c>
      <c r="E38" s="86">
        <v>650.4</v>
      </c>
      <c r="F38" s="86">
        <v>97.56</v>
      </c>
      <c r="G38" s="94">
        <v>219.18</v>
      </c>
      <c r="H38" s="86">
        <v>66.34</v>
      </c>
      <c r="I38" s="114">
        <v>45450</v>
      </c>
      <c r="J38" s="50">
        <f>219.18/1.12</f>
        <v>195.69642857142856</v>
      </c>
      <c r="K38" s="47">
        <f t="shared" si="9"/>
        <v>74</v>
      </c>
      <c r="L38" s="5">
        <v>0.03</v>
      </c>
      <c r="M38" s="6">
        <f t="shared" si="10"/>
        <v>5.8708928571428567</v>
      </c>
      <c r="O38" s="78"/>
    </row>
    <row r="39" spans="1:30" ht="15" customHeight="1" x14ac:dyDescent="0.25">
      <c r="A39" s="83" t="s">
        <v>47</v>
      </c>
      <c r="B39" s="107" t="s">
        <v>18</v>
      </c>
      <c r="C39" s="95" t="s">
        <v>427</v>
      </c>
      <c r="D39" s="85">
        <v>45383</v>
      </c>
      <c r="E39" s="86">
        <v>68.400000000000006</v>
      </c>
      <c r="F39" s="86">
        <v>11.63</v>
      </c>
      <c r="G39" s="94">
        <v>65.290000000000006</v>
      </c>
      <c r="H39" s="86">
        <v>8.52</v>
      </c>
      <c r="I39" s="105">
        <v>45447</v>
      </c>
      <c r="J39" s="50">
        <f t="shared" ref="J39:J50" si="11">+E39-F39</f>
        <v>56.77</v>
      </c>
      <c r="K39" s="47">
        <f t="shared" si="9"/>
        <v>64</v>
      </c>
      <c r="L39" s="5">
        <v>0.03</v>
      </c>
      <c r="M39" s="6">
        <f t="shared" si="10"/>
        <v>1.7031000000000001</v>
      </c>
      <c r="O39" s="78"/>
    </row>
    <row r="40" spans="1:30" ht="15" customHeight="1" x14ac:dyDescent="0.25">
      <c r="A40" s="91" t="s">
        <v>47</v>
      </c>
      <c r="B40" s="107" t="s">
        <v>18</v>
      </c>
      <c r="C40" s="93" t="s">
        <v>316</v>
      </c>
      <c r="D40" s="88">
        <v>45384</v>
      </c>
      <c r="E40" s="92">
        <v>404.4</v>
      </c>
      <c r="F40" s="92">
        <v>68.739999999999995</v>
      </c>
      <c r="G40" s="96">
        <v>386.01</v>
      </c>
      <c r="H40" s="92">
        <v>50.35</v>
      </c>
      <c r="I40" s="105">
        <v>45447</v>
      </c>
      <c r="J40" s="50">
        <f t="shared" si="11"/>
        <v>335.65999999999997</v>
      </c>
      <c r="K40" s="47">
        <f t="shared" si="9"/>
        <v>63</v>
      </c>
      <c r="L40" s="5">
        <v>0.03</v>
      </c>
      <c r="M40" s="6">
        <f t="shared" si="10"/>
        <v>10.069799999999999</v>
      </c>
      <c r="O40" s="78"/>
    </row>
    <row r="41" spans="1:30" ht="15" customHeight="1" x14ac:dyDescent="0.25">
      <c r="A41" s="83" t="s">
        <v>76</v>
      </c>
      <c r="B41" s="107" t="s">
        <v>18</v>
      </c>
      <c r="C41" s="95" t="s">
        <v>428</v>
      </c>
      <c r="D41" s="85">
        <v>45385</v>
      </c>
      <c r="E41" s="86">
        <v>21.6</v>
      </c>
      <c r="F41" s="86">
        <v>3.24</v>
      </c>
      <c r="G41" s="94">
        <v>20.100000000000001</v>
      </c>
      <c r="H41" s="86">
        <v>2.75</v>
      </c>
      <c r="I41" s="105">
        <v>45454</v>
      </c>
      <c r="J41" s="50">
        <f t="shared" si="11"/>
        <v>18.36</v>
      </c>
      <c r="K41" s="47">
        <f t="shared" si="9"/>
        <v>69</v>
      </c>
      <c r="L41" s="5">
        <v>0.03</v>
      </c>
      <c r="M41" s="6">
        <f t="shared" si="10"/>
        <v>0.55079999999999996</v>
      </c>
      <c r="O41" s="78"/>
    </row>
    <row r="42" spans="1:30" ht="15" customHeight="1" x14ac:dyDescent="0.25">
      <c r="A42" s="83" t="s">
        <v>76</v>
      </c>
      <c r="B42" s="107" t="s">
        <v>18</v>
      </c>
      <c r="C42" s="95" t="s">
        <v>429</v>
      </c>
      <c r="D42" s="85">
        <v>45385</v>
      </c>
      <c r="E42" s="86">
        <v>46.8</v>
      </c>
      <c r="F42" s="86">
        <v>7.02</v>
      </c>
      <c r="G42" s="94">
        <v>43.56</v>
      </c>
      <c r="H42" s="86">
        <v>5.97</v>
      </c>
      <c r="I42" s="105">
        <v>45454</v>
      </c>
      <c r="J42" s="50">
        <f t="shared" si="11"/>
        <v>39.78</v>
      </c>
      <c r="K42" s="47">
        <f t="shared" si="9"/>
        <v>69</v>
      </c>
      <c r="L42" s="5">
        <v>0.03</v>
      </c>
      <c r="M42" s="6">
        <f t="shared" si="10"/>
        <v>1.1934</v>
      </c>
      <c r="O42" s="78"/>
    </row>
    <row r="43" spans="1:30" ht="15" customHeight="1" x14ac:dyDescent="0.25">
      <c r="A43" s="83" t="s">
        <v>76</v>
      </c>
      <c r="B43" s="107" t="s">
        <v>18</v>
      </c>
      <c r="C43" s="95" t="s">
        <v>430</v>
      </c>
      <c r="D43" s="85">
        <v>45390</v>
      </c>
      <c r="E43" s="86">
        <v>278.16000000000003</v>
      </c>
      <c r="F43" s="86">
        <v>41.73</v>
      </c>
      <c r="G43" s="94">
        <v>258.89</v>
      </c>
      <c r="H43" s="86">
        <v>35.46</v>
      </c>
      <c r="I43" s="105">
        <v>45468</v>
      </c>
      <c r="J43" s="50">
        <f t="shared" si="11"/>
        <v>236.43000000000004</v>
      </c>
      <c r="K43" s="47">
        <f t="shared" si="9"/>
        <v>78</v>
      </c>
      <c r="L43" s="5">
        <v>0.03</v>
      </c>
      <c r="M43" s="6">
        <f t="shared" si="10"/>
        <v>7.0929000000000011</v>
      </c>
      <c r="O43" s="78"/>
    </row>
    <row r="44" spans="1:30" ht="15" customHeight="1" x14ac:dyDescent="0.25">
      <c r="A44" s="83" t="s">
        <v>76</v>
      </c>
      <c r="B44" s="107" t="s">
        <v>18</v>
      </c>
      <c r="C44" s="95" t="s">
        <v>431</v>
      </c>
      <c r="D44" s="85">
        <v>45390</v>
      </c>
      <c r="E44" s="86">
        <v>288.60000000000002</v>
      </c>
      <c r="F44" s="86">
        <v>43.29</v>
      </c>
      <c r="G44" s="94">
        <v>268.62</v>
      </c>
      <c r="H44" s="86">
        <v>36.799999999999997</v>
      </c>
      <c r="I44" s="105">
        <v>45468</v>
      </c>
      <c r="J44" s="50">
        <f t="shared" si="11"/>
        <v>245.31000000000003</v>
      </c>
      <c r="K44" s="47">
        <f t="shared" si="9"/>
        <v>78</v>
      </c>
      <c r="L44" s="5">
        <v>0.03</v>
      </c>
      <c r="M44" s="6">
        <f t="shared" si="10"/>
        <v>7.3593000000000011</v>
      </c>
      <c r="N44" s="60"/>
      <c r="O44" s="78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</row>
    <row r="45" spans="1:30" ht="15" customHeight="1" x14ac:dyDescent="0.25">
      <c r="A45" s="83" t="s">
        <v>76</v>
      </c>
      <c r="B45" s="107" t="s">
        <v>18</v>
      </c>
      <c r="C45" s="95" t="s">
        <v>432</v>
      </c>
      <c r="D45" s="85">
        <v>45391</v>
      </c>
      <c r="E45" s="86">
        <v>70.2</v>
      </c>
      <c r="F45" s="86">
        <v>10.53</v>
      </c>
      <c r="G45" s="94">
        <v>65.330000000000013</v>
      </c>
      <c r="H45" s="86">
        <v>8.9499999999999993</v>
      </c>
      <c r="I45" s="105">
        <v>45468</v>
      </c>
      <c r="J45" s="50">
        <f t="shared" si="11"/>
        <v>59.67</v>
      </c>
      <c r="K45" s="47">
        <f t="shared" si="9"/>
        <v>77</v>
      </c>
      <c r="L45" s="5">
        <v>0.03</v>
      </c>
      <c r="M45" s="6">
        <f t="shared" si="10"/>
        <v>1.7901</v>
      </c>
      <c r="O45" s="78"/>
    </row>
    <row r="46" spans="1:30" ht="15" customHeight="1" x14ac:dyDescent="0.25">
      <c r="A46" s="83" t="s">
        <v>76</v>
      </c>
      <c r="B46" s="107" t="s">
        <v>18</v>
      </c>
      <c r="C46" s="95" t="s">
        <v>433</v>
      </c>
      <c r="D46" s="85">
        <v>45392</v>
      </c>
      <c r="E46" s="86">
        <v>221.76</v>
      </c>
      <c r="F46" s="86">
        <v>33.26</v>
      </c>
      <c r="G46" s="94">
        <v>206.41000000000003</v>
      </c>
      <c r="H46" s="86">
        <v>28.28</v>
      </c>
      <c r="I46" s="105">
        <v>45468</v>
      </c>
      <c r="J46" s="50">
        <f t="shared" si="11"/>
        <v>188.5</v>
      </c>
      <c r="K46" s="47">
        <f t="shared" si="9"/>
        <v>76</v>
      </c>
      <c r="L46" s="5">
        <v>0.03</v>
      </c>
      <c r="M46" s="6">
        <f t="shared" si="10"/>
        <v>5.6549999999999994</v>
      </c>
      <c r="O46" s="78"/>
    </row>
    <row r="47" spans="1:30" ht="15" customHeight="1" x14ac:dyDescent="0.25">
      <c r="A47" s="83" t="s">
        <v>76</v>
      </c>
      <c r="B47" s="107" t="s">
        <v>18</v>
      </c>
      <c r="C47" s="95" t="s">
        <v>434</v>
      </c>
      <c r="D47" s="85">
        <v>45393</v>
      </c>
      <c r="E47" s="86">
        <v>171.36</v>
      </c>
      <c r="F47" s="86">
        <v>25.7</v>
      </c>
      <c r="G47" s="94">
        <v>159.48999999999998</v>
      </c>
      <c r="H47" s="86">
        <v>21.85</v>
      </c>
      <c r="I47" s="105">
        <v>45468</v>
      </c>
      <c r="J47" s="50">
        <f t="shared" si="11"/>
        <v>145.66000000000003</v>
      </c>
      <c r="K47" s="47">
        <f t="shared" si="9"/>
        <v>75</v>
      </c>
      <c r="L47" s="5">
        <v>0.03</v>
      </c>
      <c r="M47" s="6">
        <f t="shared" si="10"/>
        <v>4.3698000000000006</v>
      </c>
      <c r="O47" s="78"/>
    </row>
    <row r="48" spans="1:30" s="52" customFormat="1" ht="15" customHeight="1" x14ac:dyDescent="0.25">
      <c r="A48" s="83" t="s">
        <v>89</v>
      </c>
      <c r="B48" s="107" t="s">
        <v>18</v>
      </c>
      <c r="C48" s="95" t="s">
        <v>435</v>
      </c>
      <c r="D48" s="85">
        <v>45426</v>
      </c>
      <c r="E48" s="86">
        <v>310.2</v>
      </c>
      <c r="F48" s="86">
        <v>62.04</v>
      </c>
      <c r="G48" s="94">
        <v>271.72999999999996</v>
      </c>
      <c r="H48" s="86">
        <v>37.22</v>
      </c>
      <c r="I48" s="105">
        <v>45462</v>
      </c>
      <c r="J48" s="50">
        <f t="shared" si="11"/>
        <v>248.16</v>
      </c>
      <c r="K48" s="47">
        <f t="shared" si="9"/>
        <v>36</v>
      </c>
      <c r="L48" s="5">
        <v>0.03</v>
      </c>
      <c r="M48" s="6">
        <f t="shared" si="10"/>
        <v>7.4447999999999999</v>
      </c>
      <c r="N48" s="59"/>
      <c r="O48" s="78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15" ht="15" customHeight="1" x14ac:dyDescent="0.25">
      <c r="A49" s="83" t="s">
        <v>130</v>
      </c>
      <c r="B49" s="107" t="s">
        <v>84</v>
      </c>
      <c r="C49" s="95" t="s">
        <v>436</v>
      </c>
      <c r="D49" s="85">
        <v>45432</v>
      </c>
      <c r="E49" s="86">
        <v>280.8</v>
      </c>
      <c r="F49" s="86">
        <v>42.12</v>
      </c>
      <c r="G49" s="94">
        <v>274.48</v>
      </c>
      <c r="H49" s="86">
        <v>35.799999999999997</v>
      </c>
      <c r="I49" s="105">
        <v>45453</v>
      </c>
      <c r="J49" s="50">
        <f t="shared" si="11"/>
        <v>238.68</v>
      </c>
      <c r="K49" s="47">
        <f t="shared" si="9"/>
        <v>21</v>
      </c>
      <c r="L49" s="5">
        <v>3.5000000000000003E-2</v>
      </c>
      <c r="M49" s="6">
        <f t="shared" si="10"/>
        <v>8.3538000000000014</v>
      </c>
      <c r="O49" s="78"/>
    </row>
    <row r="50" spans="1:15" ht="15" customHeight="1" x14ac:dyDescent="0.25">
      <c r="A50" s="83" t="s">
        <v>89</v>
      </c>
      <c r="B50" s="107" t="s">
        <v>18</v>
      </c>
      <c r="C50" s="95" t="s">
        <v>437</v>
      </c>
      <c r="D50" s="85">
        <v>45434</v>
      </c>
      <c r="E50" s="86">
        <v>428.4</v>
      </c>
      <c r="F50" s="86">
        <v>85.68</v>
      </c>
      <c r="G50" s="94">
        <v>375.28</v>
      </c>
      <c r="H50" s="86">
        <v>51.41</v>
      </c>
      <c r="I50" s="105">
        <v>45462</v>
      </c>
      <c r="J50" s="50">
        <f t="shared" si="11"/>
        <v>342.71999999999997</v>
      </c>
      <c r="K50" s="47">
        <f t="shared" si="9"/>
        <v>28</v>
      </c>
      <c r="L50" s="5">
        <v>3.5000000000000003E-2</v>
      </c>
      <c r="M50" s="6">
        <f t="shared" si="10"/>
        <v>11.995200000000001</v>
      </c>
      <c r="O50" s="78"/>
    </row>
    <row r="51" spans="1:15" ht="15" customHeight="1" x14ac:dyDescent="0.25">
      <c r="A51" s="83" t="s">
        <v>60</v>
      </c>
      <c r="B51" s="107" t="s">
        <v>61</v>
      </c>
      <c r="C51" s="95" t="s">
        <v>439</v>
      </c>
      <c r="D51" s="85">
        <v>45441</v>
      </c>
      <c r="E51" s="86">
        <v>378</v>
      </c>
      <c r="F51" s="86">
        <v>75.599999999999994</v>
      </c>
      <c r="G51" s="94">
        <v>197.76</v>
      </c>
      <c r="H51" s="86">
        <v>45.36</v>
      </c>
      <c r="I51" s="105">
        <v>45464</v>
      </c>
      <c r="J51" s="50">
        <f>150/1.12</f>
        <v>133.92857142857142</v>
      </c>
      <c r="K51" s="47">
        <f t="shared" si="9"/>
        <v>23</v>
      </c>
      <c r="L51" s="5">
        <v>3.5000000000000003E-2</v>
      </c>
      <c r="M51" s="6">
        <f t="shared" si="10"/>
        <v>4.6875</v>
      </c>
      <c r="O51" s="78"/>
    </row>
    <row r="52" spans="1:15" ht="15" customHeight="1" x14ac:dyDescent="0.25">
      <c r="A52" s="83" t="s">
        <v>101</v>
      </c>
      <c r="B52" s="107" t="s">
        <v>18</v>
      </c>
      <c r="C52" s="95" t="s">
        <v>438</v>
      </c>
      <c r="D52" s="85">
        <v>45441</v>
      </c>
      <c r="E52" s="86">
        <v>153.12</v>
      </c>
      <c r="F52" s="86">
        <v>22.96</v>
      </c>
      <c r="G52" s="94">
        <v>149.68</v>
      </c>
      <c r="H52" s="86">
        <v>19.52</v>
      </c>
      <c r="I52" s="105">
        <v>45469</v>
      </c>
      <c r="J52" s="50">
        <f t="shared" ref="J52:J58" si="12">+E52-F52</f>
        <v>130.16</v>
      </c>
      <c r="K52" s="47">
        <f t="shared" si="9"/>
        <v>28</v>
      </c>
      <c r="L52" s="5">
        <v>3.5000000000000003E-2</v>
      </c>
      <c r="M52" s="6">
        <f t="shared" si="10"/>
        <v>4.5556000000000001</v>
      </c>
      <c r="O52" s="78"/>
    </row>
    <row r="53" spans="1:15" ht="15" customHeight="1" x14ac:dyDescent="0.25">
      <c r="A53" s="83" t="s">
        <v>69</v>
      </c>
      <c r="B53" s="107" t="s">
        <v>64</v>
      </c>
      <c r="C53" s="95" t="s">
        <v>440</v>
      </c>
      <c r="D53" s="85">
        <v>45442</v>
      </c>
      <c r="E53" s="86">
        <v>105.6</v>
      </c>
      <c r="F53" s="86">
        <v>15.84</v>
      </c>
      <c r="G53" s="94">
        <v>103.22</v>
      </c>
      <c r="H53" s="86">
        <v>13.46</v>
      </c>
      <c r="I53" s="106">
        <v>45446</v>
      </c>
      <c r="J53" s="50">
        <f t="shared" si="12"/>
        <v>89.759999999999991</v>
      </c>
      <c r="K53" s="47">
        <f t="shared" si="9"/>
        <v>4</v>
      </c>
      <c r="L53" s="5">
        <v>0.04</v>
      </c>
      <c r="M53" s="6">
        <f t="shared" si="10"/>
        <v>3.5903999999999998</v>
      </c>
      <c r="O53" s="78"/>
    </row>
    <row r="54" spans="1:15" ht="15" customHeight="1" x14ac:dyDescent="0.25">
      <c r="A54" s="83" t="s">
        <v>148</v>
      </c>
      <c r="B54" s="113" t="s">
        <v>31</v>
      </c>
      <c r="C54" s="95" t="s">
        <v>70</v>
      </c>
      <c r="D54" s="85">
        <v>45448</v>
      </c>
      <c r="E54" s="86">
        <v>402.24</v>
      </c>
      <c r="F54" s="86">
        <v>100.56</v>
      </c>
      <c r="G54" s="94">
        <v>301.68</v>
      </c>
      <c r="H54" s="86">
        <v>0</v>
      </c>
      <c r="I54" s="106">
        <v>45455</v>
      </c>
      <c r="J54" s="50">
        <f t="shared" si="12"/>
        <v>301.68</v>
      </c>
      <c r="K54" s="47">
        <f t="shared" si="9"/>
        <v>7</v>
      </c>
      <c r="L54" s="5">
        <v>0.04</v>
      </c>
      <c r="M54" s="6">
        <f t="shared" si="10"/>
        <v>12.0672</v>
      </c>
      <c r="O54" s="78"/>
    </row>
    <row r="55" spans="1:15" ht="15" customHeight="1" x14ac:dyDescent="0.25">
      <c r="A55" s="83" t="s">
        <v>102</v>
      </c>
      <c r="B55" s="113" t="s">
        <v>18</v>
      </c>
      <c r="C55" s="95" t="s">
        <v>441</v>
      </c>
      <c r="D55" s="85">
        <v>45450</v>
      </c>
      <c r="E55" s="86">
        <v>70.2</v>
      </c>
      <c r="F55" s="86">
        <v>10.53</v>
      </c>
      <c r="G55" s="94">
        <v>68.62</v>
      </c>
      <c r="H55" s="86">
        <v>8.9499999999999993</v>
      </c>
      <c r="I55" s="106">
        <v>45469</v>
      </c>
      <c r="J55" s="50">
        <f t="shared" si="12"/>
        <v>59.67</v>
      </c>
      <c r="K55" s="47">
        <f t="shared" si="9"/>
        <v>19</v>
      </c>
      <c r="L55" s="5">
        <v>3.5000000000000003E-2</v>
      </c>
      <c r="M55" s="6">
        <f t="shared" si="10"/>
        <v>2.0884500000000004</v>
      </c>
      <c r="O55" s="78"/>
    </row>
    <row r="56" spans="1:15" ht="15" customHeight="1" x14ac:dyDescent="0.25">
      <c r="A56" s="83" t="s">
        <v>40</v>
      </c>
      <c r="B56" s="113" t="s">
        <v>18</v>
      </c>
      <c r="C56" s="95" t="s">
        <v>442</v>
      </c>
      <c r="D56" s="85">
        <v>45455</v>
      </c>
      <c r="E56" s="86">
        <v>204</v>
      </c>
      <c r="F56" s="86">
        <v>40.799999999999997</v>
      </c>
      <c r="G56" s="94">
        <f>187.68-1.63-7.34</f>
        <v>178.71</v>
      </c>
      <c r="H56" s="86">
        <v>24.48</v>
      </c>
      <c r="I56" s="106">
        <v>45471</v>
      </c>
      <c r="J56" s="50">
        <f t="shared" si="12"/>
        <v>163.19999999999999</v>
      </c>
      <c r="K56" s="47">
        <f t="shared" si="9"/>
        <v>16</v>
      </c>
      <c r="L56" s="5">
        <v>3.5000000000000003E-2</v>
      </c>
      <c r="M56" s="6">
        <f t="shared" si="10"/>
        <v>5.7119999999999997</v>
      </c>
      <c r="O56" s="78"/>
    </row>
    <row r="57" spans="1:15" ht="15" customHeight="1" x14ac:dyDescent="0.25">
      <c r="A57" s="83" t="s">
        <v>89</v>
      </c>
      <c r="B57" s="107" t="s">
        <v>18</v>
      </c>
      <c r="C57" s="95" t="s">
        <v>443</v>
      </c>
      <c r="D57" s="85">
        <v>45460</v>
      </c>
      <c r="E57" s="86">
        <v>46.8</v>
      </c>
      <c r="F57" s="86">
        <v>7.02</v>
      </c>
      <c r="G57" s="94">
        <f>45.75-0.4-1.79</f>
        <v>43.56</v>
      </c>
      <c r="H57" s="86">
        <v>5.97</v>
      </c>
      <c r="I57" s="106">
        <v>45460</v>
      </c>
      <c r="J57" s="50">
        <f t="shared" si="12"/>
        <v>39.78</v>
      </c>
      <c r="K57" s="47">
        <f t="shared" si="9"/>
        <v>0</v>
      </c>
      <c r="L57" s="5">
        <v>0.04</v>
      </c>
      <c r="M57" s="6">
        <f t="shared" si="10"/>
        <v>1.5912000000000002</v>
      </c>
      <c r="O57" s="78"/>
    </row>
    <row r="58" spans="1:15" ht="15" customHeight="1" x14ac:dyDescent="0.25">
      <c r="A58" s="83" t="s">
        <v>43</v>
      </c>
      <c r="B58" s="107" t="s">
        <v>18</v>
      </c>
      <c r="C58" s="95" t="s">
        <v>444</v>
      </c>
      <c r="D58" s="85">
        <v>45460</v>
      </c>
      <c r="E58" s="86">
        <v>40.799999999999997</v>
      </c>
      <c r="F58" s="86">
        <v>6.12</v>
      </c>
      <c r="G58" s="94">
        <f>39.88</f>
        <v>39.880000000000003</v>
      </c>
      <c r="H58" s="86">
        <v>5.2</v>
      </c>
      <c r="I58" s="106">
        <v>45460</v>
      </c>
      <c r="J58" s="50">
        <f t="shared" si="12"/>
        <v>34.68</v>
      </c>
      <c r="K58" s="47">
        <f t="shared" si="9"/>
        <v>0</v>
      </c>
      <c r="L58" s="5">
        <v>0.04</v>
      </c>
      <c r="M58" s="6">
        <f t="shared" si="10"/>
        <v>1.3872</v>
      </c>
      <c r="O58" s="78"/>
    </row>
    <row r="59" spans="1:15" ht="15" customHeight="1" x14ac:dyDescent="0.25">
      <c r="A59" s="115"/>
      <c r="B59" s="136"/>
      <c r="C59" s="117"/>
      <c r="D59" s="118"/>
      <c r="E59" s="119"/>
      <c r="F59" s="119"/>
      <c r="G59" s="120"/>
      <c r="H59" s="119"/>
      <c r="I59" s="121"/>
      <c r="J59" s="50"/>
      <c r="K59" s="47"/>
      <c r="L59" s="5"/>
      <c r="M59" s="6"/>
      <c r="O59" s="78"/>
    </row>
    <row r="60" spans="1:15" ht="15" customHeight="1" x14ac:dyDescent="0.3">
      <c r="G60" s="16">
        <f>SUM(G31:G59)</f>
        <v>4645.59</v>
      </c>
      <c r="J60" s="16">
        <f>SUM(J31:J59)</f>
        <v>4173.9521428571416</v>
      </c>
      <c r="M60" s="16">
        <f>SUM(M31:M59)</f>
        <v>135.21935714285712</v>
      </c>
    </row>
    <row r="61" spans="1:15" ht="15" customHeight="1" x14ac:dyDescent="0.25">
      <c r="G61" s="8"/>
      <c r="H61" s="8"/>
    </row>
    <row r="62" spans="1:15" ht="15" customHeight="1" x14ac:dyDescent="0.25">
      <c r="A62" s="17" t="s">
        <v>19</v>
      </c>
      <c r="B62" s="17" t="s">
        <v>20</v>
      </c>
      <c r="C62" s="18" t="s">
        <v>21</v>
      </c>
      <c r="I62" s="8"/>
      <c r="J62" s="8"/>
    </row>
    <row r="63" spans="1:15" s="52" customFormat="1" ht="15" customHeight="1" x14ac:dyDescent="0.25">
      <c r="A63" s="91" t="s">
        <v>93</v>
      </c>
      <c r="B63" s="101" t="s">
        <v>445</v>
      </c>
      <c r="C63" s="93" t="s">
        <v>450</v>
      </c>
      <c r="D63" s="88">
        <v>45442</v>
      </c>
      <c r="E63" s="92">
        <v>255.36</v>
      </c>
      <c r="F63" s="92">
        <v>38.299999999999997</v>
      </c>
      <c r="G63" s="90">
        <v>249.62</v>
      </c>
      <c r="H63" s="92">
        <v>32.56</v>
      </c>
      <c r="I63" s="105">
        <v>45478</v>
      </c>
      <c r="J63" s="50">
        <f>+E63-F63</f>
        <v>217.06</v>
      </c>
      <c r="K63" s="47">
        <f t="shared" ref="K63:K68" si="13">+I63-D63</f>
        <v>36</v>
      </c>
      <c r="L63" s="48">
        <v>0.03</v>
      </c>
      <c r="M63" s="49">
        <f t="shared" ref="M63:M68" si="14">+J63*L63</f>
        <v>6.5118</v>
      </c>
      <c r="N63" s="60"/>
      <c r="O63" s="78"/>
    </row>
    <row r="64" spans="1:15" s="52" customFormat="1" ht="15" customHeight="1" x14ac:dyDescent="0.25">
      <c r="A64" s="91" t="s">
        <v>42</v>
      </c>
      <c r="B64" s="101" t="s">
        <v>446</v>
      </c>
      <c r="C64" s="93" t="s">
        <v>451</v>
      </c>
      <c r="D64" s="88">
        <v>45454</v>
      </c>
      <c r="E64" s="92">
        <v>174</v>
      </c>
      <c r="F64" s="92">
        <v>26.1</v>
      </c>
      <c r="G64" s="96">
        <v>161.95000000000002</v>
      </c>
      <c r="H64" s="92">
        <v>22.19</v>
      </c>
      <c r="I64" s="106">
        <v>45490</v>
      </c>
      <c r="J64" s="50">
        <f>+E64-F64</f>
        <v>147.9</v>
      </c>
      <c r="K64" s="47">
        <f t="shared" si="13"/>
        <v>36</v>
      </c>
      <c r="L64" s="48">
        <v>0.03</v>
      </c>
      <c r="M64" s="49">
        <f t="shared" si="14"/>
        <v>4.4370000000000003</v>
      </c>
      <c r="N64" s="60"/>
      <c r="O64" s="78"/>
    </row>
    <row r="65" spans="1:15" s="52" customFormat="1" ht="15" customHeight="1" x14ac:dyDescent="0.25">
      <c r="A65" s="91" t="s">
        <v>102</v>
      </c>
      <c r="B65" s="101" t="s">
        <v>447</v>
      </c>
      <c r="C65" s="93" t="s">
        <v>452</v>
      </c>
      <c r="D65" s="88">
        <v>45455</v>
      </c>
      <c r="E65" s="92">
        <v>148.19999999999999</v>
      </c>
      <c r="F65" s="92">
        <v>22.23</v>
      </c>
      <c r="G65" s="96">
        <v>144.86999999999998</v>
      </c>
      <c r="H65" s="92">
        <v>18.899999999999999</v>
      </c>
      <c r="I65" s="106">
        <v>45485</v>
      </c>
      <c r="J65" s="50">
        <f>+E65-F65</f>
        <v>125.96999999999998</v>
      </c>
      <c r="K65" s="47">
        <f t="shared" si="13"/>
        <v>30</v>
      </c>
      <c r="L65" s="48">
        <v>0.03</v>
      </c>
      <c r="M65" s="49">
        <f t="shared" si="14"/>
        <v>3.7790999999999992</v>
      </c>
      <c r="N65" s="60"/>
      <c r="O65" s="78"/>
    </row>
    <row r="66" spans="1:15" s="52" customFormat="1" ht="15" customHeight="1" x14ac:dyDescent="0.25">
      <c r="A66" s="91" t="s">
        <v>42</v>
      </c>
      <c r="B66" s="101" t="s">
        <v>446</v>
      </c>
      <c r="C66" s="93" t="s">
        <v>453</v>
      </c>
      <c r="D66" s="88">
        <v>45457</v>
      </c>
      <c r="E66" s="92">
        <v>285.60000000000002</v>
      </c>
      <c r="F66" s="92">
        <v>42.84</v>
      </c>
      <c r="G66" s="96">
        <v>265.82</v>
      </c>
      <c r="H66" s="92">
        <v>36.409999999999997</v>
      </c>
      <c r="I66" s="106">
        <v>45490</v>
      </c>
      <c r="J66" s="50">
        <f t="shared" ref="J66:J68" si="15">+E66-F66</f>
        <v>242.76000000000002</v>
      </c>
      <c r="K66" s="47">
        <f t="shared" si="13"/>
        <v>33</v>
      </c>
      <c r="L66" s="48">
        <v>0.03</v>
      </c>
      <c r="M66" s="49">
        <f t="shared" si="14"/>
        <v>7.2827999999999999</v>
      </c>
      <c r="N66" s="60"/>
      <c r="O66" s="78"/>
    </row>
    <row r="67" spans="1:15" s="52" customFormat="1" ht="15" customHeight="1" x14ac:dyDescent="0.25">
      <c r="A67" s="91" t="s">
        <v>41</v>
      </c>
      <c r="B67" s="101" t="s">
        <v>448</v>
      </c>
      <c r="C67" s="93" t="s">
        <v>454</v>
      </c>
      <c r="D67" s="88">
        <v>45461</v>
      </c>
      <c r="E67" s="92">
        <v>759.9</v>
      </c>
      <c r="F67" s="92">
        <v>113.99</v>
      </c>
      <c r="G67" s="96">
        <v>707.26999999999987</v>
      </c>
      <c r="H67" s="92">
        <v>96.89</v>
      </c>
      <c r="I67" s="106">
        <v>45491</v>
      </c>
      <c r="J67" s="50">
        <f t="shared" si="15"/>
        <v>645.91</v>
      </c>
      <c r="K67" s="47">
        <f t="shared" si="13"/>
        <v>30</v>
      </c>
      <c r="L67" s="48">
        <v>0.03</v>
      </c>
      <c r="M67" s="49">
        <f t="shared" si="14"/>
        <v>19.377299999999998</v>
      </c>
      <c r="N67" s="60"/>
      <c r="O67" s="78"/>
    </row>
    <row r="68" spans="1:15" s="52" customFormat="1" ht="15" customHeight="1" x14ac:dyDescent="0.25">
      <c r="A68" s="91" t="s">
        <v>40</v>
      </c>
      <c r="B68" s="101" t="s">
        <v>449</v>
      </c>
      <c r="C68" s="93" t="s">
        <v>455</v>
      </c>
      <c r="D68" s="88">
        <v>45469</v>
      </c>
      <c r="E68" s="92">
        <v>1108.8</v>
      </c>
      <c r="F68" s="92">
        <v>277.2</v>
      </c>
      <c r="G68" s="96">
        <v>910.6</v>
      </c>
      <c r="H68" s="92">
        <v>124.74</v>
      </c>
      <c r="I68" s="106">
        <v>45499</v>
      </c>
      <c r="J68" s="50">
        <f t="shared" si="15"/>
        <v>831.59999999999991</v>
      </c>
      <c r="K68" s="47">
        <f t="shared" si="13"/>
        <v>30</v>
      </c>
      <c r="L68" s="48">
        <v>0.03</v>
      </c>
      <c r="M68" s="49">
        <f t="shared" si="14"/>
        <v>24.947999999999997</v>
      </c>
      <c r="N68" s="60"/>
      <c r="O68" s="78"/>
    </row>
    <row r="69" spans="1:15" s="1" customFormat="1" ht="15" customHeight="1" thickBot="1" x14ac:dyDescent="0.3">
      <c r="A69" s="152"/>
      <c r="B69" s="153"/>
      <c r="C69" s="154"/>
      <c r="D69" s="155"/>
      <c r="E69" s="156"/>
      <c r="F69" s="156"/>
      <c r="G69" s="90"/>
      <c r="H69" s="92"/>
      <c r="I69" s="105"/>
      <c r="J69" s="50"/>
      <c r="K69" s="47"/>
      <c r="L69" s="48"/>
      <c r="M69" s="53"/>
      <c r="N69" s="74"/>
      <c r="O69" s="78"/>
    </row>
    <row r="70" spans="1:15" ht="15" customHeight="1" thickBot="1" x14ac:dyDescent="0.35">
      <c r="A70" s="332" t="s">
        <v>29</v>
      </c>
      <c r="B70" s="332"/>
      <c r="C70" s="332"/>
      <c r="D70" s="332"/>
      <c r="E70" s="332"/>
      <c r="F70" s="332"/>
      <c r="G70" s="16">
        <f>SUM(G60:G69)</f>
        <v>7085.7199999999993</v>
      </c>
      <c r="J70" s="16">
        <f>SUM(J60:J69)</f>
        <v>6385.1521428571414</v>
      </c>
      <c r="L70" s="20"/>
      <c r="M70" s="21">
        <f>SUM(M60:M69)</f>
        <v>201.55535714285713</v>
      </c>
    </row>
    <row r="71" spans="1:15" ht="15" customHeight="1" x14ac:dyDescent="0.3">
      <c r="A71" s="22"/>
      <c r="G71" s="8"/>
    </row>
    <row r="72" spans="1:15" ht="15" customHeight="1" x14ac:dyDescent="0.3">
      <c r="A72" s="39"/>
      <c r="G72" s="8"/>
      <c r="J72" s="8"/>
    </row>
    <row r="73" spans="1:15" ht="15" customHeight="1" x14ac:dyDescent="0.3">
      <c r="A73" s="39"/>
      <c r="G73" s="8"/>
      <c r="J73" s="8"/>
    </row>
    <row r="74" spans="1:15" ht="15" customHeight="1" x14ac:dyDescent="0.3">
      <c r="A74" s="39"/>
      <c r="G74" s="8"/>
      <c r="J74" s="8"/>
    </row>
    <row r="75" spans="1:15" ht="15" customHeight="1" x14ac:dyDescent="0.3">
      <c r="A75" s="39"/>
      <c r="G75" s="8">
        <f>4320-764.23</f>
        <v>3555.77</v>
      </c>
      <c r="J75" s="8"/>
    </row>
    <row r="76" spans="1:15" ht="15" customHeight="1" x14ac:dyDescent="0.3">
      <c r="A76" s="39"/>
      <c r="G76" s="8"/>
      <c r="J76" s="8"/>
    </row>
    <row r="77" spans="1:15" ht="15" customHeight="1" x14ac:dyDescent="0.3">
      <c r="A77" s="39"/>
      <c r="G77" s="8">
        <f>4491.19+15843.43</f>
        <v>20334.62</v>
      </c>
      <c r="J77" s="8">
        <f>(J21+J70)*2%</f>
        <v>180.12464285714282</v>
      </c>
      <c r="M77" s="8">
        <f>M21/12</f>
        <v>6.8586999999999989</v>
      </c>
      <c r="N77" s="59" t="s">
        <v>342</v>
      </c>
    </row>
    <row r="78" spans="1:15" ht="15" customHeight="1" x14ac:dyDescent="0.3">
      <c r="A78" s="39"/>
      <c r="G78" s="8">
        <f>G77*2%</f>
        <v>406.69239999999996</v>
      </c>
      <c r="J78" s="185">
        <f>J77/12</f>
        <v>15.010386904761901</v>
      </c>
      <c r="M78" s="8">
        <f>M21/24</f>
        <v>3.4293499999999995</v>
      </c>
      <c r="N78" s="59" t="s">
        <v>342</v>
      </c>
    </row>
    <row r="79" spans="1:15" ht="15" customHeight="1" x14ac:dyDescent="0.3">
      <c r="A79" s="39"/>
      <c r="G79" s="8"/>
      <c r="J79" s="185">
        <f>J77/24</f>
        <v>7.5051934523809507</v>
      </c>
      <c r="M79" s="8">
        <f>M70/12</f>
        <v>16.79627976190476</v>
      </c>
      <c r="N79" s="59" t="s">
        <v>341</v>
      </c>
      <c r="O79" s="8"/>
    </row>
    <row r="80" spans="1:15" ht="15" customHeight="1" x14ac:dyDescent="0.3">
      <c r="A80" s="39"/>
      <c r="G80" s="8"/>
      <c r="J80" s="8"/>
      <c r="M80" s="8">
        <f>M70/24</f>
        <v>8.39813988095238</v>
      </c>
      <c r="N80" s="59" t="s">
        <v>341</v>
      </c>
      <c r="O80" s="8"/>
    </row>
    <row r="81" spans="1:14" ht="15" customHeight="1" x14ac:dyDescent="0.3">
      <c r="A81" s="39"/>
      <c r="G81" s="8"/>
      <c r="J81" s="8"/>
      <c r="M81" s="8"/>
    </row>
    <row r="82" spans="1:14" ht="15" customHeight="1" x14ac:dyDescent="0.3">
      <c r="A82" s="39"/>
      <c r="G82" s="8"/>
      <c r="J82" s="8"/>
      <c r="M82" s="8">
        <f>M77+M79</f>
        <v>23.654979761904759</v>
      </c>
      <c r="N82" s="186" t="s">
        <v>877</v>
      </c>
    </row>
    <row r="83" spans="1:14" ht="15" customHeight="1" x14ac:dyDescent="0.3">
      <c r="A83" s="39"/>
      <c r="G83" s="8"/>
      <c r="J83" s="8"/>
      <c r="M83" s="8">
        <f>M78+M80</f>
        <v>11.827489880952379</v>
      </c>
      <c r="N83" s="186" t="s">
        <v>878</v>
      </c>
    </row>
    <row r="84" spans="1:14" ht="15" customHeight="1" x14ac:dyDescent="0.3">
      <c r="A84" s="39"/>
      <c r="G84" s="8"/>
      <c r="J84" s="8"/>
    </row>
    <row r="85" spans="1:14" ht="15" customHeight="1" x14ac:dyDescent="0.3">
      <c r="A85" s="39"/>
      <c r="G85" s="8"/>
      <c r="J85" s="8"/>
    </row>
    <row r="86" spans="1:14" ht="15" customHeight="1" x14ac:dyDescent="0.3">
      <c r="A86" s="39"/>
      <c r="G86" s="8"/>
      <c r="J86" s="8"/>
    </row>
    <row r="87" spans="1:14" ht="15" customHeight="1" x14ac:dyDescent="0.3">
      <c r="A87" s="22"/>
      <c r="K87" s="15"/>
    </row>
  </sheetData>
  <sortState xmlns:xlrd2="http://schemas.microsoft.com/office/spreadsheetml/2017/richdata2" ref="A31:AD58">
    <sortCondition ref="D31:D58"/>
  </sortState>
  <mergeCells count="7">
    <mergeCell ref="A70:F70"/>
    <mergeCell ref="A2:F2"/>
    <mergeCell ref="A3:F3"/>
    <mergeCell ref="A12:F12"/>
    <mergeCell ref="A21:F21"/>
    <mergeCell ref="A25:F25"/>
    <mergeCell ref="A26:F26"/>
  </mergeCells>
  <pageMargins left="0.19685039370078741" right="0" top="0.39370078740157483" bottom="0" header="0" footer="0"/>
  <pageSetup paperSize="9" scale="75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101"/>
  <sheetViews>
    <sheetView topLeftCell="A99" workbookViewId="0">
      <selection activeCell="A112" sqref="A112"/>
    </sheetView>
  </sheetViews>
  <sheetFormatPr baseColWidth="10" defaultColWidth="11.44140625" defaultRowHeight="13.2" x14ac:dyDescent="0.25"/>
  <cols>
    <col min="1" max="1" width="41.6640625" style="7" customWidth="1"/>
    <col min="2" max="2" width="30.88671875" style="7" customWidth="1"/>
    <col min="3" max="3" width="13.109375" style="7" customWidth="1"/>
    <col min="4" max="4" width="12" style="63" customWidth="1"/>
    <col min="5" max="5" width="11.44140625" style="7"/>
    <col min="6" max="6" width="9.5546875" style="7" customWidth="1"/>
    <col min="7" max="7" width="12.5546875" style="7" customWidth="1"/>
    <col min="8" max="8" width="10.109375" style="7" customWidth="1"/>
    <col min="9" max="9" width="11.88671875" style="63" customWidth="1"/>
    <col min="10" max="10" width="12.44140625" style="7" customWidth="1"/>
    <col min="11" max="11" width="7.109375" style="7" customWidth="1"/>
    <col min="12" max="12" width="7.33203125" style="7" customWidth="1"/>
    <col min="13" max="13" width="10.33203125" style="7" customWidth="1"/>
    <col min="14" max="14" width="9.33203125" style="59" customWidth="1"/>
    <col min="15" max="16" width="8" style="7" customWidth="1"/>
    <col min="17" max="16384" width="11.44140625" style="7"/>
  </cols>
  <sheetData>
    <row r="1" spans="1:30" ht="15" customHeight="1" x14ac:dyDescent="0.25">
      <c r="B1" s="8"/>
      <c r="C1" s="8"/>
      <c r="G1" s="8"/>
    </row>
    <row r="2" spans="1:30" ht="15" customHeight="1" x14ac:dyDescent="0.25">
      <c r="A2" s="331" t="s">
        <v>0</v>
      </c>
      <c r="B2" s="331"/>
      <c r="C2" s="331"/>
      <c r="D2" s="331"/>
      <c r="E2" s="331"/>
      <c r="F2" s="331"/>
      <c r="G2" s="24"/>
      <c r="H2" s="25"/>
      <c r="I2" s="65"/>
      <c r="J2" s="26"/>
      <c r="K2" s="27"/>
      <c r="L2" s="28"/>
      <c r="M2" s="29"/>
    </row>
    <row r="3" spans="1:30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65"/>
      <c r="J3" s="27"/>
      <c r="K3" s="27"/>
      <c r="L3" s="28"/>
      <c r="M3" s="29"/>
    </row>
    <row r="4" spans="1:30" ht="15" customHeight="1" x14ac:dyDescent="0.25">
      <c r="A4" s="30"/>
      <c r="B4" s="31" t="s">
        <v>466</v>
      </c>
      <c r="C4" s="30"/>
      <c r="D4" s="64"/>
      <c r="E4" s="30"/>
      <c r="F4" s="30"/>
      <c r="G4" s="24"/>
      <c r="H4" s="25"/>
      <c r="I4" s="65"/>
      <c r="J4" s="27"/>
      <c r="K4" s="27"/>
      <c r="L4" s="28"/>
      <c r="M4" s="29"/>
    </row>
    <row r="5" spans="1:30" ht="15" customHeight="1" thickBot="1" x14ac:dyDescent="0.3">
      <c r="A5" s="30"/>
      <c r="B5" s="31" t="s">
        <v>2</v>
      </c>
      <c r="C5" s="30"/>
      <c r="D5" s="64"/>
      <c r="E5" s="30"/>
      <c r="F5" s="30"/>
      <c r="G5" s="32"/>
      <c r="H5" s="24"/>
      <c r="I5" s="69"/>
      <c r="J5" s="33"/>
      <c r="K5" s="27"/>
      <c r="L5" s="28"/>
      <c r="M5" s="29"/>
    </row>
    <row r="6" spans="1:30" ht="15" customHeight="1" x14ac:dyDescent="0.25">
      <c r="A6" s="34" t="s">
        <v>66</v>
      </c>
      <c r="B6" s="33"/>
      <c r="C6" s="33"/>
      <c r="D6" s="65"/>
      <c r="E6" s="33"/>
      <c r="F6" s="33"/>
      <c r="G6" s="35" t="s">
        <v>3</v>
      </c>
      <c r="H6" s="27"/>
      <c r="I6" s="65"/>
      <c r="J6" s="36" t="s">
        <v>4</v>
      </c>
      <c r="K6" s="56" t="s">
        <v>5</v>
      </c>
      <c r="L6" s="40" t="s">
        <v>6</v>
      </c>
      <c r="M6" s="36" t="s">
        <v>7</v>
      </c>
    </row>
    <row r="7" spans="1:30" ht="15" customHeight="1" thickBot="1" x14ac:dyDescent="0.3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12" t="s">
        <v>13</v>
      </c>
      <c r="H7" s="13" t="s">
        <v>14</v>
      </c>
      <c r="I7" s="70" t="s">
        <v>15</v>
      </c>
      <c r="J7" s="14" t="s">
        <v>16</v>
      </c>
      <c r="K7" s="57"/>
      <c r="L7" s="58" t="s">
        <v>17</v>
      </c>
      <c r="M7" s="14" t="s">
        <v>39</v>
      </c>
    </row>
    <row r="8" spans="1:30" s="49" customFormat="1" ht="15" customHeight="1" x14ac:dyDescent="0.25">
      <c r="A8" s="83" t="s">
        <v>36</v>
      </c>
      <c r="B8" s="55" t="s">
        <v>23</v>
      </c>
      <c r="C8" s="95" t="s">
        <v>467</v>
      </c>
      <c r="D8" s="85">
        <v>45404</v>
      </c>
      <c r="E8" s="86">
        <v>649.20000000000005</v>
      </c>
      <c r="F8" s="86">
        <v>129.84</v>
      </c>
      <c r="G8" s="94">
        <v>568.69999999999993</v>
      </c>
      <c r="H8" s="86">
        <v>77.900000000000006</v>
      </c>
      <c r="I8" s="105">
        <v>45485</v>
      </c>
      <c r="J8" s="50">
        <f t="shared" ref="J8" si="0">+E8-F8</f>
        <v>519.36</v>
      </c>
      <c r="K8" s="47">
        <f t="shared" ref="K8" si="1">+I8-D8</f>
        <v>81</v>
      </c>
      <c r="L8" s="48">
        <v>0.03</v>
      </c>
      <c r="M8" s="49">
        <f t="shared" ref="M8" si="2">+J8*L8</f>
        <v>15.5808</v>
      </c>
      <c r="N8" s="74"/>
      <c r="O8" s="78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s="49" customFormat="1" ht="15" customHeight="1" x14ac:dyDescent="0.25">
      <c r="A9" s="83" t="s">
        <v>80</v>
      </c>
      <c r="B9" s="113" t="s">
        <v>18</v>
      </c>
      <c r="C9" s="95" t="s">
        <v>468</v>
      </c>
      <c r="D9" s="85">
        <v>45455</v>
      </c>
      <c r="E9" s="86">
        <v>432</v>
      </c>
      <c r="F9" s="86">
        <v>86.4</v>
      </c>
      <c r="G9" s="94">
        <v>378.43</v>
      </c>
      <c r="H9" s="86">
        <v>51.84</v>
      </c>
      <c r="I9" s="106">
        <v>45485</v>
      </c>
      <c r="J9" s="50">
        <f t="shared" ref="J9" si="3">+E9-F9</f>
        <v>345.6</v>
      </c>
      <c r="K9" s="47">
        <f t="shared" ref="K9" si="4">+I9-D9</f>
        <v>30</v>
      </c>
      <c r="L9" s="48">
        <v>0.03</v>
      </c>
      <c r="M9" s="49">
        <f t="shared" ref="M9" si="5">+J9*L9</f>
        <v>10.368</v>
      </c>
      <c r="N9" s="74"/>
      <c r="O9" s="78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s="49" customFormat="1" ht="15" customHeight="1" x14ac:dyDescent="0.25">
      <c r="A10" s="51"/>
      <c r="B10" s="116"/>
      <c r="C10" s="116"/>
      <c r="D10" s="122"/>
      <c r="E10" s="123"/>
      <c r="F10" s="123"/>
      <c r="G10" s="124"/>
      <c r="H10" s="125"/>
      <c r="I10" s="126"/>
      <c r="J10" s="50"/>
      <c r="K10" s="47"/>
      <c r="L10" s="48"/>
      <c r="N10" s="74"/>
      <c r="O10" s="7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s="52" customFormat="1" ht="15" customHeight="1" x14ac:dyDescent="0.25">
      <c r="A11" s="333"/>
      <c r="B11" s="333"/>
      <c r="C11" s="333"/>
      <c r="D11" s="333"/>
      <c r="E11" s="333"/>
      <c r="F11" s="333"/>
      <c r="G11" s="75">
        <f>SUM(G8:G10)</f>
        <v>947.12999999999988</v>
      </c>
      <c r="H11" s="80"/>
      <c r="I11" s="81"/>
      <c r="J11" s="75">
        <f>SUM(J8:J10)</f>
        <v>864.96</v>
      </c>
      <c r="K11" s="82"/>
      <c r="L11" s="82"/>
      <c r="M11" s="75">
        <f>SUM(M8:M10)</f>
        <v>25.948799999999999</v>
      </c>
      <c r="N11" s="60"/>
    </row>
    <row r="12" spans="1:30" s="52" customFormat="1" ht="15" customHeight="1" x14ac:dyDescent="0.25">
      <c r="A12" s="76"/>
      <c r="B12" s="76"/>
      <c r="C12" s="76"/>
      <c r="D12" s="77"/>
      <c r="E12" s="76"/>
      <c r="F12" s="76"/>
      <c r="G12" s="78"/>
      <c r="I12" s="79"/>
      <c r="N12" s="60"/>
    </row>
    <row r="13" spans="1:30" s="52" customFormat="1" ht="15" customHeight="1" x14ac:dyDescent="0.25">
      <c r="A13" s="76"/>
      <c r="B13" s="76"/>
      <c r="C13" s="76"/>
      <c r="D13" s="77"/>
      <c r="E13" s="76"/>
      <c r="F13" s="76"/>
      <c r="G13" s="78"/>
      <c r="I13" s="79"/>
      <c r="J13" s="78"/>
      <c r="M13" s="78"/>
      <c r="N13" s="60"/>
    </row>
    <row r="14" spans="1:30" s="52" customFormat="1" ht="15" customHeight="1" x14ac:dyDescent="0.25">
      <c r="A14" s="52" t="s">
        <v>19</v>
      </c>
      <c r="B14" s="52" t="s">
        <v>20</v>
      </c>
      <c r="C14" s="76" t="s">
        <v>21</v>
      </c>
      <c r="D14" s="79"/>
      <c r="G14" s="78"/>
      <c r="I14" s="79"/>
      <c r="N14" s="60"/>
    </row>
    <row r="15" spans="1:30" s="1" customFormat="1" ht="15" customHeight="1" x14ac:dyDescent="0.25">
      <c r="A15" s="91" t="s">
        <v>87</v>
      </c>
      <c r="B15" s="101" t="s">
        <v>472</v>
      </c>
      <c r="C15" s="93" t="s">
        <v>469</v>
      </c>
      <c r="D15" s="88">
        <v>45397</v>
      </c>
      <c r="E15" s="92">
        <v>1260.3599999999999</v>
      </c>
      <c r="F15" s="92">
        <v>252.07</v>
      </c>
      <c r="G15" s="90">
        <v>1008.29</v>
      </c>
      <c r="H15" s="92">
        <v>0</v>
      </c>
      <c r="I15" s="105">
        <v>45565</v>
      </c>
      <c r="J15" s="50">
        <f t="shared" ref="J15:J17" si="6">+E15-F15</f>
        <v>1008.29</v>
      </c>
      <c r="K15" s="47">
        <f t="shared" ref="K15:K17" si="7">+I15-D15</f>
        <v>168</v>
      </c>
      <c r="L15" s="48">
        <v>0.03</v>
      </c>
      <c r="M15" s="49">
        <f t="shared" ref="M15:M17" si="8">+J15*L15</f>
        <v>30.248699999999999</v>
      </c>
      <c r="N15" s="74"/>
      <c r="O15" s="78"/>
    </row>
    <row r="16" spans="1:30" s="1" customFormat="1" ht="15" customHeight="1" x14ac:dyDescent="0.25">
      <c r="A16" s="91" t="s">
        <v>87</v>
      </c>
      <c r="B16" s="101" t="s">
        <v>473</v>
      </c>
      <c r="C16" s="93" t="s">
        <v>67</v>
      </c>
      <c r="D16" s="88">
        <v>45453</v>
      </c>
      <c r="E16" s="92">
        <v>2549.04</v>
      </c>
      <c r="F16" s="92">
        <v>509.81</v>
      </c>
      <c r="G16" s="96">
        <v>1519.96</v>
      </c>
      <c r="H16" s="92">
        <v>0</v>
      </c>
      <c r="I16" s="106">
        <v>45565</v>
      </c>
      <c r="J16" s="50">
        <f t="shared" si="6"/>
        <v>2039.23</v>
      </c>
      <c r="K16" s="47">
        <f t="shared" si="7"/>
        <v>112</v>
      </c>
      <c r="L16" s="48">
        <v>0.03</v>
      </c>
      <c r="M16" s="49">
        <f t="shared" si="8"/>
        <v>61.176899999999996</v>
      </c>
      <c r="N16" s="74"/>
      <c r="O16" s="78"/>
    </row>
    <row r="17" spans="1:15" s="1" customFormat="1" ht="15" customHeight="1" x14ac:dyDescent="0.25">
      <c r="A17" s="91" t="s">
        <v>52</v>
      </c>
      <c r="B17" s="101" t="s">
        <v>474</v>
      </c>
      <c r="C17" s="93" t="s">
        <v>470</v>
      </c>
      <c r="D17" s="88">
        <v>45474</v>
      </c>
      <c r="E17" s="92">
        <v>140.4</v>
      </c>
      <c r="F17" s="92">
        <v>35.1</v>
      </c>
      <c r="G17" s="96">
        <v>115.31</v>
      </c>
      <c r="H17" s="92">
        <v>15.8</v>
      </c>
      <c r="I17" s="88">
        <v>45549</v>
      </c>
      <c r="J17" s="50">
        <f t="shared" si="6"/>
        <v>105.30000000000001</v>
      </c>
      <c r="K17" s="47">
        <f t="shared" si="7"/>
        <v>75</v>
      </c>
      <c r="L17" s="48">
        <v>0.03</v>
      </c>
      <c r="M17" s="49">
        <f t="shared" si="8"/>
        <v>3.1590000000000003</v>
      </c>
      <c r="N17" s="74"/>
      <c r="O17" s="78"/>
    </row>
    <row r="18" spans="1:15" s="1" customFormat="1" ht="15" customHeight="1" x14ac:dyDescent="0.25">
      <c r="A18" s="91" t="s">
        <v>87</v>
      </c>
      <c r="B18" s="101" t="s">
        <v>475</v>
      </c>
      <c r="C18" s="93" t="s">
        <v>72</v>
      </c>
      <c r="D18" s="88">
        <v>45480</v>
      </c>
      <c r="E18" s="92">
        <v>1918.92</v>
      </c>
      <c r="F18" s="92">
        <v>383.78</v>
      </c>
      <c r="G18" s="96">
        <v>1527.5500000000002</v>
      </c>
      <c r="H18" s="92">
        <v>0</v>
      </c>
      <c r="I18" s="88">
        <v>45595</v>
      </c>
      <c r="J18" s="50">
        <f t="shared" ref="J18:J19" si="9">+E18-F18</f>
        <v>1535.14</v>
      </c>
      <c r="K18" s="47">
        <f t="shared" ref="K18:K19" si="10">+I18-D18</f>
        <v>115</v>
      </c>
      <c r="L18" s="48">
        <v>0.03</v>
      </c>
      <c r="M18" s="49">
        <f t="shared" ref="M18:M19" si="11">+J18*L18</f>
        <v>46.054200000000002</v>
      </c>
      <c r="N18" s="74"/>
      <c r="O18" s="78"/>
    </row>
    <row r="19" spans="1:15" s="1" customFormat="1" ht="15" customHeight="1" x14ac:dyDescent="0.25">
      <c r="A19" s="91" t="s">
        <v>52</v>
      </c>
      <c r="B19" s="101" t="s">
        <v>474</v>
      </c>
      <c r="C19" s="93" t="s">
        <v>471</v>
      </c>
      <c r="D19" s="88">
        <v>45485</v>
      </c>
      <c r="E19" s="92">
        <v>216</v>
      </c>
      <c r="F19" s="92">
        <v>54</v>
      </c>
      <c r="G19" s="96">
        <v>177.39000000000001</v>
      </c>
      <c r="H19" s="92">
        <v>24.3</v>
      </c>
      <c r="I19" s="88">
        <v>45549</v>
      </c>
      <c r="J19" s="50">
        <f t="shared" si="9"/>
        <v>162</v>
      </c>
      <c r="K19" s="47">
        <f t="shared" si="10"/>
        <v>64</v>
      </c>
      <c r="L19" s="48">
        <v>0.03</v>
      </c>
      <c r="M19" s="49">
        <f t="shared" si="11"/>
        <v>4.8599999999999994</v>
      </c>
      <c r="N19" s="74"/>
      <c r="O19" s="78"/>
    </row>
    <row r="20" spans="1:15" s="1" customFormat="1" ht="15" customHeight="1" thickBot="1" x14ac:dyDescent="0.3">
      <c r="A20" s="152"/>
      <c r="B20" s="153"/>
      <c r="C20" s="154"/>
      <c r="D20" s="155"/>
      <c r="E20" s="156"/>
      <c r="F20" s="156"/>
      <c r="G20" s="90"/>
      <c r="H20" s="92"/>
      <c r="I20" s="105"/>
      <c r="J20" s="50"/>
      <c r="K20" s="47"/>
      <c r="L20" s="48"/>
      <c r="M20" s="53"/>
      <c r="N20" s="74"/>
      <c r="O20" s="78"/>
    </row>
    <row r="21" spans="1:15" ht="15" customHeight="1" thickBot="1" x14ac:dyDescent="0.35">
      <c r="A21" s="332" t="s">
        <v>29</v>
      </c>
      <c r="B21" s="332"/>
      <c r="C21" s="332"/>
      <c r="D21" s="332"/>
      <c r="E21" s="332"/>
      <c r="F21" s="332"/>
      <c r="G21" s="37">
        <f>SUM(G11:G20)</f>
        <v>5295.63</v>
      </c>
      <c r="J21" s="37">
        <f>SUM(J11:J20)</f>
        <v>5714.92</v>
      </c>
      <c r="L21" s="20"/>
      <c r="M21" s="38">
        <f>SUM(M11:M20)</f>
        <v>171.44760000000002</v>
      </c>
    </row>
    <row r="22" spans="1:15" ht="15" customHeight="1" x14ac:dyDescent="0.25">
      <c r="A22" s="19"/>
      <c r="B22" s="19"/>
      <c r="C22" s="19"/>
      <c r="D22" s="67"/>
      <c r="E22" s="19"/>
      <c r="F22" s="19"/>
      <c r="G22" s="8"/>
      <c r="J22" s="8"/>
      <c r="M22" s="8"/>
    </row>
    <row r="23" spans="1:15" ht="15" customHeight="1" x14ac:dyDescent="0.3">
      <c r="A23" s="39"/>
      <c r="B23" s="19"/>
      <c r="C23" s="19"/>
      <c r="D23" s="67"/>
      <c r="E23" s="19"/>
      <c r="F23" s="19"/>
      <c r="G23" s="8"/>
      <c r="J23" s="8"/>
      <c r="M23" s="8"/>
    </row>
    <row r="24" spans="1:15" ht="15" customHeight="1" x14ac:dyDescent="0.25">
      <c r="A24" s="19"/>
      <c r="B24" s="19"/>
      <c r="C24" s="19"/>
      <c r="D24" s="67"/>
      <c r="E24" s="19"/>
      <c r="F24" s="19"/>
      <c r="G24" s="8"/>
      <c r="I24" s="73"/>
    </row>
    <row r="25" spans="1:15" ht="15" customHeight="1" x14ac:dyDescent="0.25">
      <c r="A25" s="331" t="s">
        <v>112</v>
      </c>
      <c r="B25" s="331"/>
      <c r="C25" s="331"/>
      <c r="D25" s="331"/>
      <c r="E25" s="331"/>
      <c r="F25" s="331"/>
      <c r="G25" s="24"/>
      <c r="H25" s="24"/>
      <c r="I25" s="65"/>
      <c r="J25" s="26"/>
      <c r="K25" s="27"/>
      <c r="L25" s="28"/>
      <c r="M25" s="29"/>
    </row>
    <row r="26" spans="1:15" ht="15" customHeight="1" x14ac:dyDescent="0.25">
      <c r="A26" s="331" t="s">
        <v>1</v>
      </c>
      <c r="B26" s="331"/>
      <c r="C26" s="331"/>
      <c r="D26" s="331"/>
      <c r="E26" s="331"/>
      <c r="F26" s="331"/>
      <c r="G26" s="24"/>
      <c r="H26" s="25"/>
      <c r="I26" s="65"/>
      <c r="J26" s="27"/>
      <c r="K26" s="27"/>
      <c r="L26" s="28"/>
      <c r="M26" s="29"/>
    </row>
    <row r="27" spans="1:15" ht="15" customHeight="1" x14ac:dyDescent="0.25">
      <c r="A27" s="30"/>
      <c r="B27" s="31" t="s">
        <v>466</v>
      </c>
      <c r="C27" s="30"/>
      <c r="D27" s="64"/>
      <c r="E27" s="30"/>
      <c r="F27" s="30"/>
      <c r="G27" s="24"/>
      <c r="H27" s="25"/>
      <c r="I27" s="65"/>
      <c r="J27" s="27"/>
      <c r="K27" s="27"/>
      <c r="L27" s="28"/>
      <c r="M27" s="29"/>
    </row>
    <row r="28" spans="1:15" ht="15" customHeight="1" thickBot="1" x14ac:dyDescent="0.3">
      <c r="A28" s="30"/>
      <c r="B28" s="31" t="s">
        <v>22</v>
      </c>
      <c r="C28" s="30"/>
      <c r="D28" s="64"/>
      <c r="E28" s="30"/>
      <c r="F28" s="30"/>
      <c r="G28" s="32"/>
      <c r="H28" s="24"/>
      <c r="I28" s="69"/>
      <c r="J28" s="33"/>
      <c r="K28" s="27"/>
      <c r="L28" s="28"/>
      <c r="M28" s="29"/>
    </row>
    <row r="29" spans="1:15" ht="15" customHeight="1" x14ac:dyDescent="0.25">
      <c r="A29" s="34"/>
      <c r="B29" s="33"/>
      <c r="C29" s="33"/>
      <c r="D29" s="65"/>
      <c r="E29" s="33"/>
      <c r="F29" s="33"/>
      <c r="G29" s="35" t="s">
        <v>3</v>
      </c>
      <c r="H29" s="27"/>
      <c r="I29" s="65"/>
      <c r="J29" s="36" t="s">
        <v>4</v>
      </c>
      <c r="K29" s="56" t="s">
        <v>5</v>
      </c>
      <c r="L29" s="40" t="s">
        <v>6</v>
      </c>
      <c r="M29" s="36" t="s">
        <v>7</v>
      </c>
    </row>
    <row r="30" spans="1:15" ht="15" customHeight="1" x14ac:dyDescent="0.25">
      <c r="A30" s="11" t="s">
        <v>8</v>
      </c>
      <c r="B30" s="11" t="s">
        <v>9</v>
      </c>
      <c r="C30" s="11" t="s">
        <v>10</v>
      </c>
      <c r="D30" s="66" t="s">
        <v>11</v>
      </c>
      <c r="E30" s="11" t="s">
        <v>12</v>
      </c>
      <c r="F30" s="54" t="s">
        <v>50</v>
      </c>
      <c r="G30" s="62" t="s">
        <v>13</v>
      </c>
      <c r="H30" s="13" t="s">
        <v>14</v>
      </c>
      <c r="I30" s="70" t="s">
        <v>15</v>
      </c>
      <c r="J30" s="14" t="s">
        <v>16</v>
      </c>
      <c r="K30" s="57"/>
      <c r="L30" s="58" t="s">
        <v>17</v>
      </c>
      <c r="M30" s="14" t="s">
        <v>39</v>
      </c>
    </row>
    <row r="31" spans="1:15" ht="15" customHeight="1" x14ac:dyDescent="0.25">
      <c r="A31" s="83" t="s">
        <v>478</v>
      </c>
      <c r="B31" s="107" t="s">
        <v>120</v>
      </c>
      <c r="C31" s="95" t="s">
        <v>509</v>
      </c>
      <c r="D31" s="85">
        <v>45491</v>
      </c>
      <c r="E31" s="86">
        <v>85.68</v>
      </c>
      <c r="F31" s="86">
        <v>0</v>
      </c>
      <c r="G31" s="94">
        <v>98.53</v>
      </c>
      <c r="H31" s="86">
        <v>12.85</v>
      </c>
      <c r="I31" s="114">
        <v>45492</v>
      </c>
      <c r="J31" s="50">
        <f>+E31-F31</f>
        <v>85.68</v>
      </c>
      <c r="K31" s="47">
        <f t="shared" ref="K31:K63" si="12">+I31-D31</f>
        <v>1</v>
      </c>
      <c r="L31" s="5">
        <v>0.04</v>
      </c>
      <c r="M31" s="6">
        <f t="shared" ref="M31:M63" si="13">+J31*L31</f>
        <v>3.4272000000000005</v>
      </c>
      <c r="O31" s="78"/>
    </row>
    <row r="32" spans="1:15" ht="18" customHeight="1" x14ac:dyDescent="0.25">
      <c r="A32" s="83" t="s">
        <v>477</v>
      </c>
      <c r="B32" s="107" t="s">
        <v>18</v>
      </c>
      <c r="C32" s="95" t="s">
        <v>503</v>
      </c>
      <c r="D32" s="85">
        <v>45471</v>
      </c>
      <c r="E32" s="86">
        <v>54</v>
      </c>
      <c r="F32" s="86">
        <v>2.7</v>
      </c>
      <c r="G32" s="94">
        <v>59</v>
      </c>
      <c r="H32" s="86">
        <v>7.7</v>
      </c>
      <c r="I32" s="106">
        <v>45474</v>
      </c>
      <c r="J32" s="50">
        <f>+E32-F32</f>
        <v>51.3</v>
      </c>
      <c r="K32" s="47">
        <f t="shared" si="12"/>
        <v>3</v>
      </c>
      <c r="L32" s="5">
        <v>0.04</v>
      </c>
      <c r="M32" s="6">
        <f t="shared" si="13"/>
        <v>2.052</v>
      </c>
      <c r="O32" s="78"/>
    </row>
    <row r="33" spans="1:15" ht="15" customHeight="1" x14ac:dyDescent="0.25">
      <c r="A33" s="83" t="s">
        <v>25</v>
      </c>
      <c r="B33" s="55" t="s">
        <v>30</v>
      </c>
      <c r="C33" s="95" t="s">
        <v>504</v>
      </c>
      <c r="D33" s="85">
        <v>45482</v>
      </c>
      <c r="E33" s="86">
        <v>1410.48</v>
      </c>
      <c r="F33" s="86">
        <v>352.62</v>
      </c>
      <c r="G33" s="94">
        <v>1158.3600000000001</v>
      </c>
      <c r="H33" s="86">
        <v>158.68</v>
      </c>
      <c r="I33" s="114">
        <v>45490</v>
      </c>
      <c r="J33" s="50">
        <f>+E33-F33</f>
        <v>1057.8600000000001</v>
      </c>
      <c r="K33" s="47">
        <f t="shared" si="12"/>
        <v>8</v>
      </c>
      <c r="L33" s="5">
        <v>3.5000000000000003E-2</v>
      </c>
      <c r="M33" s="6">
        <f t="shared" si="13"/>
        <v>37.025100000000009</v>
      </c>
      <c r="O33" s="78"/>
    </row>
    <row r="34" spans="1:15" ht="15" customHeight="1" x14ac:dyDescent="0.25">
      <c r="A34" s="83" t="s">
        <v>25</v>
      </c>
      <c r="B34" s="55" t="s">
        <v>30</v>
      </c>
      <c r="C34" s="95" t="s">
        <v>505</v>
      </c>
      <c r="D34" s="85">
        <v>45482</v>
      </c>
      <c r="E34" s="86">
        <v>1536</v>
      </c>
      <c r="F34" s="86">
        <v>384</v>
      </c>
      <c r="G34" s="94">
        <v>1261.44</v>
      </c>
      <c r="H34" s="86">
        <v>172.8</v>
      </c>
      <c r="I34" s="85">
        <v>45490</v>
      </c>
      <c r="J34" s="50">
        <f>+E34-F34</f>
        <v>1152</v>
      </c>
      <c r="K34" s="47">
        <f t="shared" si="12"/>
        <v>8</v>
      </c>
      <c r="L34" s="5">
        <v>3.5000000000000003E-2</v>
      </c>
      <c r="M34" s="6">
        <f t="shared" si="13"/>
        <v>40.320000000000007</v>
      </c>
      <c r="O34" s="78"/>
    </row>
    <row r="35" spans="1:15" ht="15" customHeight="1" x14ac:dyDescent="0.25">
      <c r="A35" s="83" t="s">
        <v>25</v>
      </c>
      <c r="B35" s="55" t="s">
        <v>30</v>
      </c>
      <c r="C35" s="95" t="s">
        <v>506</v>
      </c>
      <c r="D35" s="85">
        <v>45482</v>
      </c>
      <c r="E35" s="86">
        <v>744</v>
      </c>
      <c r="F35" s="86">
        <v>186</v>
      </c>
      <c r="G35" s="94">
        <v>151.01</v>
      </c>
      <c r="H35" s="86">
        <v>83.7</v>
      </c>
      <c r="I35" s="85">
        <v>45490</v>
      </c>
      <c r="J35" s="50">
        <f>151.01/1.12</f>
        <v>134.83035714285711</v>
      </c>
      <c r="K35" s="47">
        <f t="shared" si="12"/>
        <v>8</v>
      </c>
      <c r="L35" s="5">
        <v>3.5000000000000003E-2</v>
      </c>
      <c r="M35" s="6">
        <f t="shared" si="13"/>
        <v>4.7190624999999997</v>
      </c>
      <c r="O35" s="78"/>
    </row>
    <row r="36" spans="1:15" ht="15" customHeight="1" x14ac:dyDescent="0.25">
      <c r="A36" s="83" t="s">
        <v>91</v>
      </c>
      <c r="B36" s="55" t="s">
        <v>507</v>
      </c>
      <c r="C36" s="95" t="s">
        <v>508</v>
      </c>
      <c r="D36" s="85">
        <v>45489</v>
      </c>
      <c r="E36" s="86">
        <v>145.80000000000001</v>
      </c>
      <c r="F36" s="86">
        <v>19.02</v>
      </c>
      <c r="G36" s="94">
        <v>145.80000000000001</v>
      </c>
      <c r="H36" s="86">
        <v>19.02</v>
      </c>
      <c r="I36" s="85">
        <v>45503</v>
      </c>
      <c r="J36" s="50">
        <f>+E36-F36</f>
        <v>126.78000000000002</v>
      </c>
      <c r="K36" s="47">
        <f t="shared" si="12"/>
        <v>14</v>
      </c>
      <c r="L36" s="5">
        <v>3.5000000000000003E-2</v>
      </c>
      <c r="M36" s="6">
        <f t="shared" si="13"/>
        <v>4.4373000000000014</v>
      </c>
      <c r="O36" s="78"/>
    </row>
    <row r="37" spans="1:15" ht="15" customHeight="1" x14ac:dyDescent="0.25">
      <c r="A37" s="83" t="s">
        <v>476</v>
      </c>
      <c r="B37" s="55" t="s">
        <v>61</v>
      </c>
      <c r="C37" s="95" t="s">
        <v>502</v>
      </c>
      <c r="D37" s="85">
        <v>45463</v>
      </c>
      <c r="E37" s="86">
        <v>157.44</v>
      </c>
      <c r="F37" s="86">
        <v>23.61</v>
      </c>
      <c r="G37" s="94">
        <v>153.9</v>
      </c>
      <c r="H37" s="86">
        <v>20.07</v>
      </c>
      <c r="I37" s="105">
        <v>45484</v>
      </c>
      <c r="J37" s="50">
        <f>+E37-F37</f>
        <v>133.82999999999998</v>
      </c>
      <c r="K37" s="47">
        <f t="shared" si="12"/>
        <v>21</v>
      </c>
      <c r="L37" s="5">
        <v>3.5000000000000003E-2</v>
      </c>
      <c r="M37" s="6">
        <f t="shared" si="13"/>
        <v>4.68405</v>
      </c>
      <c r="O37" s="78"/>
    </row>
    <row r="38" spans="1:15" ht="15" customHeight="1" x14ac:dyDescent="0.25">
      <c r="A38" s="83" t="s">
        <v>134</v>
      </c>
      <c r="B38" s="55" t="s">
        <v>95</v>
      </c>
      <c r="C38" s="95" t="s">
        <v>495</v>
      </c>
      <c r="D38" s="85">
        <v>45454</v>
      </c>
      <c r="E38" s="86">
        <v>152.88</v>
      </c>
      <c r="F38" s="86">
        <v>22.93</v>
      </c>
      <c r="G38" s="94">
        <v>5.82</v>
      </c>
      <c r="H38" s="86">
        <v>19.489999999999998</v>
      </c>
      <c r="I38" s="106">
        <v>45484</v>
      </c>
      <c r="J38" s="50">
        <f>5.82/1.12</f>
        <v>5.1964285714285712</v>
      </c>
      <c r="K38" s="47">
        <f t="shared" si="12"/>
        <v>30</v>
      </c>
      <c r="L38" s="5">
        <v>0.03</v>
      </c>
      <c r="M38" s="6">
        <f t="shared" si="13"/>
        <v>0.15589285714285714</v>
      </c>
      <c r="O38" s="78"/>
    </row>
    <row r="39" spans="1:15" ht="15" customHeight="1" x14ac:dyDescent="0.25">
      <c r="A39" s="91" t="s">
        <v>40</v>
      </c>
      <c r="B39" s="55" t="s">
        <v>18</v>
      </c>
      <c r="C39" s="93" t="s">
        <v>394</v>
      </c>
      <c r="D39" s="88">
        <v>45443</v>
      </c>
      <c r="E39" s="92">
        <v>921.6</v>
      </c>
      <c r="F39" s="92">
        <v>184.32</v>
      </c>
      <c r="G39" s="96">
        <v>807.32</v>
      </c>
      <c r="H39" s="92">
        <v>110.59</v>
      </c>
      <c r="I39" s="106">
        <v>45476</v>
      </c>
      <c r="J39" s="50">
        <f t="shared" ref="J39:J44" si="14">+E39-F39</f>
        <v>737.28</v>
      </c>
      <c r="K39" s="47">
        <f t="shared" si="12"/>
        <v>33</v>
      </c>
      <c r="L39" s="5">
        <v>0.03</v>
      </c>
      <c r="M39" s="6">
        <f t="shared" si="13"/>
        <v>22.118399999999998</v>
      </c>
      <c r="O39" s="78"/>
    </row>
    <row r="40" spans="1:15" ht="15" customHeight="1" x14ac:dyDescent="0.25">
      <c r="A40" s="83" t="s">
        <v>71</v>
      </c>
      <c r="B40" s="55" t="s">
        <v>24</v>
      </c>
      <c r="C40" s="95" t="s">
        <v>499</v>
      </c>
      <c r="D40" s="85">
        <v>45462</v>
      </c>
      <c r="E40" s="86">
        <v>2024.4</v>
      </c>
      <c r="F40" s="86">
        <v>506.1</v>
      </c>
      <c r="G40" s="94">
        <v>1746.05</v>
      </c>
      <c r="H40" s="86">
        <v>227.75</v>
      </c>
      <c r="I40" s="105">
        <v>45495</v>
      </c>
      <c r="J40" s="50">
        <f t="shared" si="14"/>
        <v>1518.3000000000002</v>
      </c>
      <c r="K40" s="47">
        <f t="shared" si="12"/>
        <v>33</v>
      </c>
      <c r="L40" s="5">
        <v>0.03</v>
      </c>
      <c r="M40" s="6">
        <f t="shared" si="13"/>
        <v>45.549000000000007</v>
      </c>
      <c r="O40" s="78"/>
    </row>
    <row r="41" spans="1:15" ht="15" customHeight="1" x14ac:dyDescent="0.25">
      <c r="A41" s="83" t="s">
        <v>71</v>
      </c>
      <c r="B41" s="55" t="s">
        <v>24</v>
      </c>
      <c r="C41" s="95" t="s">
        <v>500</v>
      </c>
      <c r="D41" s="85">
        <v>45462</v>
      </c>
      <c r="E41" s="86">
        <v>1536</v>
      </c>
      <c r="F41" s="86">
        <v>384</v>
      </c>
      <c r="G41" s="94">
        <v>1324.8</v>
      </c>
      <c r="H41" s="86">
        <v>172.8</v>
      </c>
      <c r="I41" s="105">
        <v>45495</v>
      </c>
      <c r="J41" s="50">
        <f t="shared" si="14"/>
        <v>1152</v>
      </c>
      <c r="K41" s="47">
        <f t="shared" si="12"/>
        <v>33</v>
      </c>
      <c r="L41" s="5">
        <v>0.03</v>
      </c>
      <c r="M41" s="6">
        <f t="shared" si="13"/>
        <v>34.56</v>
      </c>
      <c r="O41" s="78"/>
    </row>
    <row r="42" spans="1:15" ht="15" customHeight="1" x14ac:dyDescent="0.25">
      <c r="A42" s="83" t="s">
        <v>71</v>
      </c>
      <c r="B42" s="55" t="s">
        <v>24</v>
      </c>
      <c r="C42" s="95" t="s">
        <v>501</v>
      </c>
      <c r="D42" s="85">
        <v>45462</v>
      </c>
      <c r="E42" s="86">
        <v>410.4</v>
      </c>
      <c r="F42" s="86">
        <v>102.6</v>
      </c>
      <c r="G42" s="94">
        <v>353.97</v>
      </c>
      <c r="H42" s="86">
        <v>46.17</v>
      </c>
      <c r="I42" s="105">
        <v>45495</v>
      </c>
      <c r="J42" s="50">
        <f t="shared" si="14"/>
        <v>307.79999999999995</v>
      </c>
      <c r="K42" s="47">
        <f t="shared" si="12"/>
        <v>33</v>
      </c>
      <c r="L42" s="5">
        <v>0.03</v>
      </c>
      <c r="M42" s="6">
        <f t="shared" si="13"/>
        <v>9.2339999999999982</v>
      </c>
      <c r="O42" s="78"/>
    </row>
    <row r="43" spans="1:15" ht="15" customHeight="1" x14ac:dyDescent="0.25">
      <c r="A43" s="83" t="s">
        <v>292</v>
      </c>
      <c r="B43" s="55" t="s">
        <v>229</v>
      </c>
      <c r="C43" s="95" t="s">
        <v>494</v>
      </c>
      <c r="D43" s="85">
        <v>45454</v>
      </c>
      <c r="E43" s="86">
        <v>68.64</v>
      </c>
      <c r="F43" s="86">
        <v>10.3</v>
      </c>
      <c r="G43" s="94">
        <v>63.440000000000005</v>
      </c>
      <c r="H43" s="86">
        <v>8.75</v>
      </c>
      <c r="I43" s="105">
        <v>45488</v>
      </c>
      <c r="J43" s="50">
        <f t="shared" si="14"/>
        <v>58.34</v>
      </c>
      <c r="K43" s="47">
        <f t="shared" si="12"/>
        <v>34</v>
      </c>
      <c r="L43" s="5">
        <v>0.03</v>
      </c>
      <c r="M43" s="6">
        <f t="shared" si="13"/>
        <v>1.7502</v>
      </c>
      <c r="O43" s="78"/>
    </row>
    <row r="44" spans="1:15" ht="15" customHeight="1" x14ac:dyDescent="0.25">
      <c r="A44" s="83" t="s">
        <v>118</v>
      </c>
      <c r="B44" s="55" t="s">
        <v>120</v>
      </c>
      <c r="C44" s="95" t="s">
        <v>492</v>
      </c>
      <c r="D44" s="85">
        <v>45442</v>
      </c>
      <c r="E44" s="86">
        <v>63.36</v>
      </c>
      <c r="F44" s="86">
        <v>9.51</v>
      </c>
      <c r="G44" s="94">
        <v>58.57</v>
      </c>
      <c r="H44" s="86">
        <v>8.08</v>
      </c>
      <c r="I44" s="106">
        <v>45483</v>
      </c>
      <c r="J44" s="50">
        <f t="shared" si="14"/>
        <v>53.85</v>
      </c>
      <c r="K44" s="47">
        <f t="shared" si="12"/>
        <v>41</v>
      </c>
      <c r="L44" s="5">
        <v>0.03</v>
      </c>
      <c r="M44" s="6">
        <f t="shared" si="13"/>
        <v>1.6154999999999999</v>
      </c>
      <c r="O44" s="78"/>
    </row>
    <row r="45" spans="1:15" ht="15" customHeight="1" x14ac:dyDescent="0.25">
      <c r="A45" s="83" t="s">
        <v>62</v>
      </c>
      <c r="B45" s="55" t="s">
        <v>26</v>
      </c>
      <c r="C45" s="95" t="s">
        <v>490</v>
      </c>
      <c r="D45" s="85">
        <v>45442</v>
      </c>
      <c r="E45" s="86">
        <v>62.04</v>
      </c>
      <c r="F45" s="86">
        <v>9.2899999999999991</v>
      </c>
      <c r="G45" s="94">
        <v>1.19</v>
      </c>
      <c r="H45" s="86">
        <v>7.91</v>
      </c>
      <c r="I45" s="106">
        <v>45485</v>
      </c>
      <c r="J45" s="50">
        <f>1.19/1.12</f>
        <v>1.0624999999999998</v>
      </c>
      <c r="K45" s="47">
        <f t="shared" si="12"/>
        <v>43</v>
      </c>
      <c r="L45" s="5">
        <v>0.03</v>
      </c>
      <c r="M45" s="6">
        <f t="shared" si="13"/>
        <v>3.1874999999999994E-2</v>
      </c>
      <c r="O45" s="78"/>
    </row>
    <row r="46" spans="1:15" ht="15" customHeight="1" x14ac:dyDescent="0.25">
      <c r="A46" s="83" t="s">
        <v>54</v>
      </c>
      <c r="B46" s="55" t="s">
        <v>32</v>
      </c>
      <c r="C46" s="95" t="s">
        <v>496</v>
      </c>
      <c r="D46" s="85">
        <v>45454</v>
      </c>
      <c r="E46" s="86">
        <v>558.96</v>
      </c>
      <c r="F46" s="86">
        <v>95.03</v>
      </c>
      <c r="G46" s="94">
        <v>508</v>
      </c>
      <c r="H46" s="86">
        <v>69.59</v>
      </c>
      <c r="I46" s="106">
        <v>45498</v>
      </c>
      <c r="J46" s="50">
        <f>+E46-F46</f>
        <v>463.93000000000006</v>
      </c>
      <c r="K46" s="47">
        <f t="shared" si="12"/>
        <v>44</v>
      </c>
      <c r="L46" s="5">
        <v>0.03</v>
      </c>
      <c r="M46" s="6">
        <f t="shared" si="13"/>
        <v>13.917900000000001</v>
      </c>
      <c r="O46" s="78"/>
    </row>
    <row r="47" spans="1:15" ht="15" customHeight="1" x14ac:dyDescent="0.25">
      <c r="A47" s="83" t="s">
        <v>94</v>
      </c>
      <c r="B47" s="107" t="s">
        <v>18</v>
      </c>
      <c r="C47" s="95" t="s">
        <v>497</v>
      </c>
      <c r="D47" s="85">
        <v>45457</v>
      </c>
      <c r="E47" s="86">
        <v>195</v>
      </c>
      <c r="F47" s="86">
        <v>29.25</v>
      </c>
      <c r="G47" s="94">
        <v>190.61</v>
      </c>
      <c r="H47" s="86">
        <v>24.86</v>
      </c>
      <c r="I47" s="106">
        <v>45503</v>
      </c>
      <c r="J47" s="50">
        <f>+E47-F47</f>
        <v>165.75</v>
      </c>
      <c r="K47" s="47">
        <f t="shared" si="12"/>
        <v>46</v>
      </c>
      <c r="L47" s="5">
        <v>0.03</v>
      </c>
      <c r="M47" s="6">
        <f t="shared" si="13"/>
        <v>4.9725000000000001</v>
      </c>
      <c r="O47" s="78"/>
    </row>
    <row r="48" spans="1:15" ht="15" customHeight="1" x14ac:dyDescent="0.25">
      <c r="A48" s="112" t="s">
        <v>94</v>
      </c>
      <c r="B48" s="107" t="s">
        <v>18</v>
      </c>
      <c r="C48" s="95" t="s">
        <v>498</v>
      </c>
      <c r="D48" s="108">
        <v>45457</v>
      </c>
      <c r="E48" s="87">
        <v>58.05</v>
      </c>
      <c r="F48" s="87">
        <v>8.7200000000000006</v>
      </c>
      <c r="G48" s="94">
        <v>56.73</v>
      </c>
      <c r="H48" s="87">
        <v>7.4</v>
      </c>
      <c r="I48" s="106">
        <v>45503</v>
      </c>
      <c r="J48" s="50">
        <f>+E48-F48</f>
        <v>49.33</v>
      </c>
      <c r="K48" s="47">
        <f t="shared" si="12"/>
        <v>46</v>
      </c>
      <c r="L48" s="5">
        <v>0.03</v>
      </c>
      <c r="M48" s="6">
        <f t="shared" si="13"/>
        <v>1.4799</v>
      </c>
      <c r="O48" s="78"/>
    </row>
    <row r="49" spans="1:15" ht="15" customHeight="1" x14ac:dyDescent="0.25">
      <c r="A49" s="83" t="s">
        <v>98</v>
      </c>
      <c r="B49" s="107" t="s">
        <v>31</v>
      </c>
      <c r="C49" s="95" t="s">
        <v>493</v>
      </c>
      <c r="D49" s="85">
        <v>45442</v>
      </c>
      <c r="E49" s="86">
        <v>1027.44</v>
      </c>
      <c r="F49" s="86">
        <v>205.49</v>
      </c>
      <c r="G49" s="94">
        <v>300</v>
      </c>
      <c r="H49" s="86">
        <v>0</v>
      </c>
      <c r="I49" s="106">
        <v>45491</v>
      </c>
      <c r="J49" s="50">
        <v>300</v>
      </c>
      <c r="K49" s="47">
        <f t="shared" si="12"/>
        <v>49</v>
      </c>
      <c r="L49" s="5">
        <v>0.03</v>
      </c>
      <c r="M49" s="6">
        <f t="shared" si="13"/>
        <v>9</v>
      </c>
      <c r="O49" s="78"/>
    </row>
    <row r="50" spans="1:15" ht="15" customHeight="1" x14ac:dyDescent="0.25">
      <c r="A50" s="83" t="s">
        <v>106</v>
      </c>
      <c r="B50" s="113" t="s">
        <v>61</v>
      </c>
      <c r="C50" s="95" t="s">
        <v>487</v>
      </c>
      <c r="D50" s="85">
        <v>45441</v>
      </c>
      <c r="E50" s="86">
        <v>166.32</v>
      </c>
      <c r="F50" s="86">
        <v>24.96</v>
      </c>
      <c r="G50" s="94">
        <v>162.56</v>
      </c>
      <c r="H50" s="86">
        <v>21.2</v>
      </c>
      <c r="I50" s="106">
        <v>45492</v>
      </c>
      <c r="J50" s="50">
        <f>+E50-F50</f>
        <v>141.35999999999999</v>
      </c>
      <c r="K50" s="47">
        <f t="shared" si="12"/>
        <v>51</v>
      </c>
      <c r="L50" s="5">
        <v>0.03</v>
      </c>
      <c r="M50" s="6">
        <f t="shared" si="13"/>
        <v>4.2407999999999992</v>
      </c>
      <c r="O50" s="78"/>
    </row>
    <row r="51" spans="1:15" ht="15" customHeight="1" x14ac:dyDescent="0.25">
      <c r="A51" s="83" t="s">
        <v>60</v>
      </c>
      <c r="B51" s="113" t="s">
        <v>61</v>
      </c>
      <c r="C51" s="95" t="s">
        <v>439</v>
      </c>
      <c r="D51" s="85">
        <v>45441</v>
      </c>
      <c r="E51" s="86">
        <v>378</v>
      </c>
      <c r="F51" s="86">
        <v>75.599999999999994</v>
      </c>
      <c r="G51" s="94">
        <v>97.76</v>
      </c>
      <c r="H51" s="86">
        <v>45.36</v>
      </c>
      <c r="I51" s="106">
        <v>45492</v>
      </c>
      <c r="J51" s="50">
        <f>97.76/1.12</f>
        <v>87.285714285714278</v>
      </c>
      <c r="K51" s="47">
        <f t="shared" si="12"/>
        <v>51</v>
      </c>
      <c r="L51" s="5">
        <v>0.03</v>
      </c>
      <c r="M51" s="6">
        <f t="shared" si="13"/>
        <v>2.6185714285714283</v>
      </c>
      <c r="O51" s="78"/>
    </row>
    <row r="52" spans="1:15" ht="15" customHeight="1" x14ac:dyDescent="0.25">
      <c r="A52" s="83" t="s">
        <v>58</v>
      </c>
      <c r="B52" s="113" t="s">
        <v>59</v>
      </c>
      <c r="C52" s="95" t="s">
        <v>486</v>
      </c>
      <c r="D52" s="85">
        <v>45441</v>
      </c>
      <c r="E52" s="86">
        <v>665.28</v>
      </c>
      <c r="F52" s="86">
        <v>113.1</v>
      </c>
      <c r="G52" s="94">
        <v>604.64</v>
      </c>
      <c r="H52" s="86">
        <v>82.83</v>
      </c>
      <c r="I52" s="106">
        <v>45493</v>
      </c>
      <c r="J52" s="50">
        <f>+E52-F52</f>
        <v>552.17999999999995</v>
      </c>
      <c r="K52" s="47">
        <f t="shared" si="12"/>
        <v>52</v>
      </c>
      <c r="L52" s="5">
        <v>0.03</v>
      </c>
      <c r="M52" s="6">
        <f t="shared" si="13"/>
        <v>16.565399999999997</v>
      </c>
      <c r="O52" s="78"/>
    </row>
    <row r="53" spans="1:15" ht="15" customHeight="1" x14ac:dyDescent="0.25">
      <c r="A53" s="83" t="s">
        <v>378</v>
      </c>
      <c r="B53" s="113" t="s">
        <v>120</v>
      </c>
      <c r="C53" s="95" t="s">
        <v>491</v>
      </c>
      <c r="D53" s="85">
        <v>45442</v>
      </c>
      <c r="E53" s="86">
        <v>181.92</v>
      </c>
      <c r="F53" s="86">
        <v>27.29</v>
      </c>
      <c r="G53" s="94">
        <v>100</v>
      </c>
      <c r="H53" s="86">
        <v>23.19</v>
      </c>
      <c r="I53" s="106">
        <v>45495</v>
      </c>
      <c r="J53" s="50">
        <f>100/1.12</f>
        <v>89.285714285714278</v>
      </c>
      <c r="K53" s="47">
        <f t="shared" si="12"/>
        <v>53</v>
      </c>
      <c r="L53" s="5">
        <v>0.03</v>
      </c>
      <c r="M53" s="6">
        <f t="shared" si="13"/>
        <v>2.6785714285714284</v>
      </c>
      <c r="O53" s="78"/>
    </row>
    <row r="54" spans="1:15" ht="15" customHeight="1" x14ac:dyDescent="0.25">
      <c r="A54" s="83" t="s">
        <v>82</v>
      </c>
      <c r="B54" s="113" t="s">
        <v>83</v>
      </c>
      <c r="C54" s="95" t="s">
        <v>489</v>
      </c>
      <c r="D54" s="85">
        <v>45442</v>
      </c>
      <c r="E54" s="86">
        <v>98.4</v>
      </c>
      <c r="F54" s="86">
        <v>14.76</v>
      </c>
      <c r="G54" s="94">
        <v>91.58</v>
      </c>
      <c r="H54" s="86">
        <v>12.55</v>
      </c>
      <c r="I54" s="106">
        <v>45498</v>
      </c>
      <c r="J54" s="50">
        <f>+E54-F54</f>
        <v>83.64</v>
      </c>
      <c r="K54" s="47">
        <f t="shared" si="12"/>
        <v>56</v>
      </c>
      <c r="L54" s="5">
        <v>0.03</v>
      </c>
      <c r="M54" s="6">
        <f t="shared" si="13"/>
        <v>2.5091999999999999</v>
      </c>
      <c r="O54" s="78"/>
    </row>
    <row r="55" spans="1:15" ht="15" customHeight="1" x14ac:dyDescent="0.25">
      <c r="A55" s="83" t="s">
        <v>97</v>
      </c>
      <c r="B55" s="113" t="s">
        <v>59</v>
      </c>
      <c r="C55" s="95" t="s">
        <v>488</v>
      </c>
      <c r="D55" s="85">
        <v>45441</v>
      </c>
      <c r="E55" s="86">
        <v>259.2</v>
      </c>
      <c r="F55" s="86">
        <v>38.880000000000003</v>
      </c>
      <c r="G55" s="94">
        <v>253.37</v>
      </c>
      <c r="H55" s="86">
        <v>33.049999999999997</v>
      </c>
      <c r="I55" s="106">
        <v>45498</v>
      </c>
      <c r="J55" s="50">
        <f>+E55-F55</f>
        <v>220.32</v>
      </c>
      <c r="K55" s="47">
        <f t="shared" si="12"/>
        <v>57</v>
      </c>
      <c r="L55" s="5">
        <v>0.03</v>
      </c>
      <c r="M55" s="6">
        <f t="shared" si="13"/>
        <v>6.6095999999999995</v>
      </c>
      <c r="O55" s="78"/>
    </row>
    <row r="56" spans="1:15" ht="15" customHeight="1" x14ac:dyDescent="0.25">
      <c r="A56" s="83" t="s">
        <v>62</v>
      </c>
      <c r="B56" s="113" t="s">
        <v>26</v>
      </c>
      <c r="C56" s="95" t="s">
        <v>370</v>
      </c>
      <c r="D56" s="85">
        <v>45366</v>
      </c>
      <c r="E56" s="86">
        <v>261.36</v>
      </c>
      <c r="F56" s="86">
        <v>39.21</v>
      </c>
      <c r="G56" s="94">
        <v>98.81</v>
      </c>
      <c r="H56" s="86">
        <v>26.66</v>
      </c>
      <c r="I56" s="106">
        <v>45425</v>
      </c>
      <c r="J56" s="50">
        <f>98.81/1.12</f>
        <v>88.223214285714278</v>
      </c>
      <c r="K56" s="47">
        <f t="shared" si="12"/>
        <v>59</v>
      </c>
      <c r="L56" s="5">
        <v>0.03</v>
      </c>
      <c r="M56" s="6">
        <f t="shared" si="13"/>
        <v>2.6466964285714281</v>
      </c>
      <c r="O56" s="78"/>
    </row>
    <row r="57" spans="1:15" ht="15" customHeight="1" x14ac:dyDescent="0.25">
      <c r="A57" s="83" t="s">
        <v>89</v>
      </c>
      <c r="B57" s="113" t="s">
        <v>18</v>
      </c>
      <c r="C57" s="95" t="s">
        <v>480</v>
      </c>
      <c r="D57" s="85">
        <v>45394</v>
      </c>
      <c r="E57" s="86">
        <v>798</v>
      </c>
      <c r="F57" s="86">
        <v>159.6</v>
      </c>
      <c r="G57" s="94">
        <v>699.05</v>
      </c>
      <c r="H57" s="86">
        <v>95.76</v>
      </c>
      <c r="I57" s="106">
        <v>45474</v>
      </c>
      <c r="J57" s="50">
        <f t="shared" ref="J57:J63" si="15">+E57-F57</f>
        <v>638.4</v>
      </c>
      <c r="K57" s="47">
        <f t="shared" si="12"/>
        <v>80</v>
      </c>
      <c r="L57" s="5">
        <v>0.03</v>
      </c>
      <c r="M57" s="6">
        <f t="shared" si="13"/>
        <v>19.151999999999997</v>
      </c>
      <c r="O57" s="78"/>
    </row>
    <row r="58" spans="1:15" ht="15" customHeight="1" x14ac:dyDescent="0.25">
      <c r="A58" s="83" t="s">
        <v>129</v>
      </c>
      <c r="B58" s="113" t="s">
        <v>30</v>
      </c>
      <c r="C58" s="95" t="s">
        <v>482</v>
      </c>
      <c r="D58" s="85">
        <v>45411</v>
      </c>
      <c r="E58" s="86">
        <v>168.48</v>
      </c>
      <c r="F58" s="86">
        <v>25.27</v>
      </c>
      <c r="G58" s="94">
        <v>164.69</v>
      </c>
      <c r="H58" s="86">
        <v>21.48</v>
      </c>
      <c r="I58" s="106">
        <v>45496</v>
      </c>
      <c r="J58" s="50">
        <f t="shared" si="15"/>
        <v>143.20999999999998</v>
      </c>
      <c r="K58" s="47">
        <f t="shared" si="12"/>
        <v>85</v>
      </c>
      <c r="L58" s="5">
        <v>0.03</v>
      </c>
      <c r="M58" s="6">
        <f t="shared" si="13"/>
        <v>4.2962999999999996</v>
      </c>
      <c r="O58" s="78"/>
    </row>
    <row r="59" spans="1:15" ht="15" customHeight="1" x14ac:dyDescent="0.25">
      <c r="A59" s="83" t="s">
        <v>76</v>
      </c>
      <c r="B59" s="107" t="s">
        <v>18</v>
      </c>
      <c r="C59" s="95" t="s">
        <v>484</v>
      </c>
      <c r="D59" s="85">
        <v>45413</v>
      </c>
      <c r="E59" s="86">
        <v>117</v>
      </c>
      <c r="F59" s="86">
        <v>17.55</v>
      </c>
      <c r="G59" s="94">
        <v>108.9</v>
      </c>
      <c r="H59" s="86">
        <v>14.92</v>
      </c>
      <c r="I59" s="105">
        <v>45503</v>
      </c>
      <c r="J59" s="50">
        <f t="shared" si="15"/>
        <v>99.45</v>
      </c>
      <c r="K59" s="47">
        <f t="shared" si="12"/>
        <v>90</v>
      </c>
      <c r="L59" s="5">
        <v>0.03</v>
      </c>
      <c r="M59" s="6">
        <f t="shared" si="13"/>
        <v>2.9834999999999998</v>
      </c>
      <c r="O59" s="78"/>
    </row>
    <row r="60" spans="1:15" ht="15" customHeight="1" x14ac:dyDescent="0.25">
      <c r="A60" s="83" t="s">
        <v>76</v>
      </c>
      <c r="B60" s="107" t="s">
        <v>18</v>
      </c>
      <c r="C60" s="95" t="s">
        <v>485</v>
      </c>
      <c r="D60" s="85">
        <v>45413</v>
      </c>
      <c r="E60" s="86">
        <v>60.72</v>
      </c>
      <c r="F60" s="86">
        <v>9.11</v>
      </c>
      <c r="G60" s="94">
        <v>56.51</v>
      </c>
      <c r="H60" s="86">
        <v>7.74</v>
      </c>
      <c r="I60" s="105">
        <v>45503</v>
      </c>
      <c r="J60" s="50">
        <f t="shared" si="15"/>
        <v>51.61</v>
      </c>
      <c r="K60" s="47">
        <f t="shared" si="12"/>
        <v>90</v>
      </c>
      <c r="L60" s="5">
        <v>0.03</v>
      </c>
      <c r="M60" s="6">
        <f t="shared" si="13"/>
        <v>1.5483</v>
      </c>
      <c r="O60" s="78"/>
    </row>
    <row r="61" spans="1:15" ht="15" customHeight="1" x14ac:dyDescent="0.25">
      <c r="A61" s="83" t="s">
        <v>76</v>
      </c>
      <c r="B61" s="107" t="s">
        <v>18</v>
      </c>
      <c r="C61" s="95" t="s">
        <v>483</v>
      </c>
      <c r="D61" s="85">
        <v>45411</v>
      </c>
      <c r="E61" s="86">
        <v>183.64</v>
      </c>
      <c r="F61" s="86">
        <v>27.55</v>
      </c>
      <c r="G61" s="94">
        <v>170.92</v>
      </c>
      <c r="H61" s="86">
        <v>23.41</v>
      </c>
      <c r="I61" s="105">
        <v>45503</v>
      </c>
      <c r="J61" s="50">
        <f t="shared" si="15"/>
        <v>156.08999999999997</v>
      </c>
      <c r="K61" s="47">
        <f t="shared" si="12"/>
        <v>92</v>
      </c>
      <c r="L61" s="5">
        <v>0.03</v>
      </c>
      <c r="M61" s="6">
        <f t="shared" si="13"/>
        <v>4.6826999999999988</v>
      </c>
      <c r="O61" s="78"/>
    </row>
    <row r="62" spans="1:15" ht="15" customHeight="1" x14ac:dyDescent="0.25">
      <c r="A62" s="91" t="s">
        <v>76</v>
      </c>
      <c r="B62" s="107" t="s">
        <v>18</v>
      </c>
      <c r="C62" s="93" t="s">
        <v>481</v>
      </c>
      <c r="D62" s="88">
        <v>45406</v>
      </c>
      <c r="E62" s="92">
        <v>93.6</v>
      </c>
      <c r="F62" s="92">
        <v>14.04</v>
      </c>
      <c r="G62" s="96">
        <v>87.11</v>
      </c>
      <c r="H62" s="92">
        <v>11.93</v>
      </c>
      <c r="I62" s="105">
        <v>45503</v>
      </c>
      <c r="J62" s="50">
        <f t="shared" si="15"/>
        <v>79.56</v>
      </c>
      <c r="K62" s="47">
        <f t="shared" si="12"/>
        <v>97</v>
      </c>
      <c r="L62" s="5">
        <v>0.03</v>
      </c>
      <c r="M62" s="6">
        <f t="shared" si="13"/>
        <v>2.3868</v>
      </c>
      <c r="O62" s="78"/>
    </row>
    <row r="63" spans="1:15" ht="15" customHeight="1" x14ac:dyDescent="0.25">
      <c r="A63" s="83" t="s">
        <v>77</v>
      </c>
      <c r="B63" s="107" t="s">
        <v>33</v>
      </c>
      <c r="C63" s="95" t="s">
        <v>479</v>
      </c>
      <c r="D63" s="85">
        <v>45372</v>
      </c>
      <c r="E63" s="86">
        <v>356.4</v>
      </c>
      <c r="F63" s="86">
        <v>71.28</v>
      </c>
      <c r="G63" s="94">
        <v>306.21999999999997</v>
      </c>
      <c r="H63" s="86">
        <v>34.21</v>
      </c>
      <c r="I63" s="85">
        <v>45475</v>
      </c>
      <c r="J63" s="50">
        <f t="shared" si="15"/>
        <v>285.12</v>
      </c>
      <c r="K63" s="47">
        <f t="shared" si="12"/>
        <v>103</v>
      </c>
      <c r="L63" s="5">
        <v>0.03</v>
      </c>
      <c r="M63" s="6">
        <f t="shared" si="13"/>
        <v>8.5535999999999994</v>
      </c>
      <c r="O63" s="78"/>
    </row>
    <row r="64" spans="1:15" ht="15" customHeight="1" x14ac:dyDescent="0.25">
      <c r="A64" s="115"/>
      <c r="B64" s="136"/>
      <c r="C64" s="117"/>
      <c r="D64" s="118"/>
      <c r="E64" s="119"/>
      <c r="F64" s="119"/>
      <c r="G64" s="120"/>
      <c r="H64" s="119"/>
      <c r="I64" s="121"/>
      <c r="J64" s="50"/>
      <c r="K64" s="47"/>
      <c r="L64" s="5"/>
      <c r="M64" s="6"/>
      <c r="O64" s="78"/>
    </row>
    <row r="65" spans="1:15" ht="15" customHeight="1" x14ac:dyDescent="0.3">
      <c r="G65" s="16">
        <f>SUM(G31:G64)</f>
        <v>11446.659999999998</v>
      </c>
      <c r="J65" s="16">
        <f>SUM(J31:J64)</f>
        <v>10270.853928571429</v>
      </c>
      <c r="M65" s="16">
        <f>SUM(M31:M64)</f>
        <v>322.5219196428572</v>
      </c>
    </row>
    <row r="66" spans="1:15" ht="15" customHeight="1" x14ac:dyDescent="0.25">
      <c r="G66" s="8"/>
      <c r="H66" s="8"/>
    </row>
    <row r="67" spans="1:15" ht="15" customHeight="1" x14ac:dyDescent="0.25">
      <c r="A67" s="17" t="s">
        <v>19</v>
      </c>
      <c r="B67" s="17" t="s">
        <v>20</v>
      </c>
      <c r="C67" s="18" t="s">
        <v>21</v>
      </c>
      <c r="I67" s="8"/>
      <c r="J67" s="8"/>
    </row>
    <row r="68" spans="1:15" s="52" customFormat="1" ht="15" customHeight="1" x14ac:dyDescent="0.25">
      <c r="A68" s="91" t="s">
        <v>99</v>
      </c>
      <c r="B68" s="101" t="s">
        <v>510</v>
      </c>
      <c r="C68" s="93" t="s">
        <v>520</v>
      </c>
      <c r="D68" s="88">
        <v>45366</v>
      </c>
      <c r="E68" s="92">
        <v>746.52</v>
      </c>
      <c r="F68" s="92">
        <v>111.98</v>
      </c>
      <c r="G68" s="90">
        <v>704.32999999999993</v>
      </c>
      <c r="H68" s="92">
        <v>76.14</v>
      </c>
      <c r="I68" s="105">
        <v>45513</v>
      </c>
      <c r="J68" s="50">
        <f>+E68-F68</f>
        <v>634.54</v>
      </c>
      <c r="K68" s="47">
        <f t="shared" ref="K68:K82" si="16">+I68-D68</f>
        <v>147</v>
      </c>
      <c r="L68" s="48">
        <v>0.03</v>
      </c>
      <c r="M68" s="49">
        <f t="shared" ref="M68:M82" si="17">+J68*L68</f>
        <v>19.036199999999997</v>
      </c>
      <c r="N68" s="60"/>
      <c r="O68" s="78"/>
    </row>
    <row r="69" spans="1:15" s="52" customFormat="1" ht="15" customHeight="1" x14ac:dyDescent="0.25">
      <c r="A69" s="91" t="s">
        <v>99</v>
      </c>
      <c r="B69" s="101" t="s">
        <v>510</v>
      </c>
      <c r="C69" s="93" t="s">
        <v>521</v>
      </c>
      <c r="D69" s="88">
        <v>45366</v>
      </c>
      <c r="E69" s="92">
        <v>129.6</v>
      </c>
      <c r="F69" s="92">
        <v>19.440000000000001</v>
      </c>
      <c r="G69" s="96">
        <v>122.28</v>
      </c>
      <c r="H69" s="92">
        <v>13.22</v>
      </c>
      <c r="I69" s="106">
        <v>45513</v>
      </c>
      <c r="J69" s="50">
        <f>+E69-F69</f>
        <v>110.16</v>
      </c>
      <c r="K69" s="47">
        <f t="shared" si="16"/>
        <v>147</v>
      </c>
      <c r="L69" s="48">
        <v>0.03</v>
      </c>
      <c r="M69" s="49">
        <f t="shared" si="17"/>
        <v>3.3047999999999997</v>
      </c>
      <c r="N69" s="60"/>
      <c r="O69" s="78"/>
    </row>
    <row r="70" spans="1:15" s="52" customFormat="1" ht="15" customHeight="1" x14ac:dyDescent="0.25">
      <c r="A70" s="91" t="s">
        <v>96</v>
      </c>
      <c r="B70" s="101" t="s">
        <v>511</v>
      </c>
      <c r="C70" s="93" t="s">
        <v>522</v>
      </c>
      <c r="D70" s="88">
        <v>45442</v>
      </c>
      <c r="E70" s="92">
        <v>230.76</v>
      </c>
      <c r="F70" s="92">
        <v>34.61</v>
      </c>
      <c r="G70" s="96">
        <v>225.57</v>
      </c>
      <c r="H70" s="92">
        <v>29.42</v>
      </c>
      <c r="I70" s="106">
        <v>45590</v>
      </c>
      <c r="J70" s="50">
        <f t="shared" ref="J70:J79" si="18">+E70-F70</f>
        <v>196.14999999999998</v>
      </c>
      <c r="K70" s="47">
        <f t="shared" ref="K70:K79" si="19">+I70-D70</f>
        <v>148</v>
      </c>
      <c r="L70" s="48">
        <v>0.03</v>
      </c>
      <c r="M70" s="49">
        <f t="shared" ref="M70:M79" si="20">+J70*L70</f>
        <v>5.8844999999999992</v>
      </c>
      <c r="N70" s="60"/>
      <c r="O70" s="78"/>
    </row>
    <row r="71" spans="1:15" s="52" customFormat="1" ht="15" customHeight="1" x14ac:dyDescent="0.25">
      <c r="A71" s="91" t="s">
        <v>49</v>
      </c>
      <c r="B71" s="101" t="s">
        <v>512</v>
      </c>
      <c r="C71" s="93" t="s">
        <v>523</v>
      </c>
      <c r="D71" s="88">
        <v>45442</v>
      </c>
      <c r="E71" s="92">
        <v>292.68</v>
      </c>
      <c r="F71" s="92">
        <v>43.91</v>
      </c>
      <c r="G71" s="96">
        <v>272.39999999999998</v>
      </c>
      <c r="H71" s="92">
        <v>37.32</v>
      </c>
      <c r="I71" s="106">
        <v>45548</v>
      </c>
      <c r="J71" s="50">
        <f t="shared" si="18"/>
        <v>248.77</v>
      </c>
      <c r="K71" s="47">
        <f t="shared" si="19"/>
        <v>106</v>
      </c>
      <c r="L71" s="48">
        <v>0.03</v>
      </c>
      <c r="M71" s="49">
        <f t="shared" si="20"/>
        <v>7.4630999999999998</v>
      </c>
      <c r="N71" s="60"/>
      <c r="O71" s="78"/>
    </row>
    <row r="72" spans="1:15" s="52" customFormat="1" ht="15" customHeight="1" x14ac:dyDescent="0.25">
      <c r="A72" s="91" t="s">
        <v>49</v>
      </c>
      <c r="B72" s="101" t="s">
        <v>512</v>
      </c>
      <c r="C72" s="93" t="s">
        <v>524</v>
      </c>
      <c r="D72" s="88">
        <v>45442</v>
      </c>
      <c r="E72" s="92">
        <v>1070.8800000000001</v>
      </c>
      <c r="F72" s="92">
        <v>160.63</v>
      </c>
      <c r="G72" s="96">
        <v>996.73</v>
      </c>
      <c r="H72" s="92">
        <v>136.54</v>
      </c>
      <c r="I72" s="106">
        <v>45548</v>
      </c>
      <c r="J72" s="50">
        <f t="shared" si="18"/>
        <v>910.25000000000011</v>
      </c>
      <c r="K72" s="47">
        <f t="shared" si="19"/>
        <v>106</v>
      </c>
      <c r="L72" s="48">
        <v>0.03</v>
      </c>
      <c r="M72" s="49">
        <f t="shared" si="20"/>
        <v>27.307500000000001</v>
      </c>
      <c r="N72" s="60"/>
      <c r="O72" s="78"/>
    </row>
    <row r="73" spans="1:15" s="52" customFormat="1" ht="15" customHeight="1" x14ac:dyDescent="0.25">
      <c r="A73" s="91" t="s">
        <v>49</v>
      </c>
      <c r="B73" s="101" t="s">
        <v>512</v>
      </c>
      <c r="C73" s="93" t="s">
        <v>525</v>
      </c>
      <c r="D73" s="88">
        <v>45442</v>
      </c>
      <c r="E73" s="92">
        <v>216</v>
      </c>
      <c r="F73" s="92">
        <v>32.4</v>
      </c>
      <c r="G73" s="96">
        <v>201.04</v>
      </c>
      <c r="H73" s="92">
        <v>27.54</v>
      </c>
      <c r="I73" s="106">
        <v>45548</v>
      </c>
      <c r="J73" s="50">
        <f t="shared" si="18"/>
        <v>183.6</v>
      </c>
      <c r="K73" s="47">
        <f t="shared" si="19"/>
        <v>106</v>
      </c>
      <c r="L73" s="48">
        <v>0.03</v>
      </c>
      <c r="M73" s="49">
        <f t="shared" si="20"/>
        <v>5.508</v>
      </c>
      <c r="N73" s="60"/>
      <c r="O73" s="78"/>
    </row>
    <row r="74" spans="1:15" s="52" customFormat="1" ht="15" customHeight="1" x14ac:dyDescent="0.25">
      <c r="A74" s="91" t="s">
        <v>96</v>
      </c>
      <c r="B74" s="101" t="s">
        <v>513</v>
      </c>
      <c r="C74" s="93" t="s">
        <v>526</v>
      </c>
      <c r="D74" s="88">
        <v>45442</v>
      </c>
      <c r="E74" s="92">
        <v>212.76</v>
      </c>
      <c r="F74" s="92">
        <v>31.91</v>
      </c>
      <c r="G74" s="96">
        <v>207.98</v>
      </c>
      <c r="H74" s="92">
        <v>27.13</v>
      </c>
      <c r="I74" s="106">
        <v>45514</v>
      </c>
      <c r="J74" s="50">
        <f t="shared" si="18"/>
        <v>180.85</v>
      </c>
      <c r="K74" s="47">
        <f t="shared" si="19"/>
        <v>72</v>
      </c>
      <c r="L74" s="48">
        <v>0.03</v>
      </c>
      <c r="M74" s="49">
        <f t="shared" si="20"/>
        <v>5.4254999999999995</v>
      </c>
      <c r="N74" s="60"/>
      <c r="O74" s="78"/>
    </row>
    <row r="75" spans="1:15" s="52" customFormat="1" ht="15" customHeight="1" x14ac:dyDescent="0.25">
      <c r="A75" s="91" t="s">
        <v>96</v>
      </c>
      <c r="B75" s="101" t="s">
        <v>514</v>
      </c>
      <c r="C75" s="93" t="s">
        <v>527</v>
      </c>
      <c r="D75" s="88">
        <v>45453</v>
      </c>
      <c r="E75" s="92">
        <v>592.91999999999996</v>
      </c>
      <c r="F75" s="92">
        <v>88.93</v>
      </c>
      <c r="G75" s="96">
        <v>114.43000000000006</v>
      </c>
      <c r="H75" s="92">
        <v>75.599999999999994</v>
      </c>
      <c r="I75" s="106">
        <v>45514</v>
      </c>
      <c r="J75" s="50">
        <f t="shared" si="18"/>
        <v>503.98999999999995</v>
      </c>
      <c r="K75" s="47">
        <f t="shared" si="19"/>
        <v>61</v>
      </c>
      <c r="L75" s="48">
        <v>0.03</v>
      </c>
      <c r="M75" s="49">
        <f t="shared" si="20"/>
        <v>15.119699999999998</v>
      </c>
      <c r="N75" s="60"/>
      <c r="O75" s="78"/>
    </row>
    <row r="76" spans="1:15" s="52" customFormat="1" ht="15" customHeight="1" x14ac:dyDescent="0.25">
      <c r="A76" s="91" t="s">
        <v>47</v>
      </c>
      <c r="B76" s="101" t="s">
        <v>515</v>
      </c>
      <c r="C76" s="93" t="s">
        <v>528</v>
      </c>
      <c r="D76" s="88">
        <v>45462</v>
      </c>
      <c r="E76" s="92">
        <v>408</v>
      </c>
      <c r="F76" s="92">
        <v>81.599999999999994</v>
      </c>
      <c r="G76" s="96">
        <v>375.35999999999996</v>
      </c>
      <c r="H76" s="92">
        <v>48.96</v>
      </c>
      <c r="I76" s="106">
        <v>45523</v>
      </c>
      <c r="J76" s="50">
        <f t="shared" si="18"/>
        <v>326.39999999999998</v>
      </c>
      <c r="K76" s="47">
        <f t="shared" si="19"/>
        <v>61</v>
      </c>
      <c r="L76" s="48">
        <v>0.03</v>
      </c>
      <c r="M76" s="49">
        <f t="shared" si="20"/>
        <v>9.7919999999999998</v>
      </c>
      <c r="N76" s="60"/>
      <c r="O76" s="78"/>
    </row>
    <row r="77" spans="1:15" s="52" customFormat="1" ht="15" customHeight="1" x14ac:dyDescent="0.25">
      <c r="A77" s="91" t="s">
        <v>42</v>
      </c>
      <c r="B77" s="101" t="s">
        <v>518</v>
      </c>
      <c r="C77" s="93" t="s">
        <v>534</v>
      </c>
      <c r="D77" s="88">
        <v>45464</v>
      </c>
      <c r="E77" s="92">
        <v>428.4</v>
      </c>
      <c r="F77" s="92">
        <v>64.260000000000005</v>
      </c>
      <c r="G77" s="96">
        <f>418.76-3.64-16.39</f>
        <v>398.73</v>
      </c>
      <c r="H77" s="92">
        <v>54.62</v>
      </c>
      <c r="I77" s="106">
        <v>45513</v>
      </c>
      <c r="J77" s="50">
        <f t="shared" ref="J77" si="21">+E77-F77</f>
        <v>364.14</v>
      </c>
      <c r="K77" s="47">
        <f t="shared" ref="K77" si="22">+I77-D77</f>
        <v>49</v>
      </c>
      <c r="L77" s="48">
        <v>0.03</v>
      </c>
      <c r="M77" s="49">
        <f t="shared" ref="M77" si="23">+J77*L77</f>
        <v>10.924199999999999</v>
      </c>
      <c r="N77" s="60"/>
      <c r="O77" s="78"/>
    </row>
    <row r="78" spans="1:15" s="52" customFormat="1" ht="15" customHeight="1" x14ac:dyDescent="0.25">
      <c r="A78" s="91" t="s">
        <v>42</v>
      </c>
      <c r="B78" s="101" t="s">
        <v>516</v>
      </c>
      <c r="C78" s="93" t="s">
        <v>529</v>
      </c>
      <c r="D78" s="88">
        <v>45470</v>
      </c>
      <c r="E78" s="92">
        <v>132.84</v>
      </c>
      <c r="F78" s="92">
        <v>19.93</v>
      </c>
      <c r="G78" s="96">
        <v>123.64</v>
      </c>
      <c r="H78" s="92">
        <v>16.940000000000001</v>
      </c>
      <c r="I78" s="106">
        <v>45517</v>
      </c>
      <c r="J78" s="50">
        <f t="shared" si="18"/>
        <v>112.91</v>
      </c>
      <c r="K78" s="47">
        <f t="shared" si="19"/>
        <v>47</v>
      </c>
      <c r="L78" s="48">
        <v>0.03</v>
      </c>
      <c r="M78" s="49">
        <f t="shared" si="20"/>
        <v>3.3872999999999998</v>
      </c>
      <c r="N78" s="60"/>
      <c r="O78" s="78"/>
    </row>
    <row r="79" spans="1:15" s="52" customFormat="1" ht="15" customHeight="1" x14ac:dyDescent="0.25">
      <c r="A79" s="91" t="s">
        <v>42</v>
      </c>
      <c r="B79" s="101" t="s">
        <v>516</v>
      </c>
      <c r="C79" s="93" t="s">
        <v>530</v>
      </c>
      <c r="D79" s="88">
        <v>45471</v>
      </c>
      <c r="E79" s="92">
        <v>188.64</v>
      </c>
      <c r="F79" s="92">
        <v>28.3</v>
      </c>
      <c r="G79" s="96">
        <v>175.57</v>
      </c>
      <c r="H79" s="92">
        <v>24.05</v>
      </c>
      <c r="I79" s="106">
        <v>45517</v>
      </c>
      <c r="J79" s="50">
        <f t="shared" si="18"/>
        <v>160.33999999999997</v>
      </c>
      <c r="K79" s="47">
        <f t="shared" si="19"/>
        <v>46</v>
      </c>
      <c r="L79" s="48">
        <v>0.03</v>
      </c>
      <c r="M79" s="49">
        <f t="shared" si="20"/>
        <v>4.8101999999999991</v>
      </c>
      <c r="N79" s="60"/>
      <c r="O79" s="78"/>
    </row>
    <row r="80" spans="1:15" s="52" customFormat="1" ht="15" customHeight="1" x14ac:dyDescent="0.25">
      <c r="A80" s="91" t="s">
        <v>47</v>
      </c>
      <c r="B80" s="101" t="s">
        <v>517</v>
      </c>
      <c r="C80" s="93" t="s">
        <v>531</v>
      </c>
      <c r="D80" s="88">
        <v>45474</v>
      </c>
      <c r="E80" s="92">
        <v>201</v>
      </c>
      <c r="F80" s="92">
        <v>34.17</v>
      </c>
      <c r="G80" s="96">
        <v>191.85</v>
      </c>
      <c r="H80" s="92">
        <v>25.02</v>
      </c>
      <c r="I80" s="88">
        <v>45536</v>
      </c>
      <c r="J80" s="50">
        <f t="shared" ref="J80:J82" si="24">+E80-F80</f>
        <v>166.82999999999998</v>
      </c>
      <c r="K80" s="47">
        <f t="shared" si="16"/>
        <v>62</v>
      </c>
      <c r="L80" s="48">
        <v>0.03</v>
      </c>
      <c r="M80" s="49">
        <f t="shared" si="17"/>
        <v>5.0048999999999992</v>
      </c>
      <c r="N80" s="60"/>
      <c r="O80" s="78"/>
    </row>
    <row r="81" spans="1:15" s="52" customFormat="1" ht="15" customHeight="1" x14ac:dyDescent="0.25">
      <c r="A81" s="91" t="s">
        <v>55</v>
      </c>
      <c r="B81" s="101" t="s">
        <v>518</v>
      </c>
      <c r="C81" s="93" t="s">
        <v>532</v>
      </c>
      <c r="D81" s="88">
        <v>45476</v>
      </c>
      <c r="E81" s="92">
        <v>1146.1199999999999</v>
      </c>
      <c r="F81" s="92">
        <v>229.21</v>
      </c>
      <c r="G81" s="96">
        <v>1054.45</v>
      </c>
      <c r="H81" s="92">
        <v>137.54</v>
      </c>
      <c r="I81" s="88">
        <v>45507</v>
      </c>
      <c r="J81" s="50">
        <f t="shared" si="24"/>
        <v>916.90999999999985</v>
      </c>
      <c r="K81" s="47">
        <f t="shared" si="16"/>
        <v>31</v>
      </c>
      <c r="L81" s="48">
        <v>0.03</v>
      </c>
      <c r="M81" s="49">
        <f t="shared" si="17"/>
        <v>27.507299999999994</v>
      </c>
      <c r="N81" s="60"/>
      <c r="O81" s="78"/>
    </row>
    <row r="82" spans="1:15" s="52" customFormat="1" ht="15" customHeight="1" x14ac:dyDescent="0.25">
      <c r="A82" s="91" t="s">
        <v>38</v>
      </c>
      <c r="B82" s="101" t="s">
        <v>519</v>
      </c>
      <c r="C82" s="93" t="s">
        <v>533</v>
      </c>
      <c r="D82" s="88">
        <v>45485</v>
      </c>
      <c r="E82" s="92">
        <v>3844.44</v>
      </c>
      <c r="F82" s="92">
        <v>961.11</v>
      </c>
      <c r="G82" s="96">
        <v>3157.25</v>
      </c>
      <c r="H82" s="92">
        <v>432.5</v>
      </c>
      <c r="I82" s="88">
        <v>45519</v>
      </c>
      <c r="J82" s="50">
        <f t="shared" si="24"/>
        <v>2883.33</v>
      </c>
      <c r="K82" s="47">
        <f t="shared" si="16"/>
        <v>34</v>
      </c>
      <c r="L82" s="48">
        <v>0.03</v>
      </c>
      <c r="M82" s="49">
        <f t="shared" si="17"/>
        <v>86.499899999999997</v>
      </c>
      <c r="N82" s="60"/>
      <c r="O82" s="78"/>
    </row>
    <row r="83" spans="1:15" s="1" customFormat="1" ht="15" customHeight="1" thickBot="1" x14ac:dyDescent="0.3">
      <c r="A83" s="152"/>
      <c r="B83" s="153"/>
      <c r="C83" s="154"/>
      <c r="D83" s="155"/>
      <c r="E83" s="156"/>
      <c r="F83" s="156"/>
      <c r="G83" s="90"/>
      <c r="H83" s="92"/>
      <c r="I83" s="105"/>
      <c r="J83" s="50"/>
      <c r="K83" s="47"/>
      <c r="L83" s="48"/>
      <c r="M83" s="53"/>
      <c r="N83" s="74"/>
      <c r="O83" s="78"/>
    </row>
    <row r="84" spans="1:15" ht="15" customHeight="1" thickBot="1" x14ac:dyDescent="0.35">
      <c r="A84" s="332" t="s">
        <v>29</v>
      </c>
      <c r="B84" s="332"/>
      <c r="C84" s="332"/>
      <c r="D84" s="332"/>
      <c r="E84" s="332"/>
      <c r="F84" s="332"/>
      <c r="G84" s="16">
        <f>SUM(G65:G83)</f>
        <v>19768.269999999997</v>
      </c>
      <c r="J84" s="16">
        <f>SUM(J65:J83)</f>
        <v>18170.023928571427</v>
      </c>
      <c r="L84" s="20"/>
      <c r="M84" s="21">
        <f>SUM(M65:M83)</f>
        <v>559.49701964285714</v>
      </c>
    </row>
    <row r="85" spans="1:15" ht="15" customHeight="1" x14ac:dyDescent="0.3">
      <c r="A85" s="22"/>
      <c r="G85" s="8"/>
    </row>
    <row r="86" spans="1:15" ht="15" customHeight="1" x14ac:dyDescent="0.3">
      <c r="A86" s="39"/>
      <c r="G86" s="8"/>
      <c r="J86" s="8"/>
    </row>
    <row r="87" spans="1:15" ht="15" customHeight="1" x14ac:dyDescent="0.3">
      <c r="A87" s="39"/>
      <c r="G87" s="8"/>
      <c r="J87" s="8"/>
    </row>
    <row r="88" spans="1:15" ht="15" customHeight="1" x14ac:dyDescent="0.3">
      <c r="A88" s="39"/>
      <c r="G88" s="8"/>
      <c r="J88" s="8"/>
    </row>
    <row r="89" spans="1:15" ht="15" customHeight="1" x14ac:dyDescent="0.3">
      <c r="A89" s="39"/>
      <c r="G89" s="8">
        <f>4320-764.23</f>
        <v>3555.77</v>
      </c>
      <c r="J89" s="8"/>
    </row>
    <row r="90" spans="1:15" ht="15" customHeight="1" x14ac:dyDescent="0.3">
      <c r="A90" s="39"/>
      <c r="G90" s="8"/>
      <c r="J90" s="8"/>
    </row>
    <row r="91" spans="1:15" ht="15" customHeight="1" x14ac:dyDescent="0.3">
      <c r="A91" s="39"/>
      <c r="G91" s="8">
        <f>4491.19+15843.43</f>
        <v>20334.62</v>
      </c>
      <c r="J91" s="8">
        <f>(J21+J84)*2%</f>
        <v>477.69887857142851</v>
      </c>
      <c r="M91" s="8">
        <f>M21/12</f>
        <v>14.287300000000002</v>
      </c>
      <c r="N91" s="59" t="s">
        <v>342</v>
      </c>
    </row>
    <row r="92" spans="1:15" ht="15" customHeight="1" x14ac:dyDescent="0.3">
      <c r="A92" s="39"/>
      <c r="G92" s="8">
        <f>G91*2%</f>
        <v>406.69239999999996</v>
      </c>
      <c r="J92" s="185">
        <f>J91/12</f>
        <v>39.808239880952378</v>
      </c>
      <c r="M92" s="8">
        <f>M21/24</f>
        <v>7.1436500000000009</v>
      </c>
      <c r="N92" s="59" t="s">
        <v>342</v>
      </c>
    </row>
    <row r="93" spans="1:15" ht="15" customHeight="1" x14ac:dyDescent="0.3">
      <c r="A93" s="39"/>
      <c r="G93" s="8"/>
      <c r="J93" s="185">
        <f>J91/24</f>
        <v>19.904119940476189</v>
      </c>
      <c r="M93" s="8">
        <f>M84/12</f>
        <v>46.624751636904762</v>
      </c>
      <c r="N93" s="59" t="s">
        <v>341</v>
      </c>
      <c r="O93" s="8"/>
    </row>
    <row r="94" spans="1:15" ht="15" customHeight="1" x14ac:dyDescent="0.3">
      <c r="A94" s="39"/>
      <c r="G94" s="8"/>
      <c r="J94" s="8"/>
      <c r="M94" s="8">
        <f>M84/24</f>
        <v>23.312375818452381</v>
      </c>
      <c r="N94" s="59" t="s">
        <v>341</v>
      </c>
      <c r="O94" s="8"/>
    </row>
    <row r="95" spans="1:15" ht="15" customHeight="1" x14ac:dyDescent="0.3">
      <c r="A95" s="39"/>
      <c r="G95" s="8"/>
      <c r="J95" s="8"/>
      <c r="M95" s="8"/>
    </row>
    <row r="96" spans="1:15" ht="15" customHeight="1" x14ac:dyDescent="0.3">
      <c r="A96" s="39"/>
      <c r="G96" s="8"/>
      <c r="J96" s="8"/>
      <c r="M96" s="8">
        <f>M91+M93</f>
        <v>60.912051636904764</v>
      </c>
      <c r="N96" s="186" t="s">
        <v>877</v>
      </c>
    </row>
    <row r="97" spans="1:14" ht="15" customHeight="1" x14ac:dyDescent="0.3">
      <c r="A97" s="39"/>
      <c r="G97" s="8"/>
      <c r="J97" s="8"/>
      <c r="M97" s="8">
        <f>M92+M94</f>
        <v>30.456025818452382</v>
      </c>
      <c r="N97" s="186" t="s">
        <v>878</v>
      </c>
    </row>
    <row r="98" spans="1:14" ht="15" customHeight="1" x14ac:dyDescent="0.3">
      <c r="A98" s="39"/>
      <c r="G98" s="8"/>
      <c r="J98" s="8"/>
    </row>
    <row r="99" spans="1:14" ht="15" customHeight="1" x14ac:dyDescent="0.3">
      <c r="A99" s="39"/>
      <c r="G99" s="8"/>
      <c r="J99" s="8"/>
    </row>
    <row r="100" spans="1:14" ht="15" customHeight="1" x14ac:dyDescent="0.3">
      <c r="A100" s="39"/>
      <c r="G100" s="8"/>
      <c r="J100" s="8"/>
    </row>
    <row r="101" spans="1:14" ht="15" customHeight="1" x14ac:dyDescent="0.3">
      <c r="A101" s="22"/>
      <c r="K101" s="15"/>
    </row>
  </sheetData>
  <sortState xmlns:xlrd2="http://schemas.microsoft.com/office/spreadsheetml/2017/richdata2" ref="A31:AD63">
    <sortCondition ref="K31:K63"/>
  </sortState>
  <mergeCells count="7">
    <mergeCell ref="A84:F84"/>
    <mergeCell ref="A2:F2"/>
    <mergeCell ref="A3:F3"/>
    <mergeCell ref="A11:F11"/>
    <mergeCell ref="A21:F21"/>
    <mergeCell ref="A25:F25"/>
    <mergeCell ref="A26:F26"/>
  </mergeCells>
  <pageMargins left="0.39370078740157483" right="0" top="0.19685039370078741" bottom="0" header="0" footer="0"/>
  <pageSetup paperSize="9" scale="65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80"/>
  <sheetViews>
    <sheetView topLeftCell="B65" workbookViewId="0">
      <selection activeCell="K80" sqref="K80"/>
    </sheetView>
  </sheetViews>
  <sheetFormatPr baseColWidth="10" defaultColWidth="39.5546875" defaultRowHeight="13.2" x14ac:dyDescent="0.25"/>
  <cols>
    <col min="1" max="1" width="53.5546875" style="7" customWidth="1"/>
    <col min="2" max="2" width="30" style="7" customWidth="1"/>
    <col min="3" max="3" width="34" style="7" customWidth="1"/>
    <col min="4" max="4" width="10.6640625" style="63" customWidth="1"/>
    <col min="5" max="6" width="10.6640625" style="7" customWidth="1"/>
    <col min="7" max="7" width="12.44140625" style="7" customWidth="1"/>
    <col min="8" max="8" width="10.6640625" style="7" customWidth="1"/>
    <col min="9" max="9" width="10.6640625" style="63" customWidth="1"/>
    <col min="10" max="10" width="12.33203125" style="7" customWidth="1"/>
    <col min="11" max="13" width="10.6640625" style="7" customWidth="1"/>
    <col min="14" max="14" width="13.6640625" style="59" customWidth="1"/>
    <col min="15" max="16384" width="39.5546875" style="7"/>
  </cols>
  <sheetData>
    <row r="1" spans="1:30" ht="15" customHeight="1" x14ac:dyDescent="0.25">
      <c r="B1" s="8"/>
      <c r="C1" s="8"/>
      <c r="G1" s="8"/>
    </row>
    <row r="2" spans="1:30" ht="15" customHeight="1" x14ac:dyDescent="0.25">
      <c r="A2" s="331" t="s">
        <v>0</v>
      </c>
      <c r="B2" s="331"/>
      <c r="C2" s="331"/>
      <c r="D2" s="331"/>
      <c r="E2" s="331"/>
      <c r="F2" s="331"/>
      <c r="G2" s="24"/>
      <c r="H2" s="25"/>
      <c r="I2" s="65"/>
      <c r="J2" s="26"/>
      <c r="K2" s="27"/>
      <c r="L2" s="28"/>
      <c r="M2" s="29"/>
    </row>
    <row r="3" spans="1:30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65"/>
      <c r="J3" s="27"/>
      <c r="K3" s="27"/>
      <c r="L3" s="28"/>
      <c r="M3" s="29"/>
    </row>
    <row r="4" spans="1:30" ht="15" customHeight="1" x14ac:dyDescent="0.25">
      <c r="A4" s="30"/>
      <c r="B4" s="31" t="s">
        <v>535</v>
      </c>
      <c r="C4" s="30"/>
      <c r="D4" s="64"/>
      <c r="E4" s="30"/>
      <c r="F4" s="30"/>
      <c r="G4" s="24"/>
      <c r="H4" s="25"/>
      <c r="I4" s="65"/>
      <c r="J4" s="27"/>
      <c r="K4" s="27"/>
      <c r="L4" s="28"/>
      <c r="M4" s="29"/>
    </row>
    <row r="5" spans="1:30" ht="15" customHeight="1" thickBot="1" x14ac:dyDescent="0.3">
      <c r="A5" s="30"/>
      <c r="B5" s="31" t="s">
        <v>2</v>
      </c>
      <c r="C5" s="30"/>
      <c r="D5" s="64"/>
      <c r="E5" s="30"/>
      <c r="F5" s="30"/>
      <c r="G5" s="32"/>
      <c r="H5" s="24"/>
      <c r="I5" s="69"/>
      <c r="J5" s="33"/>
      <c r="K5" s="27"/>
      <c r="L5" s="28"/>
      <c r="M5" s="29"/>
    </row>
    <row r="6" spans="1:30" ht="15" customHeight="1" x14ac:dyDescent="0.25">
      <c r="A6" s="34" t="s">
        <v>66</v>
      </c>
      <c r="B6" s="33"/>
      <c r="C6" s="33"/>
      <c r="D6" s="65"/>
      <c r="E6" s="33"/>
      <c r="F6" s="33"/>
      <c r="G6" s="35" t="s">
        <v>3</v>
      </c>
      <c r="H6" s="27"/>
      <c r="I6" s="65"/>
      <c r="J6" s="36" t="s">
        <v>4</v>
      </c>
      <c r="K6" s="56" t="s">
        <v>5</v>
      </c>
      <c r="L6" s="40" t="s">
        <v>6</v>
      </c>
      <c r="M6" s="36" t="s">
        <v>7</v>
      </c>
    </row>
    <row r="7" spans="1:30" ht="15" customHeight="1" thickBot="1" x14ac:dyDescent="0.3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12" t="s">
        <v>13</v>
      </c>
      <c r="H7" s="13" t="s">
        <v>14</v>
      </c>
      <c r="I7" s="70" t="s">
        <v>15</v>
      </c>
      <c r="J7" s="14" t="s">
        <v>16</v>
      </c>
      <c r="K7" s="57"/>
      <c r="L7" s="58" t="s">
        <v>17</v>
      </c>
      <c r="M7" s="14" t="s">
        <v>39</v>
      </c>
    </row>
    <row r="8" spans="1:30" s="49" customFormat="1" ht="15" customHeight="1" x14ac:dyDescent="0.25">
      <c r="A8" s="83" t="s">
        <v>34</v>
      </c>
      <c r="B8" s="55" t="s">
        <v>18</v>
      </c>
      <c r="C8" s="95" t="s">
        <v>564</v>
      </c>
      <c r="D8" s="85">
        <v>45419</v>
      </c>
      <c r="E8" s="86">
        <v>180.72</v>
      </c>
      <c r="F8" s="86">
        <v>27.1</v>
      </c>
      <c r="G8" s="94">
        <v>168.21</v>
      </c>
      <c r="H8" s="86">
        <v>23.04</v>
      </c>
      <c r="I8" s="106">
        <v>45506</v>
      </c>
      <c r="J8" s="50">
        <f t="shared" ref="J8" si="0">+E8-F8</f>
        <v>153.62</v>
      </c>
      <c r="K8" s="47">
        <f t="shared" ref="K8" si="1">+I8-D8</f>
        <v>87</v>
      </c>
      <c r="L8" s="48">
        <v>0.03</v>
      </c>
      <c r="M8" s="49">
        <f t="shared" ref="M8" si="2">+J8*L8</f>
        <v>4.6086</v>
      </c>
      <c r="N8" s="74"/>
      <c r="O8" s="78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s="49" customFormat="1" ht="15" customHeight="1" x14ac:dyDescent="0.25">
      <c r="A9" s="83" t="s">
        <v>73</v>
      </c>
      <c r="B9" s="55" t="s">
        <v>18</v>
      </c>
      <c r="C9" s="95" t="s">
        <v>565</v>
      </c>
      <c r="D9" s="85">
        <v>45420</v>
      </c>
      <c r="E9" s="86">
        <v>1274.4000000000001</v>
      </c>
      <c r="F9" s="86">
        <v>318.60000000000002</v>
      </c>
      <c r="G9" s="94">
        <v>946.24</v>
      </c>
      <c r="H9" s="86">
        <v>143.37</v>
      </c>
      <c r="I9" s="105">
        <v>45523</v>
      </c>
      <c r="J9" s="50">
        <f t="shared" ref="J9:J14" si="3">+E9-F9</f>
        <v>955.80000000000007</v>
      </c>
      <c r="K9" s="47">
        <f t="shared" ref="K9:K14" si="4">+I9-D9</f>
        <v>103</v>
      </c>
      <c r="L9" s="48">
        <v>0.03</v>
      </c>
      <c r="M9" s="49">
        <f t="shared" ref="M9:M14" si="5">+J9*L9</f>
        <v>28.673999999999999</v>
      </c>
      <c r="N9" s="74"/>
      <c r="O9" s="78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s="49" customFormat="1" ht="15" customHeight="1" x14ac:dyDescent="0.25">
      <c r="A10" s="83" t="s">
        <v>34</v>
      </c>
      <c r="B10" s="55" t="s">
        <v>18</v>
      </c>
      <c r="C10" s="95" t="s">
        <v>566</v>
      </c>
      <c r="D10" s="85">
        <v>45441</v>
      </c>
      <c r="E10" s="86">
        <v>118.8</v>
      </c>
      <c r="F10" s="86">
        <v>17.82</v>
      </c>
      <c r="G10" s="94">
        <v>110.58</v>
      </c>
      <c r="H10" s="86">
        <v>15.15</v>
      </c>
      <c r="I10" s="105">
        <v>45533</v>
      </c>
      <c r="J10" s="50">
        <f t="shared" si="3"/>
        <v>100.97999999999999</v>
      </c>
      <c r="K10" s="47">
        <f t="shared" si="4"/>
        <v>92</v>
      </c>
      <c r="L10" s="48">
        <v>0.03</v>
      </c>
      <c r="M10" s="49">
        <f t="shared" si="5"/>
        <v>3.0293999999999994</v>
      </c>
      <c r="N10" s="74"/>
      <c r="O10" s="7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s="49" customFormat="1" ht="15" customHeight="1" x14ac:dyDescent="0.25">
      <c r="A11" s="83" t="s">
        <v>86</v>
      </c>
      <c r="B11" s="55" t="s">
        <v>37</v>
      </c>
      <c r="C11" s="95" t="s">
        <v>567</v>
      </c>
      <c r="D11" s="85">
        <v>45446</v>
      </c>
      <c r="E11" s="86">
        <v>6974.4</v>
      </c>
      <c r="F11" s="86">
        <v>2092.3200000000002</v>
      </c>
      <c r="G11" s="94">
        <v>1000</v>
      </c>
      <c r="H11" s="86">
        <v>732.31</v>
      </c>
      <c r="I11" s="106">
        <v>45534</v>
      </c>
      <c r="J11" s="50">
        <f>1000/1.15</f>
        <v>869.56521739130437</v>
      </c>
      <c r="K11" s="47">
        <f t="shared" si="4"/>
        <v>88</v>
      </c>
      <c r="L11" s="48">
        <v>0.03</v>
      </c>
      <c r="M11" s="49">
        <f t="shared" si="5"/>
        <v>26.086956521739129</v>
      </c>
      <c r="N11" s="74"/>
      <c r="O11" s="7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s="49" customFormat="1" ht="15" customHeight="1" x14ac:dyDescent="0.25">
      <c r="A12" s="83" t="s">
        <v>80</v>
      </c>
      <c r="B12" s="113" t="s">
        <v>18</v>
      </c>
      <c r="C12" s="95" t="s">
        <v>568</v>
      </c>
      <c r="D12" s="85">
        <v>45481</v>
      </c>
      <c r="E12" s="86">
        <v>432</v>
      </c>
      <c r="F12" s="86">
        <v>86.4</v>
      </c>
      <c r="G12" s="94">
        <v>378.43</v>
      </c>
      <c r="H12" s="86">
        <v>51.84</v>
      </c>
      <c r="I12" s="85">
        <v>45512</v>
      </c>
      <c r="J12" s="50">
        <f t="shared" si="3"/>
        <v>345.6</v>
      </c>
      <c r="K12" s="47">
        <f t="shared" si="4"/>
        <v>31</v>
      </c>
      <c r="L12" s="48">
        <v>0.03</v>
      </c>
      <c r="M12" s="49">
        <f t="shared" si="5"/>
        <v>10.368</v>
      </c>
      <c r="N12" s="74"/>
      <c r="O12" s="7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s="49" customFormat="1" ht="15" customHeight="1" x14ac:dyDescent="0.25">
      <c r="A13" s="83" t="s">
        <v>35</v>
      </c>
      <c r="B13" s="113" t="s">
        <v>18</v>
      </c>
      <c r="C13" s="95" t="s">
        <v>569</v>
      </c>
      <c r="D13" s="85">
        <v>45491</v>
      </c>
      <c r="E13" s="86">
        <v>280.8</v>
      </c>
      <c r="F13" s="86">
        <v>42.12</v>
      </c>
      <c r="G13" s="94">
        <v>274.48</v>
      </c>
      <c r="H13" s="86">
        <v>35.799999999999997</v>
      </c>
      <c r="I13" s="85">
        <v>45529</v>
      </c>
      <c r="J13" s="50">
        <f t="shared" si="3"/>
        <v>238.68</v>
      </c>
      <c r="K13" s="47">
        <f t="shared" si="4"/>
        <v>38</v>
      </c>
      <c r="L13" s="48">
        <v>0.03</v>
      </c>
      <c r="M13" s="49">
        <f t="shared" si="5"/>
        <v>7.1604000000000001</v>
      </c>
      <c r="N13" s="74"/>
      <c r="O13" s="7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s="49" customFormat="1" ht="15" customHeight="1" x14ac:dyDescent="0.25">
      <c r="A14" s="83" t="s">
        <v>80</v>
      </c>
      <c r="B14" s="113" t="s">
        <v>18</v>
      </c>
      <c r="C14" s="95" t="s">
        <v>570</v>
      </c>
      <c r="D14" s="85">
        <v>45520</v>
      </c>
      <c r="E14" s="86">
        <v>172.8</v>
      </c>
      <c r="F14" s="86">
        <v>34.56</v>
      </c>
      <c r="G14" s="94">
        <f>158.98-1.38-6.22</f>
        <v>151.38</v>
      </c>
      <c r="H14" s="86">
        <v>20.74</v>
      </c>
      <c r="I14" s="106">
        <v>45531</v>
      </c>
      <c r="J14" s="50">
        <f t="shared" si="3"/>
        <v>138.24</v>
      </c>
      <c r="K14" s="47">
        <f t="shared" si="4"/>
        <v>11</v>
      </c>
      <c r="L14" s="48">
        <v>3.5000000000000003E-2</v>
      </c>
      <c r="M14" s="49">
        <f t="shared" si="5"/>
        <v>4.8384000000000009</v>
      </c>
      <c r="N14" s="74"/>
      <c r="O14" s="7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s="49" customFormat="1" ht="15" customHeight="1" x14ac:dyDescent="0.25">
      <c r="A15" s="51"/>
      <c r="B15" s="116"/>
      <c r="C15" s="116"/>
      <c r="D15" s="122"/>
      <c r="E15" s="123"/>
      <c r="F15" s="123"/>
      <c r="G15" s="124"/>
      <c r="H15" s="125"/>
      <c r="I15" s="126"/>
      <c r="J15" s="50"/>
      <c r="K15" s="47"/>
      <c r="L15" s="48"/>
      <c r="N15" s="74"/>
      <c r="O15" s="7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s="52" customFormat="1" ht="15" customHeight="1" x14ac:dyDescent="0.25">
      <c r="A16" s="333"/>
      <c r="B16" s="333"/>
      <c r="C16" s="333"/>
      <c r="D16" s="333"/>
      <c r="E16" s="333"/>
      <c r="F16" s="333"/>
      <c r="G16" s="75">
        <f>SUM(G8:G15)</f>
        <v>3029.3199999999997</v>
      </c>
      <c r="H16" s="80"/>
      <c r="I16" s="81"/>
      <c r="J16" s="75">
        <f>SUM(J8:J15)</f>
        <v>2802.4852173913041</v>
      </c>
      <c r="K16" s="82"/>
      <c r="L16" s="82"/>
      <c r="M16" s="75">
        <f>SUM(M8:M15)</f>
        <v>84.765756521739135</v>
      </c>
      <c r="N16" s="60"/>
    </row>
    <row r="17" spans="1:15" s="52" customFormat="1" ht="15" customHeight="1" x14ac:dyDescent="0.25">
      <c r="A17" s="76"/>
      <c r="B17" s="76"/>
      <c r="C17" s="76"/>
      <c r="D17" s="77"/>
      <c r="E17" s="76"/>
      <c r="F17" s="76"/>
      <c r="G17" s="78"/>
      <c r="I17" s="79"/>
      <c r="N17" s="60"/>
    </row>
    <row r="18" spans="1:15" s="52" customFormat="1" ht="15" customHeight="1" x14ac:dyDescent="0.25">
      <c r="A18" s="76"/>
      <c r="B18" s="76"/>
      <c r="C18" s="76"/>
      <c r="D18" s="77"/>
      <c r="E18" s="76"/>
      <c r="F18" s="76"/>
      <c r="G18" s="78"/>
      <c r="I18" s="79"/>
      <c r="J18" s="78"/>
      <c r="M18" s="78"/>
      <c r="N18" s="60"/>
    </row>
    <row r="19" spans="1:15" s="52" customFormat="1" ht="15" customHeight="1" x14ac:dyDescent="0.25">
      <c r="A19" s="52" t="s">
        <v>19</v>
      </c>
      <c r="B19" s="52" t="s">
        <v>20</v>
      </c>
      <c r="C19" s="76" t="s">
        <v>21</v>
      </c>
      <c r="D19" s="79"/>
      <c r="G19" s="78"/>
      <c r="I19" s="79"/>
      <c r="N19" s="60"/>
    </row>
    <row r="20" spans="1:15" s="1" customFormat="1" ht="15" customHeight="1" x14ac:dyDescent="0.25">
      <c r="A20" s="91" t="s">
        <v>52</v>
      </c>
      <c r="B20" s="101" t="s">
        <v>571</v>
      </c>
      <c r="C20" s="93" t="s">
        <v>573</v>
      </c>
      <c r="D20" s="88">
        <v>45510</v>
      </c>
      <c r="E20" s="92">
        <v>150.47999999999999</v>
      </c>
      <c r="F20" s="92">
        <v>37.619999999999997</v>
      </c>
      <c r="G20" s="90">
        <v>123.58</v>
      </c>
      <c r="H20" s="92">
        <v>16.93</v>
      </c>
      <c r="I20" s="105">
        <v>45581</v>
      </c>
      <c r="J20" s="50">
        <f t="shared" ref="J20:J22" si="6">+E20-F20</f>
        <v>112.85999999999999</v>
      </c>
      <c r="K20" s="47">
        <f t="shared" ref="K20:K22" si="7">+I20-D20</f>
        <v>71</v>
      </c>
      <c r="L20" s="48">
        <v>0.03</v>
      </c>
      <c r="M20" s="49">
        <f t="shared" ref="M20:M22" si="8">+J20*L20</f>
        <v>3.3857999999999993</v>
      </c>
      <c r="N20" s="74"/>
      <c r="O20" s="78"/>
    </row>
    <row r="21" spans="1:15" s="1" customFormat="1" ht="15" customHeight="1" x14ac:dyDescent="0.25">
      <c r="A21" s="91" t="s">
        <v>52</v>
      </c>
      <c r="B21" s="157" t="s">
        <v>571</v>
      </c>
      <c r="C21" s="93" t="s">
        <v>574</v>
      </c>
      <c r="D21" s="88">
        <v>45520</v>
      </c>
      <c r="E21" s="92">
        <v>369.6</v>
      </c>
      <c r="F21" s="92">
        <v>92.4</v>
      </c>
      <c r="G21" s="96">
        <v>303.53999999999996</v>
      </c>
      <c r="H21" s="92">
        <v>41.58</v>
      </c>
      <c r="I21" s="106">
        <v>45581</v>
      </c>
      <c r="J21" s="50">
        <f t="shared" si="6"/>
        <v>277.20000000000005</v>
      </c>
      <c r="K21" s="47">
        <f t="shared" si="7"/>
        <v>61</v>
      </c>
      <c r="L21" s="48">
        <v>0.03</v>
      </c>
      <c r="M21" s="49">
        <f t="shared" si="8"/>
        <v>8.3160000000000007</v>
      </c>
      <c r="N21" s="74"/>
      <c r="O21" s="78"/>
    </row>
    <row r="22" spans="1:15" s="1" customFormat="1" ht="15" customHeight="1" x14ac:dyDescent="0.25">
      <c r="A22" s="91" t="s">
        <v>52</v>
      </c>
      <c r="B22" s="157" t="s">
        <v>572</v>
      </c>
      <c r="C22" s="93" t="s">
        <v>575</v>
      </c>
      <c r="D22" s="88">
        <v>45526</v>
      </c>
      <c r="E22" s="92">
        <v>174</v>
      </c>
      <c r="F22" s="92">
        <v>43.5</v>
      </c>
      <c r="G22" s="96">
        <f>150.08-1.31-5.87</f>
        <v>142.9</v>
      </c>
      <c r="H22" s="92">
        <v>19.579999999999998</v>
      </c>
      <c r="I22" s="106">
        <v>45565</v>
      </c>
      <c r="J22" s="50">
        <f t="shared" si="6"/>
        <v>130.5</v>
      </c>
      <c r="K22" s="47">
        <f t="shared" si="7"/>
        <v>39</v>
      </c>
      <c r="L22" s="48">
        <v>0.03</v>
      </c>
      <c r="M22" s="49">
        <f t="shared" si="8"/>
        <v>3.915</v>
      </c>
      <c r="N22" s="74"/>
      <c r="O22" s="78"/>
    </row>
    <row r="23" spans="1:15" s="1" customFormat="1" ht="15" customHeight="1" thickBot="1" x14ac:dyDescent="0.3">
      <c r="A23" s="152"/>
      <c r="B23" s="153"/>
      <c r="C23" s="154"/>
      <c r="D23" s="155"/>
      <c r="E23" s="156"/>
      <c r="F23" s="156"/>
      <c r="G23" s="90"/>
      <c r="H23" s="92"/>
      <c r="I23" s="105"/>
      <c r="J23" s="50"/>
      <c r="K23" s="47"/>
      <c r="L23" s="48"/>
      <c r="M23" s="53"/>
      <c r="N23" s="74"/>
      <c r="O23" s="78"/>
    </row>
    <row r="24" spans="1:15" ht="15" customHeight="1" thickBot="1" x14ac:dyDescent="0.35">
      <c r="A24" s="332" t="s">
        <v>29</v>
      </c>
      <c r="B24" s="332"/>
      <c r="C24" s="332"/>
      <c r="D24" s="332"/>
      <c r="E24" s="332"/>
      <c r="F24" s="332"/>
      <c r="G24" s="37">
        <f>SUM(G16:G23)</f>
        <v>3599.3399999999997</v>
      </c>
      <c r="J24" s="37">
        <f>SUM(J16:J23)</f>
        <v>3323.0452173913045</v>
      </c>
      <c r="L24" s="20"/>
      <c r="M24" s="38">
        <f>SUM(M16:M23)</f>
        <v>100.38255652173915</v>
      </c>
    </row>
    <row r="25" spans="1:15" ht="15" customHeight="1" x14ac:dyDescent="0.25">
      <c r="A25" s="19"/>
      <c r="B25" s="19"/>
      <c r="C25" s="19"/>
      <c r="D25" s="67"/>
      <c r="E25" s="19"/>
      <c r="F25" s="19"/>
      <c r="G25" s="8"/>
      <c r="J25" s="8"/>
      <c r="M25" s="8"/>
    </row>
    <row r="26" spans="1:15" ht="15" customHeight="1" x14ac:dyDescent="0.3">
      <c r="A26" s="39"/>
      <c r="B26" s="19"/>
      <c r="C26" s="19"/>
      <c r="D26" s="67"/>
      <c r="E26" s="19"/>
      <c r="F26" s="19"/>
      <c r="G26" s="8"/>
      <c r="J26" s="8"/>
      <c r="M26" s="8"/>
    </row>
    <row r="27" spans="1:15" ht="15" customHeight="1" x14ac:dyDescent="0.25">
      <c r="A27" s="19"/>
      <c r="B27" s="19"/>
      <c r="C27" s="19"/>
      <c r="D27" s="67"/>
      <c r="E27" s="19"/>
      <c r="F27" s="19"/>
      <c r="G27" s="8"/>
      <c r="I27" s="73"/>
    </row>
    <row r="28" spans="1:15" ht="15" customHeight="1" x14ac:dyDescent="0.25">
      <c r="A28" s="331" t="s">
        <v>112</v>
      </c>
      <c r="B28" s="331"/>
      <c r="C28" s="331"/>
      <c r="D28" s="331"/>
      <c r="E28" s="331"/>
      <c r="F28" s="331"/>
      <c r="G28" s="24"/>
      <c r="H28" s="24"/>
      <c r="I28" s="65"/>
      <c r="J28" s="26"/>
      <c r="K28" s="27"/>
      <c r="L28" s="28"/>
      <c r="M28" s="29"/>
    </row>
    <row r="29" spans="1:15" ht="15" customHeight="1" x14ac:dyDescent="0.25">
      <c r="A29" s="331" t="s">
        <v>1</v>
      </c>
      <c r="B29" s="331"/>
      <c r="C29" s="331"/>
      <c r="D29" s="331"/>
      <c r="E29" s="331"/>
      <c r="F29" s="331"/>
      <c r="G29" s="24"/>
      <c r="H29" s="25"/>
      <c r="I29" s="65"/>
      <c r="J29" s="27"/>
      <c r="K29" s="27"/>
      <c r="L29" s="28"/>
      <c r="M29" s="29"/>
    </row>
    <row r="30" spans="1:15" ht="15" customHeight="1" x14ac:dyDescent="0.25">
      <c r="A30" s="30"/>
      <c r="B30" s="31" t="s">
        <v>535</v>
      </c>
      <c r="C30" s="30"/>
      <c r="D30" s="64"/>
      <c r="E30" s="30"/>
      <c r="F30" s="30"/>
      <c r="G30" s="24"/>
      <c r="H30" s="25"/>
      <c r="I30" s="65"/>
      <c r="J30" s="27"/>
      <c r="K30" s="27"/>
      <c r="L30" s="28"/>
      <c r="M30" s="29"/>
    </row>
    <row r="31" spans="1:15" ht="15" customHeight="1" thickBot="1" x14ac:dyDescent="0.3">
      <c r="A31" s="30"/>
      <c r="B31" s="31" t="s">
        <v>22</v>
      </c>
      <c r="C31" s="30"/>
      <c r="D31" s="64"/>
      <c r="E31" s="30"/>
      <c r="F31" s="30"/>
      <c r="G31" s="32"/>
      <c r="H31" s="24"/>
      <c r="I31" s="69"/>
      <c r="J31" s="33"/>
      <c r="K31" s="27"/>
      <c r="L31" s="28"/>
      <c r="M31" s="29"/>
    </row>
    <row r="32" spans="1:15" ht="15" customHeight="1" x14ac:dyDescent="0.25">
      <c r="A32" s="34"/>
      <c r="B32" s="33"/>
      <c r="C32" s="33"/>
      <c r="D32" s="65"/>
      <c r="E32" s="33"/>
      <c r="F32" s="33"/>
      <c r="G32" s="35" t="s">
        <v>3</v>
      </c>
      <c r="H32" s="27"/>
      <c r="I32" s="65"/>
      <c r="J32" s="36" t="s">
        <v>4</v>
      </c>
      <c r="K32" s="56" t="s">
        <v>5</v>
      </c>
      <c r="L32" s="40" t="s">
        <v>6</v>
      </c>
      <c r="M32" s="36" t="s">
        <v>7</v>
      </c>
    </row>
    <row r="33" spans="1:15" ht="15" customHeight="1" x14ac:dyDescent="0.25">
      <c r="A33" s="11" t="s">
        <v>8</v>
      </c>
      <c r="B33" s="11" t="s">
        <v>9</v>
      </c>
      <c r="C33" s="11" t="s">
        <v>10</v>
      </c>
      <c r="D33" s="66" t="s">
        <v>11</v>
      </c>
      <c r="E33" s="11" t="s">
        <v>12</v>
      </c>
      <c r="F33" s="54" t="s">
        <v>50</v>
      </c>
      <c r="G33" s="62" t="s">
        <v>13</v>
      </c>
      <c r="H33" s="13" t="s">
        <v>14</v>
      </c>
      <c r="I33" s="70" t="s">
        <v>15</v>
      </c>
      <c r="J33" s="14" t="s">
        <v>16</v>
      </c>
      <c r="K33" s="57"/>
      <c r="L33" s="58" t="s">
        <v>17</v>
      </c>
      <c r="M33" s="14" t="s">
        <v>39</v>
      </c>
    </row>
    <row r="34" spans="1:15" ht="15" customHeight="1" x14ac:dyDescent="0.25">
      <c r="A34" s="83" t="s">
        <v>79</v>
      </c>
      <c r="B34" s="55" t="s">
        <v>30</v>
      </c>
      <c r="C34" s="95" t="s">
        <v>536</v>
      </c>
      <c r="D34" s="85">
        <v>45411</v>
      </c>
      <c r="E34" s="86">
        <v>345.48</v>
      </c>
      <c r="F34" s="86">
        <v>51.82</v>
      </c>
      <c r="G34" s="94">
        <v>321.54999999999995</v>
      </c>
      <c r="H34" s="86">
        <v>44.05</v>
      </c>
      <c r="I34" s="105">
        <v>45516</v>
      </c>
      <c r="J34" s="50">
        <f t="shared" ref="J34:J40" si="9">+E34-F34</f>
        <v>293.66000000000003</v>
      </c>
      <c r="K34" s="47">
        <f t="shared" ref="K34:K52" si="10">+I34-D34</f>
        <v>105</v>
      </c>
      <c r="L34" s="5">
        <v>0.03</v>
      </c>
      <c r="M34" s="6">
        <f t="shared" ref="M34:M52" si="11">+J34*L34</f>
        <v>8.809800000000001</v>
      </c>
      <c r="O34" s="78"/>
    </row>
    <row r="35" spans="1:15" ht="18" customHeight="1" x14ac:dyDescent="0.25">
      <c r="A35" s="83" t="s">
        <v>76</v>
      </c>
      <c r="B35" s="55" t="s">
        <v>18</v>
      </c>
      <c r="C35" s="95" t="s">
        <v>537</v>
      </c>
      <c r="D35" s="85">
        <v>45420</v>
      </c>
      <c r="E35" s="86">
        <v>117</v>
      </c>
      <c r="F35" s="86">
        <v>17.55</v>
      </c>
      <c r="G35" s="94">
        <v>108.9</v>
      </c>
      <c r="H35" s="86">
        <v>14.92</v>
      </c>
      <c r="I35" s="106">
        <v>45527</v>
      </c>
      <c r="J35" s="50">
        <f t="shared" si="9"/>
        <v>99.45</v>
      </c>
      <c r="K35" s="47">
        <f t="shared" si="10"/>
        <v>107</v>
      </c>
      <c r="L35" s="5">
        <v>0.03</v>
      </c>
      <c r="M35" s="6">
        <f t="shared" si="11"/>
        <v>2.9834999999999998</v>
      </c>
      <c r="O35" s="78"/>
    </row>
    <row r="36" spans="1:15" ht="15" customHeight="1" x14ac:dyDescent="0.25">
      <c r="A36" s="83" t="s">
        <v>76</v>
      </c>
      <c r="B36" s="55" t="s">
        <v>18</v>
      </c>
      <c r="C36" s="95" t="s">
        <v>538</v>
      </c>
      <c r="D36" s="85">
        <v>45420</v>
      </c>
      <c r="E36" s="86">
        <v>10.8</v>
      </c>
      <c r="F36" s="86">
        <v>1.62</v>
      </c>
      <c r="G36" s="94">
        <v>10.06</v>
      </c>
      <c r="H36" s="86">
        <v>1.38</v>
      </c>
      <c r="I36" s="105">
        <v>45527</v>
      </c>
      <c r="J36" s="50">
        <f t="shared" si="9"/>
        <v>9.18</v>
      </c>
      <c r="K36" s="47">
        <f t="shared" si="10"/>
        <v>107</v>
      </c>
      <c r="L36" s="5">
        <v>0.03</v>
      </c>
      <c r="M36" s="6">
        <f t="shared" si="11"/>
        <v>0.27539999999999998</v>
      </c>
      <c r="O36" s="78"/>
    </row>
    <row r="37" spans="1:15" ht="15" customHeight="1" x14ac:dyDescent="0.25">
      <c r="A37" s="83" t="s">
        <v>76</v>
      </c>
      <c r="B37" s="55" t="s">
        <v>18</v>
      </c>
      <c r="C37" s="95" t="s">
        <v>539</v>
      </c>
      <c r="D37" s="85">
        <v>45421</v>
      </c>
      <c r="E37" s="86">
        <v>79.2</v>
      </c>
      <c r="F37" s="86">
        <v>11.88</v>
      </c>
      <c r="G37" s="94">
        <v>73.72</v>
      </c>
      <c r="H37" s="86">
        <v>10.1</v>
      </c>
      <c r="I37" s="105">
        <v>45527</v>
      </c>
      <c r="J37" s="50">
        <f t="shared" si="9"/>
        <v>67.320000000000007</v>
      </c>
      <c r="K37" s="47">
        <f t="shared" si="10"/>
        <v>106</v>
      </c>
      <c r="L37" s="5">
        <v>0.03</v>
      </c>
      <c r="M37" s="6">
        <f t="shared" si="11"/>
        <v>2.0196000000000001</v>
      </c>
      <c r="O37" s="78"/>
    </row>
    <row r="38" spans="1:15" ht="15" customHeight="1" x14ac:dyDescent="0.25">
      <c r="A38" s="83" t="s">
        <v>76</v>
      </c>
      <c r="B38" s="55" t="s">
        <v>18</v>
      </c>
      <c r="C38" s="95" t="s">
        <v>540</v>
      </c>
      <c r="D38" s="85">
        <v>45426</v>
      </c>
      <c r="E38" s="86">
        <v>117</v>
      </c>
      <c r="F38" s="86">
        <v>17.55</v>
      </c>
      <c r="G38" s="94">
        <v>108.9</v>
      </c>
      <c r="H38" s="86">
        <v>14.92</v>
      </c>
      <c r="I38" s="105">
        <v>45527</v>
      </c>
      <c r="J38" s="50">
        <f t="shared" si="9"/>
        <v>99.45</v>
      </c>
      <c r="K38" s="47">
        <f t="shared" si="10"/>
        <v>101</v>
      </c>
      <c r="L38" s="5">
        <v>0.03</v>
      </c>
      <c r="M38" s="6">
        <f t="shared" si="11"/>
        <v>2.9834999999999998</v>
      </c>
      <c r="O38" s="78"/>
    </row>
    <row r="39" spans="1:15" ht="15" customHeight="1" x14ac:dyDescent="0.25">
      <c r="A39" s="83" t="s">
        <v>76</v>
      </c>
      <c r="B39" s="55" t="s">
        <v>18</v>
      </c>
      <c r="C39" s="95" t="s">
        <v>541</v>
      </c>
      <c r="D39" s="85">
        <v>45426</v>
      </c>
      <c r="E39" s="86">
        <v>32.4</v>
      </c>
      <c r="F39" s="86">
        <v>4.8600000000000003</v>
      </c>
      <c r="G39" s="94">
        <v>30.150000000000002</v>
      </c>
      <c r="H39" s="86">
        <v>4.13</v>
      </c>
      <c r="I39" s="105">
        <v>45527</v>
      </c>
      <c r="J39" s="50">
        <f t="shared" si="9"/>
        <v>27.54</v>
      </c>
      <c r="K39" s="47">
        <f t="shared" si="10"/>
        <v>101</v>
      </c>
      <c r="L39" s="5">
        <v>0.03</v>
      </c>
      <c r="M39" s="6">
        <f t="shared" si="11"/>
        <v>0.82619999999999993</v>
      </c>
      <c r="O39" s="78"/>
    </row>
    <row r="40" spans="1:15" ht="15" customHeight="1" x14ac:dyDescent="0.25">
      <c r="A40" s="83" t="s">
        <v>105</v>
      </c>
      <c r="B40" s="55" t="s">
        <v>108</v>
      </c>
      <c r="C40" s="95" t="s">
        <v>542</v>
      </c>
      <c r="D40" s="85">
        <v>45441</v>
      </c>
      <c r="E40" s="86">
        <v>170.88</v>
      </c>
      <c r="F40" s="86">
        <v>25.62</v>
      </c>
      <c r="G40" s="94">
        <v>167.05</v>
      </c>
      <c r="H40" s="86">
        <v>21.79</v>
      </c>
      <c r="I40" s="105">
        <v>45510</v>
      </c>
      <c r="J40" s="50">
        <f t="shared" si="9"/>
        <v>145.26</v>
      </c>
      <c r="K40" s="47">
        <f t="shared" si="10"/>
        <v>69</v>
      </c>
      <c r="L40" s="5">
        <v>0.03</v>
      </c>
      <c r="M40" s="6">
        <f t="shared" si="11"/>
        <v>4.3577999999999992</v>
      </c>
      <c r="O40" s="78"/>
    </row>
    <row r="41" spans="1:15" ht="15" customHeight="1" x14ac:dyDescent="0.25">
      <c r="A41" s="83" t="s">
        <v>60</v>
      </c>
      <c r="B41" s="55" t="s">
        <v>61</v>
      </c>
      <c r="C41" s="95" t="s">
        <v>439</v>
      </c>
      <c r="D41" s="85">
        <v>45441</v>
      </c>
      <c r="E41" s="86">
        <v>378</v>
      </c>
      <c r="F41" s="86">
        <v>75.599999999999994</v>
      </c>
      <c r="G41" s="94">
        <v>100</v>
      </c>
      <c r="H41" s="86">
        <v>45.36</v>
      </c>
      <c r="I41" s="105">
        <v>45512</v>
      </c>
      <c r="J41" s="50">
        <f>100/1.15</f>
        <v>86.956521739130437</v>
      </c>
      <c r="K41" s="47">
        <f t="shared" si="10"/>
        <v>71</v>
      </c>
      <c r="L41" s="5">
        <v>0.03</v>
      </c>
      <c r="M41" s="6">
        <f t="shared" si="11"/>
        <v>2.6086956521739131</v>
      </c>
      <c r="O41" s="78"/>
    </row>
    <row r="42" spans="1:15" ht="15" customHeight="1" x14ac:dyDescent="0.25">
      <c r="A42" s="83" t="s">
        <v>117</v>
      </c>
      <c r="B42" s="55" t="s">
        <v>26</v>
      </c>
      <c r="C42" s="95" t="s">
        <v>543</v>
      </c>
      <c r="D42" s="85">
        <v>45442</v>
      </c>
      <c r="E42" s="86">
        <v>234.36</v>
      </c>
      <c r="F42" s="86">
        <v>35.15</v>
      </c>
      <c r="G42" s="94">
        <v>229.09</v>
      </c>
      <c r="H42" s="86">
        <v>29.88</v>
      </c>
      <c r="I42" s="106">
        <v>45524</v>
      </c>
      <c r="J42" s="50">
        <f>+E42-F42</f>
        <v>199.21</v>
      </c>
      <c r="K42" s="47">
        <f t="shared" si="10"/>
        <v>82</v>
      </c>
      <c r="L42" s="5">
        <v>0.03</v>
      </c>
      <c r="M42" s="6">
        <f t="shared" si="11"/>
        <v>5.9763000000000002</v>
      </c>
      <c r="O42" s="78"/>
    </row>
    <row r="43" spans="1:15" ht="15" customHeight="1" x14ac:dyDescent="0.25">
      <c r="A43" s="83" t="s">
        <v>98</v>
      </c>
      <c r="B43" s="107" t="s">
        <v>31</v>
      </c>
      <c r="C43" s="95" t="s">
        <v>493</v>
      </c>
      <c r="D43" s="85">
        <v>45442</v>
      </c>
      <c r="E43" s="86">
        <v>1027.44</v>
      </c>
      <c r="F43" s="86">
        <v>205.49</v>
      </c>
      <c r="G43" s="94">
        <v>320</v>
      </c>
      <c r="H43" s="86">
        <v>0</v>
      </c>
      <c r="I43" s="106">
        <v>45527</v>
      </c>
      <c r="J43" s="50">
        <v>320</v>
      </c>
      <c r="K43" s="47">
        <f t="shared" si="10"/>
        <v>85</v>
      </c>
      <c r="L43" s="5">
        <v>0.03</v>
      </c>
      <c r="M43" s="6">
        <f t="shared" si="11"/>
        <v>9.6</v>
      </c>
      <c r="O43" s="78"/>
    </row>
    <row r="44" spans="1:15" ht="15" customHeight="1" x14ac:dyDescent="0.25">
      <c r="A44" s="112" t="s">
        <v>118</v>
      </c>
      <c r="B44" s="107" t="s">
        <v>120</v>
      </c>
      <c r="C44" s="158" t="s">
        <v>544</v>
      </c>
      <c r="D44" s="108">
        <v>45442</v>
      </c>
      <c r="E44" s="87">
        <v>521.28</v>
      </c>
      <c r="F44" s="87">
        <v>78.2</v>
      </c>
      <c r="G44" s="94">
        <v>481.85</v>
      </c>
      <c r="H44" s="87">
        <v>66.459999999999994</v>
      </c>
      <c r="I44" s="106">
        <v>45534</v>
      </c>
      <c r="J44" s="50">
        <f t="shared" ref="J44:J52" si="12">+E44-F44</f>
        <v>443.08</v>
      </c>
      <c r="K44" s="47">
        <f t="shared" si="10"/>
        <v>92</v>
      </c>
      <c r="L44" s="5">
        <v>0.03</v>
      </c>
      <c r="M44" s="6">
        <f t="shared" si="11"/>
        <v>13.292399999999999</v>
      </c>
      <c r="O44" s="78"/>
    </row>
    <row r="45" spans="1:15" ht="15" customHeight="1" x14ac:dyDescent="0.25">
      <c r="A45" s="83" t="s">
        <v>42</v>
      </c>
      <c r="B45" s="113" t="s">
        <v>18</v>
      </c>
      <c r="C45" s="95" t="s">
        <v>545</v>
      </c>
      <c r="D45" s="85">
        <v>45476</v>
      </c>
      <c r="E45" s="86">
        <v>184.8</v>
      </c>
      <c r="F45" s="86">
        <v>27.72</v>
      </c>
      <c r="G45" s="94">
        <v>172</v>
      </c>
      <c r="H45" s="86">
        <v>23.56</v>
      </c>
      <c r="I45" s="85">
        <v>45528</v>
      </c>
      <c r="J45" s="50">
        <f t="shared" si="12"/>
        <v>157.08000000000001</v>
      </c>
      <c r="K45" s="47">
        <f t="shared" si="10"/>
        <v>52</v>
      </c>
      <c r="L45" s="5">
        <v>0.03</v>
      </c>
      <c r="M45" s="6">
        <f t="shared" si="11"/>
        <v>4.7124000000000006</v>
      </c>
      <c r="O45" s="78"/>
    </row>
    <row r="46" spans="1:15" ht="15" customHeight="1" x14ac:dyDescent="0.25">
      <c r="A46" s="83" t="s">
        <v>42</v>
      </c>
      <c r="B46" s="113" t="s">
        <v>18</v>
      </c>
      <c r="C46" s="95" t="s">
        <v>546</v>
      </c>
      <c r="D46" s="85">
        <v>45481</v>
      </c>
      <c r="E46" s="86">
        <v>151.80000000000001</v>
      </c>
      <c r="F46" s="86">
        <v>22.77</v>
      </c>
      <c r="G46" s="94">
        <v>141.28</v>
      </c>
      <c r="H46" s="86">
        <v>19.350000000000001</v>
      </c>
      <c r="I46" s="85">
        <v>45528</v>
      </c>
      <c r="J46" s="50">
        <f t="shared" si="12"/>
        <v>129.03</v>
      </c>
      <c r="K46" s="47">
        <f t="shared" si="10"/>
        <v>47</v>
      </c>
      <c r="L46" s="5">
        <v>0.03</v>
      </c>
      <c r="M46" s="6">
        <f t="shared" si="11"/>
        <v>3.8708999999999998</v>
      </c>
      <c r="O46" s="78"/>
    </row>
    <row r="47" spans="1:15" ht="15" customHeight="1" x14ac:dyDescent="0.25">
      <c r="A47" s="83" t="s">
        <v>71</v>
      </c>
      <c r="B47" s="107" t="s">
        <v>24</v>
      </c>
      <c r="C47" s="95" t="s">
        <v>549</v>
      </c>
      <c r="D47" s="85">
        <v>45495</v>
      </c>
      <c r="E47" s="86">
        <v>748.2</v>
      </c>
      <c r="F47" s="86">
        <v>187.05</v>
      </c>
      <c r="G47" s="94">
        <v>645.32000000000005</v>
      </c>
      <c r="H47" s="86">
        <v>84.17</v>
      </c>
      <c r="I47" s="85">
        <v>45531</v>
      </c>
      <c r="J47" s="50">
        <f t="shared" si="12"/>
        <v>561.15000000000009</v>
      </c>
      <c r="K47" s="47">
        <f t="shared" si="10"/>
        <v>36</v>
      </c>
      <c r="L47" s="5">
        <v>0.03</v>
      </c>
      <c r="M47" s="6">
        <f t="shared" si="11"/>
        <v>16.834500000000002</v>
      </c>
      <c r="O47" s="78"/>
    </row>
    <row r="48" spans="1:15" ht="15" customHeight="1" x14ac:dyDescent="0.25">
      <c r="A48" s="83" t="s">
        <v>44</v>
      </c>
      <c r="B48" s="113" t="s">
        <v>18</v>
      </c>
      <c r="C48" s="95" t="s">
        <v>550</v>
      </c>
      <c r="D48" s="85">
        <v>45505</v>
      </c>
      <c r="E48" s="86">
        <v>306</v>
      </c>
      <c r="F48" s="86">
        <v>61.2</v>
      </c>
      <c r="G48" s="94">
        <v>268.05</v>
      </c>
      <c r="H48" s="86">
        <v>36.72</v>
      </c>
      <c r="I48" s="106">
        <v>45512</v>
      </c>
      <c r="J48" s="50">
        <f t="shared" si="12"/>
        <v>244.8</v>
      </c>
      <c r="K48" s="47">
        <f t="shared" si="10"/>
        <v>7</v>
      </c>
      <c r="L48" s="5">
        <v>3.5000000000000003E-2</v>
      </c>
      <c r="M48" s="6">
        <f t="shared" si="11"/>
        <v>8.5680000000000014</v>
      </c>
      <c r="O48" s="78"/>
    </row>
    <row r="49" spans="1:15" ht="15" customHeight="1" x14ac:dyDescent="0.25">
      <c r="A49" s="83" t="s">
        <v>547</v>
      </c>
      <c r="B49" s="55" t="s">
        <v>31</v>
      </c>
      <c r="C49" s="95" t="s">
        <v>551</v>
      </c>
      <c r="D49" s="85">
        <v>45509</v>
      </c>
      <c r="E49" s="86">
        <v>1110</v>
      </c>
      <c r="F49" s="86">
        <v>277.5</v>
      </c>
      <c r="G49" s="94">
        <v>957.38</v>
      </c>
      <c r="H49" s="86">
        <v>124.88</v>
      </c>
      <c r="I49" s="106">
        <v>45530</v>
      </c>
      <c r="J49" s="50">
        <f t="shared" si="12"/>
        <v>832.5</v>
      </c>
      <c r="K49" s="47">
        <f t="shared" si="10"/>
        <v>21</v>
      </c>
      <c r="L49" s="5">
        <v>3.5000000000000003E-2</v>
      </c>
      <c r="M49" s="6">
        <f t="shared" si="11"/>
        <v>29.137500000000003</v>
      </c>
      <c r="O49" s="78"/>
    </row>
    <row r="50" spans="1:15" ht="15" customHeight="1" x14ac:dyDescent="0.25">
      <c r="A50" s="83" t="s">
        <v>102</v>
      </c>
      <c r="B50" s="107" t="s">
        <v>18</v>
      </c>
      <c r="C50" s="95" t="s">
        <v>552</v>
      </c>
      <c r="D50" s="85">
        <v>45510</v>
      </c>
      <c r="E50" s="86">
        <v>46.8</v>
      </c>
      <c r="F50" s="86">
        <v>7.02</v>
      </c>
      <c r="G50" s="94">
        <f>45.75</f>
        <v>45.75</v>
      </c>
      <c r="H50" s="86">
        <v>5.97</v>
      </c>
      <c r="I50" s="106">
        <v>45525</v>
      </c>
      <c r="J50" s="50">
        <f t="shared" si="12"/>
        <v>39.78</v>
      </c>
      <c r="K50" s="47">
        <f t="shared" si="10"/>
        <v>15</v>
      </c>
      <c r="L50" s="5">
        <v>3.5000000000000003E-2</v>
      </c>
      <c r="M50" s="6">
        <f t="shared" si="11"/>
        <v>1.3923000000000001</v>
      </c>
      <c r="O50" s="78"/>
    </row>
    <row r="51" spans="1:15" ht="15" customHeight="1" x14ac:dyDescent="0.25">
      <c r="A51" s="83" t="s">
        <v>548</v>
      </c>
      <c r="B51" s="55" t="s">
        <v>30</v>
      </c>
      <c r="C51" s="95" t="s">
        <v>553</v>
      </c>
      <c r="D51" s="85">
        <v>45523</v>
      </c>
      <c r="E51" s="86">
        <v>290.64</v>
      </c>
      <c r="F51" s="86">
        <v>29.07</v>
      </c>
      <c r="G51" s="94">
        <v>286.42</v>
      </c>
      <c r="H51" s="86">
        <v>39.24</v>
      </c>
      <c r="I51" s="106">
        <v>45531</v>
      </c>
      <c r="J51" s="50">
        <f t="shared" si="12"/>
        <v>261.57</v>
      </c>
      <c r="K51" s="47">
        <f t="shared" si="10"/>
        <v>8</v>
      </c>
      <c r="L51" s="5">
        <v>3.5000000000000003E-2</v>
      </c>
      <c r="M51" s="6">
        <f t="shared" si="11"/>
        <v>9.1549500000000013</v>
      </c>
      <c r="O51" s="78"/>
    </row>
    <row r="52" spans="1:15" ht="15" customHeight="1" x14ac:dyDescent="0.25">
      <c r="A52" s="83" t="s">
        <v>44</v>
      </c>
      <c r="B52" s="113" t="s">
        <v>18</v>
      </c>
      <c r="C52" s="95" t="s">
        <v>554</v>
      </c>
      <c r="D52" s="85">
        <v>45525</v>
      </c>
      <c r="E52" s="86">
        <v>115.2</v>
      </c>
      <c r="F52" s="86">
        <v>17.28</v>
      </c>
      <c r="G52" s="94">
        <v>107.22</v>
      </c>
      <c r="H52" s="86">
        <v>14.69</v>
      </c>
      <c r="I52" s="106">
        <v>45534</v>
      </c>
      <c r="J52" s="50">
        <f t="shared" si="12"/>
        <v>97.92</v>
      </c>
      <c r="K52" s="47">
        <f t="shared" si="10"/>
        <v>9</v>
      </c>
      <c r="L52" s="5">
        <v>3.5000000000000003E-2</v>
      </c>
      <c r="M52" s="6">
        <f t="shared" si="11"/>
        <v>3.4272000000000005</v>
      </c>
      <c r="O52" s="78"/>
    </row>
    <row r="53" spans="1:15" ht="15" customHeight="1" x14ac:dyDescent="0.25">
      <c r="A53" s="115"/>
      <c r="B53" s="136"/>
      <c r="C53" s="117"/>
      <c r="D53" s="118"/>
      <c r="E53" s="119"/>
      <c r="F53" s="119"/>
      <c r="G53" s="120"/>
      <c r="H53" s="119"/>
      <c r="I53" s="121"/>
      <c r="J53" s="50"/>
      <c r="K53" s="47"/>
      <c r="L53" s="5"/>
      <c r="M53" s="6"/>
      <c r="O53" s="78"/>
    </row>
    <row r="54" spans="1:15" ht="15" customHeight="1" x14ac:dyDescent="0.3">
      <c r="G54" s="16">
        <f>SUM(G34:G53)</f>
        <v>4574.6900000000005</v>
      </c>
      <c r="J54" s="16">
        <f>SUM(J34:J53)</f>
        <v>4114.9365217391305</v>
      </c>
      <c r="M54" s="16">
        <f>SUM(M34:M53)</f>
        <v>130.83094565217394</v>
      </c>
    </row>
    <row r="55" spans="1:15" ht="15" customHeight="1" x14ac:dyDescent="0.25">
      <c r="G55" s="8"/>
      <c r="H55" s="8"/>
    </row>
    <row r="56" spans="1:15" ht="15" customHeight="1" x14ac:dyDescent="0.25">
      <c r="A56" s="17" t="s">
        <v>19</v>
      </c>
      <c r="B56" s="17" t="s">
        <v>20</v>
      </c>
      <c r="C56" s="18" t="s">
        <v>21</v>
      </c>
      <c r="I56" s="8"/>
      <c r="J56" s="8"/>
    </row>
    <row r="57" spans="1:15" s="52" customFormat="1" ht="15" customHeight="1" x14ac:dyDescent="0.25">
      <c r="A57" s="91" t="s">
        <v>58</v>
      </c>
      <c r="B57" s="101" t="s">
        <v>555</v>
      </c>
      <c r="C57" s="93" t="s">
        <v>559</v>
      </c>
      <c r="D57" s="88">
        <v>45492</v>
      </c>
      <c r="E57" s="92">
        <v>551.4</v>
      </c>
      <c r="F57" s="92">
        <v>93.75</v>
      </c>
      <c r="G57" s="90">
        <f>526.3-4.58-20.6</f>
        <v>501.11999999999989</v>
      </c>
      <c r="H57" s="92">
        <v>68.650000000000006</v>
      </c>
      <c r="I57" s="88">
        <v>45555</v>
      </c>
      <c r="J57" s="50">
        <f>+E57-F57</f>
        <v>457.65</v>
      </c>
      <c r="K57" s="47">
        <f t="shared" ref="K57:K61" si="13">+I57-D57</f>
        <v>63</v>
      </c>
      <c r="L57" s="48">
        <v>0.03</v>
      </c>
      <c r="M57" s="49">
        <f t="shared" ref="M57:M61" si="14">+J57*L57</f>
        <v>13.729499999999998</v>
      </c>
      <c r="N57" s="60"/>
      <c r="O57" s="78"/>
    </row>
    <row r="58" spans="1:15" s="52" customFormat="1" ht="15" customHeight="1" x14ac:dyDescent="0.25">
      <c r="A58" s="91" t="s">
        <v>47</v>
      </c>
      <c r="B58" s="101" t="s">
        <v>556</v>
      </c>
      <c r="C58" s="93" t="s">
        <v>560</v>
      </c>
      <c r="D58" s="88">
        <v>45509</v>
      </c>
      <c r="E58" s="92">
        <v>92.28</v>
      </c>
      <c r="F58" s="92">
        <v>13.84</v>
      </c>
      <c r="G58" s="96">
        <f>90.21</f>
        <v>90.21</v>
      </c>
      <c r="H58" s="92">
        <v>11.77</v>
      </c>
      <c r="I58" s="106">
        <v>45540</v>
      </c>
      <c r="J58" s="50">
        <f>+E58-F58</f>
        <v>78.44</v>
      </c>
      <c r="K58" s="47">
        <f t="shared" si="13"/>
        <v>31</v>
      </c>
      <c r="L58" s="48">
        <v>0.03</v>
      </c>
      <c r="M58" s="49">
        <f t="shared" si="14"/>
        <v>2.3531999999999997</v>
      </c>
      <c r="N58" s="60"/>
      <c r="O58" s="78"/>
    </row>
    <row r="59" spans="1:15" s="52" customFormat="1" ht="15" customHeight="1" x14ac:dyDescent="0.25">
      <c r="A59" s="91" t="s">
        <v>42</v>
      </c>
      <c r="B59" s="101" t="s">
        <v>557</v>
      </c>
      <c r="C59" s="93" t="s">
        <v>561</v>
      </c>
      <c r="D59" s="88">
        <v>45511</v>
      </c>
      <c r="E59" s="92">
        <v>81.599999999999994</v>
      </c>
      <c r="F59" s="92">
        <v>12.24</v>
      </c>
      <c r="G59" s="96">
        <v>75.95</v>
      </c>
      <c r="H59" s="92">
        <v>10.4</v>
      </c>
      <c r="I59" s="106">
        <v>45550</v>
      </c>
      <c r="J59" s="50">
        <f t="shared" ref="J59:J61" si="15">+E59-F59</f>
        <v>69.36</v>
      </c>
      <c r="K59" s="47">
        <f t="shared" si="13"/>
        <v>39</v>
      </c>
      <c r="L59" s="48">
        <v>0.03</v>
      </c>
      <c r="M59" s="49">
        <f t="shared" si="14"/>
        <v>2.0808</v>
      </c>
      <c r="N59" s="60"/>
      <c r="O59" s="78"/>
    </row>
    <row r="60" spans="1:15" s="52" customFormat="1" ht="15" customHeight="1" x14ac:dyDescent="0.25">
      <c r="A60" s="91" t="s">
        <v>47</v>
      </c>
      <c r="B60" s="101" t="s">
        <v>558</v>
      </c>
      <c r="C60" s="93" t="s">
        <v>562</v>
      </c>
      <c r="D60" s="88">
        <v>45516</v>
      </c>
      <c r="E60" s="92">
        <v>70.2</v>
      </c>
      <c r="F60" s="92">
        <v>10.53</v>
      </c>
      <c r="G60" s="96">
        <v>68.62</v>
      </c>
      <c r="H60" s="92">
        <v>8.9499999999999993</v>
      </c>
      <c r="I60" s="106">
        <v>45547</v>
      </c>
      <c r="J60" s="50">
        <f t="shared" si="15"/>
        <v>59.67</v>
      </c>
      <c r="K60" s="47">
        <f t="shared" si="13"/>
        <v>31</v>
      </c>
      <c r="L60" s="48">
        <v>0.03</v>
      </c>
      <c r="M60" s="49">
        <f t="shared" si="14"/>
        <v>1.7901</v>
      </c>
      <c r="N60" s="60"/>
      <c r="O60" s="78"/>
    </row>
    <row r="61" spans="1:15" s="52" customFormat="1" ht="15" customHeight="1" x14ac:dyDescent="0.25">
      <c r="A61" s="91" t="s">
        <v>42</v>
      </c>
      <c r="B61" s="101" t="s">
        <v>557</v>
      </c>
      <c r="C61" s="93" t="s">
        <v>563</v>
      </c>
      <c r="D61" s="88">
        <v>45518</v>
      </c>
      <c r="E61" s="92">
        <v>102</v>
      </c>
      <c r="F61" s="92">
        <v>15.3</v>
      </c>
      <c r="G61" s="96">
        <v>94.939999999999984</v>
      </c>
      <c r="H61" s="92">
        <v>13.01</v>
      </c>
      <c r="I61" s="106">
        <v>45550</v>
      </c>
      <c r="J61" s="50">
        <f t="shared" si="15"/>
        <v>86.7</v>
      </c>
      <c r="K61" s="47">
        <f t="shared" si="13"/>
        <v>32</v>
      </c>
      <c r="L61" s="48">
        <v>0.03</v>
      </c>
      <c r="M61" s="49">
        <f t="shared" si="14"/>
        <v>2.601</v>
      </c>
      <c r="N61" s="60"/>
      <c r="O61" s="78"/>
    </row>
    <row r="62" spans="1:15" s="1" customFormat="1" ht="15" customHeight="1" thickBot="1" x14ac:dyDescent="0.3">
      <c r="A62" s="152"/>
      <c r="B62" s="153"/>
      <c r="C62" s="154"/>
      <c r="D62" s="155"/>
      <c r="E62" s="156"/>
      <c r="F62" s="156"/>
      <c r="G62" s="90"/>
      <c r="H62" s="92"/>
      <c r="I62" s="105"/>
      <c r="J62" s="50"/>
      <c r="K62" s="47"/>
      <c r="L62" s="48"/>
      <c r="M62" s="53"/>
      <c r="N62" s="74"/>
      <c r="O62" s="78"/>
    </row>
    <row r="63" spans="1:15" ht="15" customHeight="1" thickBot="1" x14ac:dyDescent="0.35">
      <c r="A63" s="332" t="s">
        <v>29</v>
      </c>
      <c r="B63" s="332"/>
      <c r="C63" s="332"/>
      <c r="D63" s="332"/>
      <c r="E63" s="332"/>
      <c r="F63" s="332"/>
      <c r="G63" s="16">
        <f>SUM(G54:G62)</f>
        <v>5405.53</v>
      </c>
      <c r="J63" s="16">
        <f>SUM(J54:J62)</f>
        <v>4866.7565217391293</v>
      </c>
      <c r="L63" s="20"/>
      <c r="M63" s="21">
        <f>SUM(M54:M62)</f>
        <v>153.38554565217393</v>
      </c>
    </row>
    <row r="64" spans="1:15" ht="15" customHeight="1" x14ac:dyDescent="0.3">
      <c r="A64" s="22"/>
      <c r="G64" s="8"/>
    </row>
    <row r="65" spans="1:15" ht="15" customHeight="1" x14ac:dyDescent="0.3">
      <c r="A65" s="39"/>
      <c r="G65" s="8"/>
      <c r="J65" s="8"/>
    </row>
    <row r="66" spans="1:15" ht="15" customHeight="1" x14ac:dyDescent="0.3">
      <c r="A66" s="39"/>
      <c r="G66" s="8"/>
      <c r="J66" s="8"/>
    </row>
    <row r="67" spans="1:15" ht="15" customHeight="1" x14ac:dyDescent="0.3">
      <c r="A67" s="39"/>
      <c r="G67" s="8"/>
      <c r="J67" s="8"/>
    </row>
    <row r="68" spans="1:15" ht="15" customHeight="1" x14ac:dyDescent="0.3">
      <c r="A68" s="39"/>
      <c r="G68" s="8"/>
      <c r="J68" s="8"/>
    </row>
    <row r="69" spans="1:15" ht="15" customHeight="1" x14ac:dyDescent="0.3">
      <c r="A69" s="39"/>
      <c r="G69" s="8"/>
      <c r="J69" s="8"/>
    </row>
    <row r="70" spans="1:15" ht="15" customHeight="1" x14ac:dyDescent="0.3">
      <c r="A70" s="39"/>
      <c r="G70" s="8"/>
      <c r="J70" s="8">
        <f>(J24+J63)*2%</f>
        <v>163.79603478260867</v>
      </c>
      <c r="M70" s="8">
        <f>M24/12</f>
        <v>8.3652130434782617</v>
      </c>
      <c r="N70" s="59" t="s">
        <v>342</v>
      </c>
    </row>
    <row r="71" spans="1:15" ht="15" customHeight="1" x14ac:dyDescent="0.3">
      <c r="A71" s="39"/>
      <c r="G71" s="8"/>
      <c r="J71" s="185">
        <f>J70/12</f>
        <v>13.649669565217389</v>
      </c>
      <c r="M71" s="8">
        <f>M24/24</f>
        <v>4.1826065217391308</v>
      </c>
      <c r="N71" s="59" t="s">
        <v>342</v>
      </c>
    </row>
    <row r="72" spans="1:15" ht="15" customHeight="1" x14ac:dyDescent="0.3">
      <c r="A72" s="39"/>
      <c r="G72" s="8"/>
      <c r="J72" s="185">
        <f>J70/24</f>
        <v>6.8248347826086944</v>
      </c>
      <c r="M72" s="8">
        <f>M63/12</f>
        <v>12.782128804347828</v>
      </c>
      <c r="N72" s="59" t="s">
        <v>341</v>
      </c>
      <c r="O72" s="8"/>
    </row>
    <row r="73" spans="1:15" ht="15" customHeight="1" x14ac:dyDescent="0.3">
      <c r="A73" s="39"/>
      <c r="G73" s="8"/>
      <c r="J73" s="8"/>
      <c r="M73" s="8">
        <f>M63/24</f>
        <v>6.3910644021739138</v>
      </c>
      <c r="N73" s="59" t="s">
        <v>341</v>
      </c>
      <c r="O73" s="8"/>
    </row>
    <row r="74" spans="1:15" ht="15" customHeight="1" x14ac:dyDescent="0.3">
      <c r="A74" s="39"/>
      <c r="G74" s="8"/>
      <c r="J74" s="8"/>
      <c r="M74" s="8"/>
    </row>
    <row r="75" spans="1:15" ht="15" customHeight="1" x14ac:dyDescent="0.3">
      <c r="A75" s="39"/>
      <c r="G75" s="8"/>
      <c r="J75" s="8"/>
      <c r="M75" s="8">
        <f>M70+M72</f>
        <v>21.147341847826091</v>
      </c>
      <c r="N75" s="186" t="s">
        <v>877</v>
      </c>
    </row>
    <row r="76" spans="1:15" ht="15" customHeight="1" x14ac:dyDescent="0.3">
      <c r="A76" s="39"/>
      <c r="G76" s="8"/>
      <c r="J76" s="8"/>
      <c r="M76" s="8">
        <f>M71+M73</f>
        <v>10.573670923913046</v>
      </c>
      <c r="N76" s="186" t="s">
        <v>878</v>
      </c>
    </row>
    <row r="77" spans="1:15" ht="15" customHeight="1" x14ac:dyDescent="0.3">
      <c r="A77" s="39"/>
      <c r="G77" s="8"/>
      <c r="J77" s="8"/>
    </row>
    <row r="78" spans="1:15" ht="15" customHeight="1" x14ac:dyDescent="0.3">
      <c r="A78" s="39"/>
      <c r="G78" s="8"/>
      <c r="J78" s="8"/>
    </row>
    <row r="79" spans="1:15" ht="15" customHeight="1" x14ac:dyDescent="0.3">
      <c r="A79" s="39"/>
      <c r="G79" s="8"/>
      <c r="J79" s="8"/>
    </row>
    <row r="80" spans="1:15" ht="15" customHeight="1" x14ac:dyDescent="0.3">
      <c r="A80" s="22"/>
      <c r="K80" s="15"/>
    </row>
  </sheetData>
  <sortState xmlns:xlrd2="http://schemas.microsoft.com/office/spreadsheetml/2017/richdata2" ref="A34:AD52">
    <sortCondition ref="D34:D52"/>
  </sortState>
  <mergeCells count="7">
    <mergeCell ref="A63:F63"/>
    <mergeCell ref="A2:F2"/>
    <mergeCell ref="A3:F3"/>
    <mergeCell ref="A16:F16"/>
    <mergeCell ref="A24:F24"/>
    <mergeCell ref="A28:F28"/>
    <mergeCell ref="A29:F29"/>
  </mergeCells>
  <pageMargins left="0.19685039370078741" right="0" top="0.39370078740157483" bottom="0" header="0" footer="0"/>
  <pageSetup paperSize="9" scale="80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13"/>
  <sheetViews>
    <sheetView topLeftCell="A10" workbookViewId="0">
      <selection activeCell="J10" sqref="J10"/>
    </sheetView>
  </sheetViews>
  <sheetFormatPr baseColWidth="10" defaultColWidth="11.44140625" defaultRowHeight="13.2" x14ac:dyDescent="0.25"/>
  <cols>
    <col min="1" max="1" width="41.6640625" style="7" customWidth="1"/>
    <col min="2" max="2" width="35.109375" style="7" customWidth="1"/>
    <col min="3" max="3" width="11" style="7" customWidth="1"/>
    <col min="4" max="4" width="12" style="63" customWidth="1"/>
    <col min="5" max="5" width="11.44140625" style="7"/>
    <col min="6" max="6" width="11" style="7" customWidth="1"/>
    <col min="7" max="7" width="12.5546875" style="7" customWidth="1"/>
    <col min="8" max="8" width="10.109375" style="7" customWidth="1"/>
    <col min="9" max="9" width="13.6640625" style="63" customWidth="1"/>
    <col min="10" max="10" width="12.5546875" style="7" customWidth="1"/>
    <col min="11" max="11" width="6.109375" style="7" customWidth="1"/>
    <col min="12" max="12" width="6.44140625" style="7" customWidth="1"/>
    <col min="13" max="13" width="10.33203125" style="7" customWidth="1"/>
    <col min="14" max="14" width="24.33203125" style="59" customWidth="1"/>
    <col min="15" max="16" width="8" style="7" customWidth="1"/>
    <col min="17" max="16384" width="11.44140625" style="7"/>
  </cols>
  <sheetData>
    <row r="1" spans="1:30" ht="15" customHeight="1" x14ac:dyDescent="0.25">
      <c r="B1" s="8"/>
      <c r="C1" s="8"/>
      <c r="G1" s="8"/>
    </row>
    <row r="2" spans="1:30" ht="15" customHeight="1" x14ac:dyDescent="0.25">
      <c r="A2" s="331" t="s">
        <v>0</v>
      </c>
      <c r="B2" s="331"/>
      <c r="C2" s="331"/>
      <c r="D2" s="331"/>
      <c r="E2" s="331"/>
      <c r="F2" s="331"/>
      <c r="G2" s="24"/>
      <c r="H2" s="25"/>
      <c r="I2" s="65"/>
      <c r="J2" s="26"/>
      <c r="K2" s="27"/>
      <c r="L2" s="28"/>
      <c r="M2" s="29"/>
    </row>
    <row r="3" spans="1:30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65"/>
      <c r="J3" s="27"/>
      <c r="K3" s="27"/>
      <c r="L3" s="28"/>
      <c r="M3" s="29"/>
    </row>
    <row r="4" spans="1:30" ht="15" customHeight="1" x14ac:dyDescent="0.25">
      <c r="A4" s="30"/>
      <c r="B4" s="31" t="s">
        <v>576</v>
      </c>
      <c r="C4" s="30"/>
      <c r="D4" s="64"/>
      <c r="E4" s="30"/>
      <c r="F4" s="30"/>
      <c r="G4" s="24"/>
      <c r="H4" s="25"/>
      <c r="I4" s="65"/>
      <c r="J4" s="27"/>
      <c r="K4" s="27"/>
      <c r="L4" s="28"/>
      <c r="M4" s="29"/>
    </row>
    <row r="5" spans="1:30" ht="15" customHeight="1" thickBot="1" x14ac:dyDescent="0.3">
      <c r="A5" s="30"/>
      <c r="B5" s="31" t="s">
        <v>2</v>
      </c>
      <c r="C5" s="30"/>
      <c r="D5" s="64"/>
      <c r="E5" s="30"/>
      <c r="F5" s="30"/>
      <c r="G5" s="32"/>
      <c r="H5" s="24"/>
      <c r="I5" s="69"/>
      <c r="J5" s="33"/>
      <c r="K5" s="27"/>
      <c r="L5" s="28"/>
      <c r="M5" s="29"/>
    </row>
    <row r="6" spans="1:30" ht="15" customHeight="1" x14ac:dyDescent="0.25">
      <c r="A6" s="34" t="s">
        <v>66</v>
      </c>
      <c r="B6" s="33"/>
      <c r="C6" s="33"/>
      <c r="D6" s="65"/>
      <c r="E6" s="33"/>
      <c r="F6" s="33"/>
      <c r="G6" s="35" t="s">
        <v>3</v>
      </c>
      <c r="H6" s="27"/>
      <c r="I6" s="65"/>
      <c r="J6" s="36" t="s">
        <v>4</v>
      </c>
      <c r="K6" s="56" t="s">
        <v>5</v>
      </c>
      <c r="L6" s="40" t="s">
        <v>6</v>
      </c>
      <c r="M6" s="36" t="s">
        <v>7</v>
      </c>
    </row>
    <row r="7" spans="1:30" ht="15" customHeight="1" thickBot="1" x14ac:dyDescent="0.3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12" t="s">
        <v>13</v>
      </c>
      <c r="H7" s="13" t="s">
        <v>14</v>
      </c>
      <c r="I7" s="70" t="s">
        <v>15</v>
      </c>
      <c r="J7" s="14" t="s">
        <v>16</v>
      </c>
      <c r="K7" s="57"/>
      <c r="L7" s="58" t="s">
        <v>17</v>
      </c>
      <c r="M7" s="14" t="s">
        <v>39</v>
      </c>
    </row>
    <row r="8" spans="1:30" s="49" customFormat="1" ht="15" customHeight="1" x14ac:dyDescent="0.25">
      <c r="A8" s="83" t="s">
        <v>127</v>
      </c>
      <c r="B8" s="55" t="s">
        <v>23</v>
      </c>
      <c r="C8" s="95" t="s">
        <v>579</v>
      </c>
      <c r="D8" s="85">
        <v>45425</v>
      </c>
      <c r="E8" s="86">
        <v>324</v>
      </c>
      <c r="F8" s="86">
        <v>97.2</v>
      </c>
      <c r="G8" s="94">
        <v>248.34</v>
      </c>
      <c r="H8" s="86">
        <v>34.020000000000003</v>
      </c>
      <c r="I8" s="105">
        <v>45562</v>
      </c>
      <c r="J8" s="50">
        <f>+E8-F8</f>
        <v>226.8</v>
      </c>
      <c r="K8" s="47">
        <f t="shared" ref="K8:K19" si="0">+I8-D8</f>
        <v>137</v>
      </c>
      <c r="L8" s="48">
        <v>0.03</v>
      </c>
      <c r="M8" s="49">
        <f t="shared" ref="M8:M19" si="1">+J8*L8</f>
        <v>6.8040000000000003</v>
      </c>
      <c r="N8" s="74"/>
      <c r="O8" s="78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s="49" customFormat="1" ht="15" customHeight="1" x14ac:dyDescent="0.25">
      <c r="A9" s="83" t="s">
        <v>74</v>
      </c>
      <c r="B9" s="55" t="s">
        <v>18</v>
      </c>
      <c r="C9" s="95" t="s">
        <v>580</v>
      </c>
      <c r="D9" s="85">
        <v>45441</v>
      </c>
      <c r="E9" s="86">
        <v>26.4</v>
      </c>
      <c r="F9" s="86">
        <v>3.96</v>
      </c>
      <c r="G9" s="94">
        <v>24.58</v>
      </c>
      <c r="H9" s="86">
        <v>3.37</v>
      </c>
      <c r="I9" s="106">
        <v>45539</v>
      </c>
      <c r="J9" s="50">
        <f>+E9-F9</f>
        <v>22.439999999999998</v>
      </c>
      <c r="K9" s="47">
        <f t="shared" si="0"/>
        <v>98</v>
      </c>
      <c r="L9" s="48">
        <v>0.03</v>
      </c>
      <c r="M9" s="49">
        <f t="shared" si="1"/>
        <v>0.67319999999999991</v>
      </c>
      <c r="N9" s="74"/>
      <c r="O9" s="78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s="49" customFormat="1" ht="15" customHeight="1" x14ac:dyDescent="0.25">
      <c r="A10" s="83" t="s">
        <v>86</v>
      </c>
      <c r="B10" s="55" t="s">
        <v>37</v>
      </c>
      <c r="C10" s="95" t="s">
        <v>567</v>
      </c>
      <c r="D10" s="85">
        <v>45446</v>
      </c>
      <c r="E10" s="86">
        <v>6974.4</v>
      </c>
      <c r="F10" s="86">
        <v>2092.3200000000002</v>
      </c>
      <c r="G10" s="94">
        <f>1500+844.83</f>
        <v>2344.83</v>
      </c>
      <c r="H10" s="86">
        <v>732.31</v>
      </c>
      <c r="I10" s="106">
        <v>45536</v>
      </c>
      <c r="J10" s="50">
        <f>(1500+844.83)/1.15</f>
        <v>2038.9826086956523</v>
      </c>
      <c r="K10" s="47">
        <f t="shared" si="0"/>
        <v>90</v>
      </c>
      <c r="L10" s="48">
        <v>0.03</v>
      </c>
      <c r="M10" s="49">
        <f t="shared" si="1"/>
        <v>61.169478260869568</v>
      </c>
      <c r="N10" s="74"/>
      <c r="O10" s="7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s="49" customFormat="1" ht="15" customHeight="1" x14ac:dyDescent="0.25">
      <c r="A11" s="83" t="s">
        <v>577</v>
      </c>
      <c r="B11" s="55" t="s">
        <v>23</v>
      </c>
      <c r="C11" s="95" t="s">
        <v>581</v>
      </c>
      <c r="D11" s="85">
        <v>45446</v>
      </c>
      <c r="E11" s="86">
        <v>1224.8399999999999</v>
      </c>
      <c r="F11" s="86">
        <v>367.45</v>
      </c>
      <c r="G11" s="94">
        <v>938.84999999999991</v>
      </c>
      <c r="H11" s="86">
        <v>128.61000000000001</v>
      </c>
      <c r="I11" s="105">
        <v>45562</v>
      </c>
      <c r="J11" s="50">
        <f t="shared" ref="J11:J19" si="2">+E11-F11</f>
        <v>857.38999999999987</v>
      </c>
      <c r="K11" s="47">
        <f t="shared" si="0"/>
        <v>116</v>
      </c>
      <c r="L11" s="48">
        <v>0.03</v>
      </c>
      <c r="M11" s="49">
        <f t="shared" si="1"/>
        <v>25.721699999999995</v>
      </c>
      <c r="N11" s="74"/>
      <c r="O11" s="7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s="49" customFormat="1" ht="15" customHeight="1" x14ac:dyDescent="0.25">
      <c r="A12" s="83" t="s">
        <v>577</v>
      </c>
      <c r="B12" s="55" t="s">
        <v>23</v>
      </c>
      <c r="C12" s="95" t="s">
        <v>582</v>
      </c>
      <c r="D12" s="85">
        <v>45446</v>
      </c>
      <c r="E12" s="86">
        <v>460.8</v>
      </c>
      <c r="F12" s="86">
        <v>138.24</v>
      </c>
      <c r="G12" s="94">
        <v>353.2</v>
      </c>
      <c r="H12" s="86">
        <v>48.38</v>
      </c>
      <c r="I12" s="105">
        <v>45562</v>
      </c>
      <c r="J12" s="50">
        <f t="shared" si="2"/>
        <v>322.56</v>
      </c>
      <c r="K12" s="47">
        <f t="shared" si="0"/>
        <v>116</v>
      </c>
      <c r="L12" s="48">
        <v>0.03</v>
      </c>
      <c r="M12" s="49">
        <f t="shared" si="1"/>
        <v>9.6768000000000001</v>
      </c>
      <c r="N12" s="74"/>
      <c r="O12" s="7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s="49" customFormat="1" ht="15" customHeight="1" x14ac:dyDescent="0.25">
      <c r="A13" s="83" t="s">
        <v>131</v>
      </c>
      <c r="B13" s="113" t="s">
        <v>37</v>
      </c>
      <c r="C13" s="95" t="s">
        <v>583</v>
      </c>
      <c r="D13" s="85">
        <v>45450</v>
      </c>
      <c r="E13" s="86">
        <v>694.44</v>
      </c>
      <c r="F13" s="86">
        <v>138.88</v>
      </c>
      <c r="G13" s="94">
        <v>608.33000000000004</v>
      </c>
      <c r="H13" s="86">
        <v>83.33</v>
      </c>
      <c r="I13" s="106">
        <v>45555</v>
      </c>
      <c r="J13" s="50">
        <f t="shared" si="2"/>
        <v>555.56000000000006</v>
      </c>
      <c r="K13" s="47">
        <f t="shared" si="0"/>
        <v>105</v>
      </c>
      <c r="L13" s="48">
        <v>0.03</v>
      </c>
      <c r="M13" s="49">
        <f t="shared" si="1"/>
        <v>16.666800000000002</v>
      </c>
      <c r="N13" s="74"/>
      <c r="O13" s="7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s="49" customFormat="1" ht="15" customHeight="1" x14ac:dyDescent="0.25">
      <c r="A14" s="83" t="s">
        <v>74</v>
      </c>
      <c r="B14" s="113" t="s">
        <v>18</v>
      </c>
      <c r="C14" s="95" t="s">
        <v>584</v>
      </c>
      <c r="D14" s="85">
        <v>45491</v>
      </c>
      <c r="E14" s="86">
        <v>93.6</v>
      </c>
      <c r="F14" s="86">
        <v>14.04</v>
      </c>
      <c r="G14" s="94">
        <v>87.11</v>
      </c>
      <c r="H14" s="86">
        <v>11.93</v>
      </c>
      <c r="I14" s="85">
        <v>45539</v>
      </c>
      <c r="J14" s="50">
        <f t="shared" si="2"/>
        <v>79.56</v>
      </c>
      <c r="K14" s="47">
        <f t="shared" si="0"/>
        <v>48</v>
      </c>
      <c r="L14" s="48">
        <v>0.03</v>
      </c>
      <c r="M14" s="49">
        <f t="shared" si="1"/>
        <v>2.3868</v>
      </c>
      <c r="N14" s="74"/>
      <c r="O14" s="7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s="49" customFormat="1" ht="15" customHeight="1" x14ac:dyDescent="0.25">
      <c r="A15" s="83" t="s">
        <v>578</v>
      </c>
      <c r="B15" s="107" t="s">
        <v>37</v>
      </c>
      <c r="C15" s="95" t="s">
        <v>585</v>
      </c>
      <c r="D15" s="85">
        <v>45498</v>
      </c>
      <c r="E15" s="86">
        <v>864</v>
      </c>
      <c r="F15" s="86">
        <v>259.2</v>
      </c>
      <c r="G15" s="94">
        <v>695.52</v>
      </c>
      <c r="H15" s="86">
        <v>90.72</v>
      </c>
      <c r="I15" s="85">
        <v>45559</v>
      </c>
      <c r="J15" s="50">
        <f t="shared" si="2"/>
        <v>604.79999999999995</v>
      </c>
      <c r="K15" s="47">
        <f t="shared" si="0"/>
        <v>61</v>
      </c>
      <c r="L15" s="48">
        <v>0.03</v>
      </c>
      <c r="M15" s="49">
        <f t="shared" si="1"/>
        <v>18.143999999999998</v>
      </c>
      <c r="N15" s="74"/>
      <c r="O15" s="7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s="49" customFormat="1" ht="15" customHeight="1" x14ac:dyDescent="0.25">
      <c r="A16" s="83" t="s">
        <v>80</v>
      </c>
      <c r="B16" s="113" t="s">
        <v>18</v>
      </c>
      <c r="C16" s="95" t="s">
        <v>586</v>
      </c>
      <c r="D16" s="85">
        <v>45503</v>
      </c>
      <c r="E16" s="86">
        <v>540</v>
      </c>
      <c r="F16" s="86">
        <v>108</v>
      </c>
      <c r="G16" s="94">
        <v>473.04</v>
      </c>
      <c r="H16" s="86">
        <v>64.8</v>
      </c>
      <c r="I16" s="85">
        <v>45551</v>
      </c>
      <c r="J16" s="50">
        <f t="shared" si="2"/>
        <v>432</v>
      </c>
      <c r="K16" s="47">
        <f t="shared" si="0"/>
        <v>48</v>
      </c>
      <c r="L16" s="48">
        <v>0.03</v>
      </c>
      <c r="M16" s="49">
        <f t="shared" si="1"/>
        <v>12.959999999999999</v>
      </c>
      <c r="N16" s="74"/>
      <c r="O16" s="7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s="49" customFormat="1" ht="15" customHeight="1" x14ac:dyDescent="0.25">
      <c r="A17" s="83" t="s">
        <v>74</v>
      </c>
      <c r="B17" s="113" t="s">
        <v>18</v>
      </c>
      <c r="C17" s="95" t="s">
        <v>587</v>
      </c>
      <c r="D17" s="85">
        <v>45518</v>
      </c>
      <c r="E17" s="86">
        <v>283.08</v>
      </c>
      <c r="F17" s="86">
        <v>42.46</v>
      </c>
      <c r="G17" s="94">
        <v>263.46999999999997</v>
      </c>
      <c r="H17" s="86">
        <v>36.090000000000003</v>
      </c>
      <c r="I17" s="106">
        <v>45565</v>
      </c>
      <c r="J17" s="50">
        <f t="shared" si="2"/>
        <v>240.61999999999998</v>
      </c>
      <c r="K17" s="47">
        <f t="shared" si="0"/>
        <v>47</v>
      </c>
      <c r="L17" s="48">
        <v>0.03</v>
      </c>
      <c r="M17" s="49">
        <f t="shared" si="1"/>
        <v>7.2185999999999986</v>
      </c>
      <c r="N17" s="74"/>
      <c r="O17" s="7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s="49" customFormat="1" ht="15" customHeight="1" x14ac:dyDescent="0.25">
      <c r="A18" s="83" t="s">
        <v>80</v>
      </c>
      <c r="B18" s="113" t="s">
        <v>18</v>
      </c>
      <c r="C18" s="95" t="s">
        <v>588</v>
      </c>
      <c r="D18" s="85">
        <v>45526</v>
      </c>
      <c r="E18" s="86">
        <v>648</v>
      </c>
      <c r="F18" s="86">
        <v>129.6</v>
      </c>
      <c r="G18" s="94">
        <v>567.65</v>
      </c>
      <c r="H18" s="86">
        <v>77.760000000000005</v>
      </c>
      <c r="I18" s="106">
        <v>45558</v>
      </c>
      <c r="J18" s="50">
        <f t="shared" si="2"/>
        <v>518.4</v>
      </c>
      <c r="K18" s="47">
        <f t="shared" si="0"/>
        <v>32</v>
      </c>
      <c r="L18" s="48">
        <v>0.03</v>
      </c>
      <c r="M18" s="49">
        <f t="shared" si="1"/>
        <v>15.552</v>
      </c>
      <c r="N18" s="74"/>
      <c r="O18" s="7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s="49" customFormat="1" ht="15" customHeight="1" x14ac:dyDescent="0.25">
      <c r="A19" s="83" t="s">
        <v>80</v>
      </c>
      <c r="B19" s="113" t="s">
        <v>18</v>
      </c>
      <c r="C19" s="95" t="s">
        <v>589</v>
      </c>
      <c r="D19" s="85">
        <v>45527</v>
      </c>
      <c r="E19" s="86">
        <v>108</v>
      </c>
      <c r="F19" s="86">
        <v>21.6</v>
      </c>
      <c r="G19" s="94">
        <v>94.61</v>
      </c>
      <c r="H19" s="86">
        <v>12.96</v>
      </c>
      <c r="I19" s="106">
        <v>45558</v>
      </c>
      <c r="J19" s="50">
        <f t="shared" si="2"/>
        <v>86.4</v>
      </c>
      <c r="K19" s="47">
        <f t="shared" si="0"/>
        <v>31</v>
      </c>
      <c r="L19" s="48">
        <v>0.03</v>
      </c>
      <c r="M19" s="49">
        <f t="shared" si="1"/>
        <v>2.5920000000000001</v>
      </c>
      <c r="N19" s="74"/>
      <c r="O19" s="78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s="49" customFormat="1" ht="15" customHeight="1" x14ac:dyDescent="0.25">
      <c r="A20" s="51"/>
      <c r="B20" s="116"/>
      <c r="C20" s="116"/>
      <c r="D20" s="122"/>
      <c r="E20" s="123"/>
      <c r="F20" s="123"/>
      <c r="G20" s="124"/>
      <c r="H20" s="125"/>
      <c r="I20" s="126"/>
      <c r="J20" s="50"/>
      <c r="K20" s="47"/>
      <c r="L20" s="48"/>
      <c r="N20" s="74"/>
      <c r="O20" s="7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s="52" customFormat="1" ht="15" customHeight="1" x14ac:dyDescent="0.25">
      <c r="A21" s="333"/>
      <c r="B21" s="333"/>
      <c r="C21" s="333"/>
      <c r="D21" s="333"/>
      <c r="E21" s="333"/>
      <c r="F21" s="333"/>
      <c r="G21" s="75">
        <f>SUM(G8:G20)</f>
        <v>6699.53</v>
      </c>
      <c r="H21" s="80"/>
      <c r="I21" s="81"/>
      <c r="J21" s="75">
        <f>SUM(J8:J20)</f>
        <v>5985.5126086956516</v>
      </c>
      <c r="K21" s="82"/>
      <c r="L21" s="82"/>
      <c r="M21" s="75">
        <f>SUM(M8:M20)</f>
        <v>179.56537826086958</v>
      </c>
      <c r="N21" s="60"/>
    </row>
    <row r="22" spans="1:30" s="52" customFormat="1" ht="15" customHeight="1" x14ac:dyDescent="0.25">
      <c r="A22" s="76"/>
      <c r="B22" s="76"/>
      <c r="C22" s="76"/>
      <c r="D22" s="77"/>
      <c r="E22" s="76"/>
      <c r="F22" s="76"/>
      <c r="G22" s="78"/>
      <c r="I22" s="79"/>
      <c r="N22" s="60"/>
    </row>
    <row r="23" spans="1:30" s="52" customFormat="1" ht="15" customHeight="1" x14ac:dyDescent="0.25">
      <c r="A23" s="76"/>
      <c r="B23" s="76"/>
      <c r="C23" s="76"/>
      <c r="D23" s="77"/>
      <c r="E23" s="76"/>
      <c r="F23" s="76"/>
      <c r="G23" s="78"/>
      <c r="I23" s="79"/>
      <c r="J23" s="78"/>
      <c r="M23" s="78"/>
      <c r="N23" s="60"/>
    </row>
    <row r="24" spans="1:30" s="52" customFormat="1" ht="15" customHeight="1" x14ac:dyDescent="0.25">
      <c r="A24" s="52" t="s">
        <v>19</v>
      </c>
      <c r="B24" s="52" t="s">
        <v>20</v>
      </c>
      <c r="C24" s="76" t="s">
        <v>21</v>
      </c>
      <c r="D24" s="79"/>
      <c r="G24" s="78"/>
      <c r="I24" s="79"/>
      <c r="N24" s="60"/>
    </row>
    <row r="25" spans="1:30" s="1" customFormat="1" ht="15" customHeight="1" x14ac:dyDescent="0.25">
      <c r="A25" s="91" t="s">
        <v>128</v>
      </c>
      <c r="B25" s="101" t="s">
        <v>657</v>
      </c>
      <c r="C25" s="93" t="s">
        <v>658</v>
      </c>
      <c r="D25" s="88">
        <v>45509</v>
      </c>
      <c r="E25" s="92">
        <v>748.8</v>
      </c>
      <c r="F25" s="92">
        <v>112.34</v>
      </c>
      <c r="G25" s="90">
        <v>696.93</v>
      </c>
      <c r="H25" s="92">
        <v>95.47</v>
      </c>
      <c r="I25" s="105">
        <v>45590</v>
      </c>
      <c r="J25" s="50">
        <f t="shared" ref="J25:J26" si="3">+E25-F25</f>
        <v>636.45999999999992</v>
      </c>
      <c r="K25" s="47">
        <f t="shared" ref="K25:K26" si="4">+I25-D25</f>
        <v>81</v>
      </c>
      <c r="L25" s="48">
        <v>0.03</v>
      </c>
      <c r="M25" s="49">
        <f t="shared" ref="M25:M26" si="5">+J25*L25</f>
        <v>19.093799999999998</v>
      </c>
      <c r="N25" s="74"/>
      <c r="O25" s="78"/>
    </row>
    <row r="26" spans="1:30" s="1" customFormat="1" ht="15" customHeight="1" x14ac:dyDescent="0.25">
      <c r="A26" s="91" t="s">
        <v>128</v>
      </c>
      <c r="B26" s="101" t="s">
        <v>657</v>
      </c>
      <c r="C26" s="93" t="s">
        <v>659</v>
      </c>
      <c r="D26" s="88">
        <v>45527</v>
      </c>
      <c r="E26" s="92">
        <v>142.56</v>
      </c>
      <c r="F26" s="92">
        <v>21.39</v>
      </c>
      <c r="G26" s="96">
        <v>132.69</v>
      </c>
      <c r="H26" s="92">
        <v>18.18</v>
      </c>
      <c r="I26" s="106">
        <v>45590</v>
      </c>
      <c r="J26" s="50">
        <f t="shared" si="3"/>
        <v>121.17</v>
      </c>
      <c r="K26" s="47">
        <f t="shared" si="4"/>
        <v>63</v>
      </c>
      <c r="L26" s="48">
        <v>0.03</v>
      </c>
      <c r="M26" s="49">
        <f t="shared" si="5"/>
        <v>3.6351</v>
      </c>
      <c r="N26" s="74"/>
      <c r="O26" s="78"/>
    </row>
    <row r="27" spans="1:30" s="1" customFormat="1" ht="15" customHeight="1" x14ac:dyDescent="0.25">
      <c r="A27" s="91" t="s">
        <v>128</v>
      </c>
      <c r="B27" s="101" t="s">
        <v>657</v>
      </c>
      <c r="C27" s="93" t="s">
        <v>660</v>
      </c>
      <c r="D27" s="88">
        <v>45538</v>
      </c>
      <c r="E27" s="92">
        <v>210.72</v>
      </c>
      <c r="F27" s="92">
        <v>31.61</v>
      </c>
      <c r="G27" s="96">
        <f>205.98-1.79-8.06</f>
        <v>196.13</v>
      </c>
      <c r="H27" s="92">
        <v>26.87</v>
      </c>
      <c r="I27" s="106">
        <v>45590</v>
      </c>
      <c r="J27" s="50">
        <f t="shared" ref="J27" si="6">+E27-F27</f>
        <v>179.11</v>
      </c>
      <c r="K27" s="47">
        <f t="shared" ref="K27" si="7">+I27-D27</f>
        <v>52</v>
      </c>
      <c r="L27" s="48">
        <v>0.03</v>
      </c>
      <c r="M27" s="49">
        <f t="shared" ref="M27" si="8">+J27*L27</f>
        <v>5.3733000000000004</v>
      </c>
      <c r="N27" s="74"/>
      <c r="O27" s="78"/>
    </row>
    <row r="28" spans="1:30" s="1" customFormat="1" ht="15" customHeight="1" x14ac:dyDescent="0.25">
      <c r="A28" s="91" t="s">
        <v>126</v>
      </c>
      <c r="B28" s="101" t="s">
        <v>654</v>
      </c>
      <c r="C28" s="93" t="s">
        <v>655</v>
      </c>
      <c r="D28" s="88">
        <v>45505</v>
      </c>
      <c r="E28" s="92">
        <v>777.24</v>
      </c>
      <c r="F28" s="92">
        <v>194.31</v>
      </c>
      <c r="G28" s="90">
        <f>670.37-5.83-26.23</f>
        <v>638.30999999999995</v>
      </c>
      <c r="H28" s="92">
        <v>87.44</v>
      </c>
      <c r="I28" s="105">
        <v>45573</v>
      </c>
      <c r="J28" s="50">
        <f t="shared" ref="J28:J29" si="9">+E28-F28</f>
        <v>582.93000000000006</v>
      </c>
      <c r="K28" s="47">
        <f t="shared" ref="K28:K29" si="10">+I28-D28</f>
        <v>68</v>
      </c>
      <c r="L28" s="48">
        <v>0.03</v>
      </c>
      <c r="M28" s="49">
        <f t="shared" ref="M28:M29" si="11">+J28*L28</f>
        <v>17.4879</v>
      </c>
      <c r="N28" s="74"/>
      <c r="O28" s="78"/>
    </row>
    <row r="29" spans="1:30" s="1" customFormat="1" ht="15" customHeight="1" x14ac:dyDescent="0.25">
      <c r="A29" s="91" t="s">
        <v>126</v>
      </c>
      <c r="B29" s="101" t="s">
        <v>654</v>
      </c>
      <c r="C29" s="93" t="s">
        <v>656</v>
      </c>
      <c r="D29" s="88">
        <v>45505</v>
      </c>
      <c r="E29" s="92">
        <v>562.20000000000005</v>
      </c>
      <c r="F29" s="92">
        <v>140.55000000000001</v>
      </c>
      <c r="G29" s="90">
        <f>484.9-4.22-18.98</f>
        <v>461.69999999999993</v>
      </c>
      <c r="H29" s="92">
        <v>63.25</v>
      </c>
      <c r="I29" s="105">
        <v>45573</v>
      </c>
      <c r="J29" s="50">
        <f t="shared" si="9"/>
        <v>421.65000000000003</v>
      </c>
      <c r="K29" s="47">
        <f t="shared" si="10"/>
        <v>68</v>
      </c>
      <c r="L29" s="48">
        <v>0.03</v>
      </c>
      <c r="M29" s="49">
        <f t="shared" si="11"/>
        <v>12.6495</v>
      </c>
      <c r="N29" s="74"/>
      <c r="O29" s="78"/>
    </row>
    <row r="30" spans="1:30" s="1" customFormat="1" ht="15" customHeight="1" x14ac:dyDescent="0.25">
      <c r="A30" s="91" t="s">
        <v>74</v>
      </c>
      <c r="B30" s="101" t="s">
        <v>590</v>
      </c>
      <c r="C30" s="93" t="s">
        <v>592</v>
      </c>
      <c r="D30" s="88">
        <v>45524</v>
      </c>
      <c r="E30" s="92">
        <v>408</v>
      </c>
      <c r="F30" s="92">
        <v>61.2</v>
      </c>
      <c r="G30" s="90">
        <v>379.73999999999995</v>
      </c>
      <c r="H30" s="92">
        <v>52.02</v>
      </c>
      <c r="I30" s="105">
        <v>45572</v>
      </c>
      <c r="J30" s="50">
        <f t="shared" ref="J30" si="12">+E30-F30</f>
        <v>346.8</v>
      </c>
      <c r="K30" s="47">
        <f t="shared" ref="K30" si="13">+I30-D30</f>
        <v>48</v>
      </c>
      <c r="L30" s="48">
        <v>0.03</v>
      </c>
      <c r="M30" s="49">
        <f t="shared" ref="M30" si="14">+J30*L30</f>
        <v>10.404</v>
      </c>
      <c r="N30" s="74"/>
      <c r="O30" s="78"/>
    </row>
    <row r="31" spans="1:30" s="1" customFormat="1" ht="15" customHeight="1" x14ac:dyDescent="0.25">
      <c r="A31" s="91" t="s">
        <v>52</v>
      </c>
      <c r="B31" s="101" t="s">
        <v>591</v>
      </c>
      <c r="C31" s="93" t="s">
        <v>593</v>
      </c>
      <c r="D31" s="88">
        <v>45537</v>
      </c>
      <c r="E31" s="92">
        <v>43.2</v>
      </c>
      <c r="F31" s="92">
        <v>10.8</v>
      </c>
      <c r="G31" s="96">
        <f>37.26-0.32-1.46</f>
        <v>35.479999999999997</v>
      </c>
      <c r="H31" s="92">
        <v>4.8600000000000003</v>
      </c>
      <c r="I31" s="106">
        <v>45566</v>
      </c>
      <c r="J31" s="50">
        <f t="shared" ref="J31" si="15">+E31-F31</f>
        <v>32.400000000000006</v>
      </c>
      <c r="K31" s="47">
        <f t="shared" ref="K31" si="16">+I31-D31</f>
        <v>29</v>
      </c>
      <c r="L31" s="48">
        <v>0.03</v>
      </c>
      <c r="M31" s="49">
        <f t="shared" ref="M31" si="17">+J31*L31</f>
        <v>0.97200000000000009</v>
      </c>
      <c r="N31" s="74"/>
      <c r="O31" s="78"/>
    </row>
    <row r="32" spans="1:30" s="1" customFormat="1" ht="15" customHeight="1" thickBot="1" x14ac:dyDescent="0.3">
      <c r="A32" s="152"/>
      <c r="B32" s="153"/>
      <c r="C32" s="154"/>
      <c r="D32" s="155"/>
      <c r="E32" s="156"/>
      <c r="F32" s="156"/>
      <c r="G32" s="90"/>
      <c r="H32" s="92"/>
      <c r="I32" s="105"/>
      <c r="J32" s="50"/>
      <c r="K32" s="47"/>
      <c r="L32" s="48"/>
      <c r="M32" s="53"/>
      <c r="N32" s="74"/>
      <c r="O32" s="78"/>
    </row>
    <row r="33" spans="1:15" ht="15" customHeight="1" thickBot="1" x14ac:dyDescent="0.35">
      <c r="A33" s="332" t="s">
        <v>29</v>
      </c>
      <c r="B33" s="332"/>
      <c r="C33" s="332"/>
      <c r="D33" s="332"/>
      <c r="E33" s="332"/>
      <c r="F33" s="332"/>
      <c r="G33" s="37">
        <f>SUM(G21:G32)</f>
        <v>9240.51</v>
      </c>
      <c r="J33" s="37">
        <f>SUM(J21:J32)</f>
        <v>8306.0326086956502</v>
      </c>
      <c r="L33" s="20"/>
      <c r="M33" s="38">
        <f>SUM(M21:M32)</f>
        <v>249.18097826086955</v>
      </c>
      <c r="N33" s="59" t="s">
        <v>661</v>
      </c>
    </row>
    <row r="34" spans="1:15" ht="15" customHeight="1" x14ac:dyDescent="0.25">
      <c r="A34" s="19"/>
      <c r="B34" s="19"/>
      <c r="C34" s="19"/>
      <c r="D34" s="67"/>
      <c r="E34" s="19"/>
      <c r="F34" s="19"/>
      <c r="G34" s="8"/>
      <c r="J34" s="8"/>
      <c r="M34" s="8"/>
    </row>
    <row r="35" spans="1:15" ht="15" customHeight="1" x14ac:dyDescent="0.3">
      <c r="A35" s="39"/>
      <c r="B35" s="19"/>
      <c r="C35" s="19"/>
      <c r="D35" s="67"/>
      <c r="E35" s="19"/>
      <c r="F35" s="19"/>
      <c r="G35" s="8"/>
      <c r="J35" s="8"/>
      <c r="M35" s="8"/>
    </row>
    <row r="36" spans="1:15" ht="15" customHeight="1" x14ac:dyDescent="0.25">
      <c r="A36" s="19"/>
      <c r="B36" s="19"/>
      <c r="C36" s="19"/>
      <c r="D36" s="67"/>
      <c r="E36" s="19"/>
      <c r="F36" s="19"/>
      <c r="G36" s="8"/>
      <c r="I36" s="73"/>
    </row>
    <row r="37" spans="1:15" ht="15" customHeight="1" x14ac:dyDescent="0.25">
      <c r="A37" s="331" t="s">
        <v>112</v>
      </c>
      <c r="B37" s="331"/>
      <c r="C37" s="331"/>
      <c r="D37" s="331"/>
      <c r="E37" s="331"/>
      <c r="F37" s="331"/>
      <c r="G37" s="24"/>
      <c r="H37" s="24"/>
      <c r="I37" s="65"/>
      <c r="J37" s="26"/>
      <c r="K37" s="27"/>
      <c r="L37" s="28"/>
      <c r="M37" s="29"/>
    </row>
    <row r="38" spans="1:15" ht="15" customHeight="1" x14ac:dyDescent="0.25">
      <c r="A38" s="331" t="s">
        <v>1</v>
      </c>
      <c r="B38" s="331"/>
      <c r="C38" s="331"/>
      <c r="D38" s="331"/>
      <c r="E38" s="331"/>
      <c r="F38" s="331"/>
      <c r="G38" s="24"/>
      <c r="H38" s="25"/>
      <c r="I38" s="65"/>
      <c r="J38" s="27"/>
      <c r="K38" s="27"/>
      <c r="L38" s="28"/>
      <c r="M38" s="29"/>
    </row>
    <row r="39" spans="1:15" ht="15" customHeight="1" x14ac:dyDescent="0.25">
      <c r="A39" s="30"/>
      <c r="B39" s="31" t="s">
        <v>576</v>
      </c>
      <c r="C39" s="30"/>
      <c r="D39" s="64"/>
      <c r="E39" s="30"/>
      <c r="F39" s="30"/>
      <c r="G39" s="24"/>
      <c r="H39" s="25"/>
      <c r="I39" s="65"/>
      <c r="J39" s="27"/>
      <c r="K39" s="27"/>
      <c r="L39" s="28"/>
      <c r="M39" s="29"/>
    </row>
    <row r="40" spans="1:15" ht="15" customHeight="1" thickBot="1" x14ac:dyDescent="0.3">
      <c r="A40" s="30"/>
      <c r="B40" s="31" t="s">
        <v>22</v>
      </c>
      <c r="C40" s="30"/>
      <c r="D40" s="64"/>
      <c r="E40" s="30"/>
      <c r="F40" s="30"/>
      <c r="G40" s="32"/>
      <c r="H40" s="24"/>
      <c r="I40" s="69"/>
      <c r="J40" s="33"/>
      <c r="K40" s="27"/>
      <c r="L40" s="28"/>
      <c r="M40" s="29"/>
    </row>
    <row r="41" spans="1:15" ht="15" customHeight="1" x14ac:dyDescent="0.25">
      <c r="A41" s="34"/>
      <c r="B41" s="33"/>
      <c r="C41" s="33"/>
      <c r="D41" s="65"/>
      <c r="E41" s="33"/>
      <c r="F41" s="33"/>
      <c r="G41" s="35" t="s">
        <v>3</v>
      </c>
      <c r="H41" s="27"/>
      <c r="I41" s="65"/>
      <c r="J41" s="36" t="s">
        <v>4</v>
      </c>
      <c r="K41" s="56" t="s">
        <v>5</v>
      </c>
      <c r="L41" s="40" t="s">
        <v>6</v>
      </c>
      <c r="M41" s="36" t="s">
        <v>7</v>
      </c>
    </row>
    <row r="42" spans="1:15" ht="15" customHeight="1" x14ac:dyDescent="0.25">
      <c r="A42" s="11" t="s">
        <v>8</v>
      </c>
      <c r="B42" s="11" t="s">
        <v>9</v>
      </c>
      <c r="C42" s="11" t="s">
        <v>10</v>
      </c>
      <c r="D42" s="66" t="s">
        <v>11</v>
      </c>
      <c r="E42" s="11" t="s">
        <v>12</v>
      </c>
      <c r="F42" s="54" t="s">
        <v>50</v>
      </c>
      <c r="G42" s="62" t="s">
        <v>13</v>
      </c>
      <c r="H42" s="13" t="s">
        <v>14</v>
      </c>
      <c r="I42" s="70" t="s">
        <v>15</v>
      </c>
      <c r="J42" s="14" t="s">
        <v>16</v>
      </c>
      <c r="K42" s="57"/>
      <c r="L42" s="58" t="s">
        <v>17</v>
      </c>
      <c r="M42" s="14" t="s">
        <v>39</v>
      </c>
    </row>
    <row r="43" spans="1:15" ht="15" customHeight="1" x14ac:dyDescent="0.25">
      <c r="A43" s="83" t="s">
        <v>115</v>
      </c>
      <c r="B43" s="55" t="s">
        <v>18</v>
      </c>
      <c r="C43" s="95" t="s">
        <v>594</v>
      </c>
      <c r="D43" s="85">
        <v>45378</v>
      </c>
      <c r="E43" s="86">
        <v>1944</v>
      </c>
      <c r="F43" s="86">
        <v>388.8</v>
      </c>
      <c r="G43" s="94">
        <v>324.37</v>
      </c>
      <c r="H43" s="86">
        <v>186.62</v>
      </c>
      <c r="I43" s="114">
        <v>45551</v>
      </c>
      <c r="J43" s="50">
        <f>324.37/1.15</f>
        <v>282.06086956521744</v>
      </c>
      <c r="K43" s="47">
        <f t="shared" ref="K43:K79" si="18">+I43-D43</f>
        <v>173</v>
      </c>
      <c r="L43" s="5">
        <v>0.03</v>
      </c>
      <c r="M43" s="6">
        <f t="shared" ref="M43:M79" si="19">+J43*L43</f>
        <v>8.4618260869565223</v>
      </c>
      <c r="O43" s="78"/>
    </row>
    <row r="44" spans="1:15" ht="15" customHeight="1" x14ac:dyDescent="0.25">
      <c r="A44" s="83" t="s">
        <v>115</v>
      </c>
      <c r="B44" s="55" t="s">
        <v>18</v>
      </c>
      <c r="C44" s="95" t="s">
        <v>595</v>
      </c>
      <c r="D44" s="85">
        <v>45397</v>
      </c>
      <c r="E44" s="86">
        <v>237.6</v>
      </c>
      <c r="F44" s="86">
        <v>47.52</v>
      </c>
      <c r="G44" s="94">
        <v>208.14</v>
      </c>
      <c r="H44" s="86">
        <v>28.51</v>
      </c>
      <c r="I44" s="114">
        <v>45551</v>
      </c>
      <c r="J44" s="50">
        <f t="shared" ref="J44:J54" si="20">+E44-F44</f>
        <v>190.07999999999998</v>
      </c>
      <c r="K44" s="47">
        <f t="shared" si="18"/>
        <v>154</v>
      </c>
      <c r="L44" s="5">
        <v>0.03</v>
      </c>
      <c r="M44" s="6">
        <f t="shared" si="19"/>
        <v>5.702399999999999</v>
      </c>
      <c r="O44" s="78"/>
    </row>
    <row r="45" spans="1:15" ht="15" customHeight="1" x14ac:dyDescent="0.25">
      <c r="A45" s="83" t="s">
        <v>115</v>
      </c>
      <c r="B45" s="55" t="s">
        <v>18</v>
      </c>
      <c r="C45" s="95" t="s">
        <v>596</v>
      </c>
      <c r="D45" s="85">
        <v>45404</v>
      </c>
      <c r="E45" s="86">
        <v>194.4</v>
      </c>
      <c r="F45" s="86">
        <v>38.880000000000003</v>
      </c>
      <c r="G45" s="94">
        <v>170.29</v>
      </c>
      <c r="H45" s="86">
        <v>23.33</v>
      </c>
      <c r="I45" s="114">
        <v>45551</v>
      </c>
      <c r="J45" s="50">
        <f t="shared" si="20"/>
        <v>155.52000000000001</v>
      </c>
      <c r="K45" s="47">
        <f t="shared" si="18"/>
        <v>147</v>
      </c>
      <c r="L45" s="5">
        <v>0.03</v>
      </c>
      <c r="M45" s="6">
        <f t="shared" si="19"/>
        <v>4.6656000000000004</v>
      </c>
      <c r="O45" s="78"/>
    </row>
    <row r="46" spans="1:15" ht="15" customHeight="1" x14ac:dyDescent="0.25">
      <c r="A46" s="83" t="s">
        <v>79</v>
      </c>
      <c r="B46" s="55" t="s">
        <v>30</v>
      </c>
      <c r="C46" s="95" t="s">
        <v>597</v>
      </c>
      <c r="D46" s="85">
        <v>45411</v>
      </c>
      <c r="E46" s="86">
        <v>230.4</v>
      </c>
      <c r="F46" s="86">
        <v>34.56</v>
      </c>
      <c r="G46" s="94">
        <v>214.45</v>
      </c>
      <c r="H46" s="86">
        <v>29.38</v>
      </c>
      <c r="I46" s="105">
        <v>45552</v>
      </c>
      <c r="J46" s="50">
        <f t="shared" si="20"/>
        <v>195.84</v>
      </c>
      <c r="K46" s="47">
        <f t="shared" si="18"/>
        <v>141</v>
      </c>
      <c r="L46" s="5">
        <v>0.03</v>
      </c>
      <c r="M46" s="6">
        <f t="shared" si="19"/>
        <v>5.8751999999999995</v>
      </c>
      <c r="O46" s="78"/>
    </row>
    <row r="47" spans="1:15" ht="15" customHeight="1" x14ac:dyDescent="0.25">
      <c r="A47" s="83" t="s">
        <v>79</v>
      </c>
      <c r="B47" s="55" t="s">
        <v>30</v>
      </c>
      <c r="C47" s="95" t="s">
        <v>598</v>
      </c>
      <c r="D47" s="85">
        <v>45411</v>
      </c>
      <c r="E47" s="86">
        <v>23.4</v>
      </c>
      <c r="F47" s="86">
        <v>3.51</v>
      </c>
      <c r="G47" s="94">
        <v>21.78</v>
      </c>
      <c r="H47" s="86">
        <v>2.98</v>
      </c>
      <c r="I47" s="105">
        <v>45552</v>
      </c>
      <c r="J47" s="50">
        <f t="shared" si="20"/>
        <v>19.89</v>
      </c>
      <c r="K47" s="47">
        <f t="shared" si="18"/>
        <v>141</v>
      </c>
      <c r="L47" s="5">
        <v>0.03</v>
      </c>
      <c r="M47" s="6">
        <f t="shared" si="19"/>
        <v>0.59670000000000001</v>
      </c>
      <c r="O47" s="78"/>
    </row>
    <row r="48" spans="1:15" ht="15" customHeight="1" x14ac:dyDescent="0.25">
      <c r="A48" s="83" t="s">
        <v>115</v>
      </c>
      <c r="B48" s="55" t="s">
        <v>18</v>
      </c>
      <c r="C48" s="95" t="s">
        <v>599</v>
      </c>
      <c r="D48" s="85">
        <v>45412</v>
      </c>
      <c r="E48" s="86">
        <v>345.6</v>
      </c>
      <c r="F48" s="86">
        <v>69.12</v>
      </c>
      <c r="G48" s="94">
        <v>302.75</v>
      </c>
      <c r="H48" s="86">
        <v>41.47</v>
      </c>
      <c r="I48" s="114">
        <v>45551</v>
      </c>
      <c r="J48" s="50">
        <f t="shared" si="20"/>
        <v>276.48</v>
      </c>
      <c r="K48" s="47">
        <f t="shared" si="18"/>
        <v>139</v>
      </c>
      <c r="L48" s="5">
        <v>0.03</v>
      </c>
      <c r="M48" s="6">
        <f t="shared" si="19"/>
        <v>8.2943999999999996</v>
      </c>
      <c r="O48" s="78"/>
    </row>
    <row r="49" spans="1:15" ht="15" customHeight="1" x14ac:dyDescent="0.25">
      <c r="A49" s="91" t="s">
        <v>76</v>
      </c>
      <c r="B49" s="55" t="s">
        <v>18</v>
      </c>
      <c r="C49" s="93" t="s">
        <v>600</v>
      </c>
      <c r="D49" s="88">
        <v>45433</v>
      </c>
      <c r="E49" s="92">
        <v>163.80000000000001</v>
      </c>
      <c r="F49" s="92">
        <v>24.57</v>
      </c>
      <c r="G49" s="96">
        <v>152.46000000000004</v>
      </c>
      <c r="H49" s="92">
        <v>20.88</v>
      </c>
      <c r="I49" s="105">
        <v>45545</v>
      </c>
      <c r="J49" s="50">
        <f t="shared" si="20"/>
        <v>139.23000000000002</v>
      </c>
      <c r="K49" s="47">
        <f t="shared" si="18"/>
        <v>112</v>
      </c>
      <c r="L49" s="5">
        <v>0.03</v>
      </c>
      <c r="M49" s="6">
        <f t="shared" si="19"/>
        <v>4.1769000000000007</v>
      </c>
      <c r="O49" s="78"/>
    </row>
    <row r="50" spans="1:15" ht="15" customHeight="1" x14ac:dyDescent="0.25">
      <c r="A50" s="83" t="s">
        <v>76</v>
      </c>
      <c r="B50" s="55" t="s">
        <v>18</v>
      </c>
      <c r="C50" s="95" t="s">
        <v>601</v>
      </c>
      <c r="D50" s="85">
        <v>45441</v>
      </c>
      <c r="E50" s="86">
        <v>23.4</v>
      </c>
      <c r="F50" s="86">
        <v>3.51</v>
      </c>
      <c r="G50" s="94">
        <v>21.78</v>
      </c>
      <c r="H50" s="86">
        <v>2.98</v>
      </c>
      <c r="I50" s="105">
        <v>45545</v>
      </c>
      <c r="J50" s="50">
        <f t="shared" si="20"/>
        <v>19.89</v>
      </c>
      <c r="K50" s="47">
        <f t="shared" si="18"/>
        <v>104</v>
      </c>
      <c r="L50" s="5">
        <v>0.03</v>
      </c>
      <c r="M50" s="6">
        <f t="shared" si="19"/>
        <v>0.59670000000000001</v>
      </c>
      <c r="O50" s="78"/>
    </row>
    <row r="51" spans="1:15" ht="15" customHeight="1" x14ac:dyDescent="0.25">
      <c r="A51" s="83" t="s">
        <v>76</v>
      </c>
      <c r="B51" s="55" t="s">
        <v>18</v>
      </c>
      <c r="C51" s="95" t="s">
        <v>602</v>
      </c>
      <c r="D51" s="85">
        <v>45441</v>
      </c>
      <c r="E51" s="86">
        <v>10.8</v>
      </c>
      <c r="F51" s="86">
        <v>1.62</v>
      </c>
      <c r="G51" s="94">
        <v>10.06</v>
      </c>
      <c r="H51" s="86">
        <v>1.38</v>
      </c>
      <c r="I51" s="105">
        <v>45545</v>
      </c>
      <c r="J51" s="50">
        <f t="shared" si="20"/>
        <v>9.18</v>
      </c>
      <c r="K51" s="47">
        <f t="shared" si="18"/>
        <v>104</v>
      </c>
      <c r="L51" s="5">
        <v>0.03</v>
      </c>
      <c r="M51" s="6">
        <f t="shared" si="19"/>
        <v>0.27539999999999998</v>
      </c>
      <c r="O51" s="78"/>
    </row>
    <row r="52" spans="1:15" ht="15" customHeight="1" x14ac:dyDescent="0.25">
      <c r="A52" s="83" t="s">
        <v>121</v>
      </c>
      <c r="B52" s="55" t="s">
        <v>32</v>
      </c>
      <c r="C52" s="95" t="s">
        <v>603</v>
      </c>
      <c r="D52" s="85">
        <v>45441</v>
      </c>
      <c r="E52" s="86">
        <v>52.8</v>
      </c>
      <c r="F52" s="86">
        <v>7.92</v>
      </c>
      <c r="G52" s="94">
        <v>51.61</v>
      </c>
      <c r="H52" s="86">
        <v>6.73</v>
      </c>
      <c r="I52" s="105">
        <v>45561</v>
      </c>
      <c r="J52" s="50">
        <f t="shared" si="20"/>
        <v>44.879999999999995</v>
      </c>
      <c r="K52" s="47">
        <f t="shared" si="18"/>
        <v>120</v>
      </c>
      <c r="L52" s="5">
        <v>0.03</v>
      </c>
      <c r="M52" s="6">
        <f t="shared" si="19"/>
        <v>1.3463999999999998</v>
      </c>
      <c r="O52" s="78"/>
    </row>
    <row r="53" spans="1:15" ht="15" customHeight="1" x14ac:dyDescent="0.25">
      <c r="A53" s="83" t="s">
        <v>79</v>
      </c>
      <c r="B53" s="55" t="s">
        <v>30</v>
      </c>
      <c r="C53" s="95" t="s">
        <v>604</v>
      </c>
      <c r="D53" s="85">
        <v>45441</v>
      </c>
      <c r="E53" s="86">
        <v>135.96</v>
      </c>
      <c r="F53" s="86">
        <v>20.39</v>
      </c>
      <c r="G53" s="94">
        <v>126.55</v>
      </c>
      <c r="H53" s="86">
        <v>17.34</v>
      </c>
      <c r="I53" s="105">
        <v>45552</v>
      </c>
      <c r="J53" s="50">
        <f t="shared" si="20"/>
        <v>115.57000000000001</v>
      </c>
      <c r="K53" s="47">
        <f t="shared" si="18"/>
        <v>111</v>
      </c>
      <c r="L53" s="5">
        <v>0.03</v>
      </c>
      <c r="M53" s="6">
        <f t="shared" si="19"/>
        <v>3.4671000000000003</v>
      </c>
      <c r="O53" s="78"/>
    </row>
    <row r="54" spans="1:15" ht="15" customHeight="1" x14ac:dyDescent="0.25">
      <c r="A54" s="83" t="s">
        <v>115</v>
      </c>
      <c r="B54" s="55" t="s">
        <v>18</v>
      </c>
      <c r="C54" s="95" t="s">
        <v>605</v>
      </c>
      <c r="D54" s="85">
        <v>45442</v>
      </c>
      <c r="E54" s="86">
        <v>158.4</v>
      </c>
      <c r="F54" s="86">
        <v>31.67</v>
      </c>
      <c r="G54" s="94">
        <v>138.77000000000001</v>
      </c>
      <c r="H54" s="86">
        <v>19.010000000000002</v>
      </c>
      <c r="I54" s="114">
        <v>45551</v>
      </c>
      <c r="J54" s="50">
        <f t="shared" si="20"/>
        <v>126.73</v>
      </c>
      <c r="K54" s="47">
        <f t="shared" si="18"/>
        <v>109</v>
      </c>
      <c r="L54" s="5">
        <v>0.03</v>
      </c>
      <c r="M54" s="6">
        <f t="shared" si="19"/>
        <v>3.8018999999999998</v>
      </c>
      <c r="O54" s="78"/>
    </row>
    <row r="55" spans="1:15" ht="15" customHeight="1" x14ac:dyDescent="0.25">
      <c r="A55" s="83" t="s">
        <v>378</v>
      </c>
      <c r="B55" s="55" t="s">
        <v>120</v>
      </c>
      <c r="C55" s="95" t="s">
        <v>491</v>
      </c>
      <c r="D55" s="85">
        <v>45442</v>
      </c>
      <c r="E55" s="86">
        <v>181.92</v>
      </c>
      <c r="F55" s="86">
        <v>27.29</v>
      </c>
      <c r="G55" s="94">
        <v>77.819999999999993</v>
      </c>
      <c r="H55" s="86">
        <v>23.19</v>
      </c>
      <c r="I55" s="106">
        <v>45495</v>
      </c>
      <c r="J55" s="50">
        <f>77.82/1.15</f>
        <v>67.669565217391309</v>
      </c>
      <c r="K55" s="47">
        <f t="shared" si="18"/>
        <v>53</v>
      </c>
      <c r="L55" s="5">
        <v>0.03</v>
      </c>
      <c r="M55" s="6">
        <f t="shared" si="19"/>
        <v>2.030086956521739</v>
      </c>
      <c r="O55" s="78"/>
    </row>
    <row r="56" spans="1:15" ht="15" customHeight="1" x14ac:dyDescent="0.25">
      <c r="A56" s="83" t="s">
        <v>68</v>
      </c>
      <c r="B56" s="113" t="s">
        <v>32</v>
      </c>
      <c r="C56" s="95" t="s">
        <v>606</v>
      </c>
      <c r="D56" s="85">
        <v>45449</v>
      </c>
      <c r="E56" s="86">
        <v>312</v>
      </c>
      <c r="F56" s="86">
        <v>46.8</v>
      </c>
      <c r="G56" s="94">
        <v>304.98</v>
      </c>
      <c r="H56" s="86">
        <v>39.78</v>
      </c>
      <c r="I56" s="106">
        <v>45560</v>
      </c>
      <c r="J56" s="50">
        <f>+E56-F56</f>
        <v>265.2</v>
      </c>
      <c r="K56" s="47">
        <f t="shared" si="18"/>
        <v>111</v>
      </c>
      <c r="L56" s="5">
        <v>0.03</v>
      </c>
      <c r="M56" s="6">
        <f t="shared" si="19"/>
        <v>7.9559999999999995</v>
      </c>
      <c r="O56" s="78"/>
    </row>
    <row r="57" spans="1:15" ht="15" customHeight="1" x14ac:dyDescent="0.25">
      <c r="A57" s="83" t="s">
        <v>68</v>
      </c>
      <c r="B57" s="113" t="s">
        <v>32</v>
      </c>
      <c r="C57" s="95" t="s">
        <v>607</v>
      </c>
      <c r="D57" s="85">
        <v>45449</v>
      </c>
      <c r="E57" s="86">
        <v>163.80000000000001</v>
      </c>
      <c r="F57" s="86">
        <v>24.57</v>
      </c>
      <c r="G57" s="94">
        <v>160.11000000000001</v>
      </c>
      <c r="H57" s="86">
        <v>20.88</v>
      </c>
      <c r="I57" s="106">
        <v>45560</v>
      </c>
      <c r="J57" s="50">
        <f>+E57-F57</f>
        <v>139.23000000000002</v>
      </c>
      <c r="K57" s="47">
        <f t="shared" si="18"/>
        <v>111</v>
      </c>
      <c r="L57" s="5">
        <v>0.03</v>
      </c>
      <c r="M57" s="6">
        <f t="shared" si="19"/>
        <v>4.1769000000000007</v>
      </c>
      <c r="O57" s="78"/>
    </row>
    <row r="58" spans="1:15" ht="15" customHeight="1" x14ac:dyDescent="0.25">
      <c r="A58" s="83" t="s">
        <v>134</v>
      </c>
      <c r="B58" s="113" t="s">
        <v>95</v>
      </c>
      <c r="C58" s="95" t="s">
        <v>495</v>
      </c>
      <c r="D58" s="85">
        <v>45454</v>
      </c>
      <c r="E58" s="86">
        <v>152.88</v>
      </c>
      <c r="F58" s="86">
        <v>22.93</v>
      </c>
      <c r="G58" s="94">
        <v>143.62</v>
      </c>
      <c r="H58" s="86">
        <v>19.489999999999998</v>
      </c>
      <c r="I58" s="106">
        <v>45561</v>
      </c>
      <c r="J58" s="50">
        <f>143.62/1.15</f>
        <v>124.88695652173915</v>
      </c>
      <c r="K58" s="47">
        <f t="shared" si="18"/>
        <v>107</v>
      </c>
      <c r="L58" s="5">
        <v>0.03</v>
      </c>
      <c r="M58" s="6">
        <f t="shared" si="19"/>
        <v>3.7466086956521742</v>
      </c>
      <c r="O58" s="78"/>
    </row>
    <row r="59" spans="1:15" ht="15" customHeight="1" x14ac:dyDescent="0.25">
      <c r="A59" s="83" t="s">
        <v>76</v>
      </c>
      <c r="B59" s="113" t="s">
        <v>18</v>
      </c>
      <c r="C59" s="95" t="s">
        <v>609</v>
      </c>
      <c r="D59" s="85">
        <v>45454</v>
      </c>
      <c r="E59" s="86">
        <v>187.2</v>
      </c>
      <c r="F59" s="86">
        <v>28.08</v>
      </c>
      <c r="G59" s="94">
        <v>174.24</v>
      </c>
      <c r="H59" s="86">
        <v>23.87</v>
      </c>
      <c r="I59" s="106">
        <v>45552</v>
      </c>
      <c r="J59" s="50">
        <f t="shared" ref="J59:J79" si="21">+E59-F59</f>
        <v>159.12</v>
      </c>
      <c r="K59" s="47">
        <f t="shared" si="18"/>
        <v>98</v>
      </c>
      <c r="L59" s="5">
        <v>0.03</v>
      </c>
      <c r="M59" s="6">
        <f t="shared" si="19"/>
        <v>4.7736000000000001</v>
      </c>
      <c r="O59" s="78"/>
    </row>
    <row r="60" spans="1:15" ht="15" customHeight="1" x14ac:dyDescent="0.25">
      <c r="A60" s="83" t="s">
        <v>76</v>
      </c>
      <c r="B60" s="113" t="s">
        <v>18</v>
      </c>
      <c r="C60" s="95" t="s">
        <v>610</v>
      </c>
      <c r="D60" s="85">
        <v>45454</v>
      </c>
      <c r="E60" s="86">
        <v>21.6</v>
      </c>
      <c r="F60" s="86">
        <v>3.24</v>
      </c>
      <c r="G60" s="94">
        <v>20.100000000000001</v>
      </c>
      <c r="H60" s="86">
        <v>2.75</v>
      </c>
      <c r="I60" s="106">
        <v>45552</v>
      </c>
      <c r="J60" s="50">
        <f t="shared" si="21"/>
        <v>18.36</v>
      </c>
      <c r="K60" s="47">
        <f t="shared" si="18"/>
        <v>98</v>
      </c>
      <c r="L60" s="5">
        <v>0.03</v>
      </c>
      <c r="M60" s="6">
        <f t="shared" si="19"/>
        <v>0.55079999999999996</v>
      </c>
      <c r="O60" s="78"/>
    </row>
    <row r="61" spans="1:15" ht="15" customHeight="1" x14ac:dyDescent="0.25">
      <c r="A61" s="83" t="s">
        <v>76</v>
      </c>
      <c r="B61" s="113" t="s">
        <v>18</v>
      </c>
      <c r="C61" s="95" t="s">
        <v>611</v>
      </c>
      <c r="D61" s="85">
        <v>45457</v>
      </c>
      <c r="E61" s="86">
        <v>168</v>
      </c>
      <c r="F61" s="86">
        <v>25.2</v>
      </c>
      <c r="G61" s="94">
        <v>156.35999999999999</v>
      </c>
      <c r="H61" s="86">
        <v>21.42</v>
      </c>
      <c r="I61" s="106">
        <v>45552</v>
      </c>
      <c r="J61" s="50">
        <f t="shared" si="21"/>
        <v>142.80000000000001</v>
      </c>
      <c r="K61" s="47">
        <f t="shared" si="18"/>
        <v>95</v>
      </c>
      <c r="L61" s="5">
        <v>0.03</v>
      </c>
      <c r="M61" s="6">
        <f t="shared" si="19"/>
        <v>4.2839999999999998</v>
      </c>
      <c r="O61" s="78"/>
    </row>
    <row r="62" spans="1:15" ht="15" customHeight="1" x14ac:dyDescent="0.25">
      <c r="A62" s="83" t="s">
        <v>76</v>
      </c>
      <c r="B62" s="113" t="s">
        <v>18</v>
      </c>
      <c r="C62" s="95" t="s">
        <v>612</v>
      </c>
      <c r="D62" s="85">
        <v>45460</v>
      </c>
      <c r="E62" s="86">
        <v>129.6</v>
      </c>
      <c r="F62" s="86">
        <v>19.440000000000001</v>
      </c>
      <c r="G62" s="94">
        <v>120.62000000000002</v>
      </c>
      <c r="H62" s="86">
        <v>16.52</v>
      </c>
      <c r="I62" s="106">
        <v>45545</v>
      </c>
      <c r="J62" s="50">
        <f t="shared" si="21"/>
        <v>110.16</v>
      </c>
      <c r="K62" s="47">
        <f t="shared" si="18"/>
        <v>85</v>
      </c>
      <c r="L62" s="5">
        <v>0.03</v>
      </c>
      <c r="M62" s="6">
        <f t="shared" si="19"/>
        <v>3.3047999999999997</v>
      </c>
      <c r="O62" s="78"/>
    </row>
    <row r="63" spans="1:15" ht="15" customHeight="1" x14ac:dyDescent="0.25">
      <c r="A63" s="83" t="s">
        <v>76</v>
      </c>
      <c r="B63" s="113" t="s">
        <v>18</v>
      </c>
      <c r="C63" s="95" t="s">
        <v>613</v>
      </c>
      <c r="D63" s="85">
        <v>45461</v>
      </c>
      <c r="E63" s="86">
        <v>54</v>
      </c>
      <c r="F63" s="86">
        <v>8.1</v>
      </c>
      <c r="G63" s="94">
        <v>50.26</v>
      </c>
      <c r="H63" s="86">
        <v>6.89</v>
      </c>
      <c r="I63" s="106">
        <v>45545</v>
      </c>
      <c r="J63" s="50">
        <f t="shared" si="21"/>
        <v>45.9</v>
      </c>
      <c r="K63" s="47">
        <f t="shared" si="18"/>
        <v>84</v>
      </c>
      <c r="L63" s="5">
        <v>0.03</v>
      </c>
      <c r="M63" s="6">
        <f t="shared" si="19"/>
        <v>1.377</v>
      </c>
      <c r="O63" s="78"/>
    </row>
    <row r="64" spans="1:15" ht="15" customHeight="1" x14ac:dyDescent="0.25">
      <c r="A64" s="83" t="s">
        <v>608</v>
      </c>
      <c r="B64" s="113" t="s">
        <v>95</v>
      </c>
      <c r="C64" s="95" t="s">
        <v>614</v>
      </c>
      <c r="D64" s="85">
        <v>45463</v>
      </c>
      <c r="E64" s="86">
        <v>171.6</v>
      </c>
      <c r="F64" s="86">
        <v>25.74</v>
      </c>
      <c r="G64" s="94">
        <v>167.74</v>
      </c>
      <c r="H64" s="86">
        <v>21.88</v>
      </c>
      <c r="I64" s="106">
        <v>45561</v>
      </c>
      <c r="J64" s="50">
        <f t="shared" si="21"/>
        <v>145.85999999999999</v>
      </c>
      <c r="K64" s="47">
        <f t="shared" si="18"/>
        <v>98</v>
      </c>
      <c r="L64" s="5">
        <v>0.03</v>
      </c>
      <c r="M64" s="6">
        <f t="shared" si="19"/>
        <v>4.375799999999999</v>
      </c>
      <c r="O64" s="78"/>
    </row>
    <row r="65" spans="1:15" ht="15" customHeight="1" x14ac:dyDescent="0.25">
      <c r="A65" s="83" t="s">
        <v>608</v>
      </c>
      <c r="B65" s="113" t="s">
        <v>95</v>
      </c>
      <c r="C65" s="95" t="s">
        <v>615</v>
      </c>
      <c r="D65" s="85">
        <v>45463</v>
      </c>
      <c r="E65" s="86">
        <v>61.2</v>
      </c>
      <c r="F65" s="86">
        <v>9.19</v>
      </c>
      <c r="G65" s="94">
        <v>59.81</v>
      </c>
      <c r="H65" s="86">
        <v>7.8</v>
      </c>
      <c r="I65" s="106">
        <v>45561</v>
      </c>
      <c r="J65" s="50">
        <f t="shared" si="21"/>
        <v>52.010000000000005</v>
      </c>
      <c r="K65" s="47">
        <f t="shared" si="18"/>
        <v>98</v>
      </c>
      <c r="L65" s="5">
        <v>0.03</v>
      </c>
      <c r="M65" s="6">
        <f t="shared" si="19"/>
        <v>1.5603</v>
      </c>
      <c r="O65" s="78"/>
    </row>
    <row r="66" spans="1:15" ht="15" customHeight="1" x14ac:dyDescent="0.25">
      <c r="A66" s="83" t="s">
        <v>47</v>
      </c>
      <c r="B66" s="107" t="s">
        <v>18</v>
      </c>
      <c r="C66" s="95" t="s">
        <v>616</v>
      </c>
      <c r="D66" s="85">
        <v>45471</v>
      </c>
      <c r="E66" s="86">
        <v>70.2</v>
      </c>
      <c r="F66" s="86">
        <v>10.53</v>
      </c>
      <c r="G66" s="94">
        <v>68.62</v>
      </c>
      <c r="H66" s="86">
        <v>8.9499999999999993</v>
      </c>
      <c r="I66" s="106">
        <v>45547</v>
      </c>
      <c r="J66" s="50">
        <f t="shared" si="21"/>
        <v>59.67</v>
      </c>
      <c r="K66" s="47">
        <f t="shared" si="18"/>
        <v>76</v>
      </c>
      <c r="L66" s="5">
        <v>0.03</v>
      </c>
      <c r="M66" s="6">
        <f t="shared" si="19"/>
        <v>1.7901</v>
      </c>
      <c r="O66" s="78"/>
    </row>
    <row r="67" spans="1:15" ht="15" customHeight="1" x14ac:dyDescent="0.25">
      <c r="A67" s="83" t="s">
        <v>76</v>
      </c>
      <c r="B67" s="113" t="s">
        <v>18</v>
      </c>
      <c r="C67" s="95" t="s">
        <v>617</v>
      </c>
      <c r="D67" s="85">
        <v>45477</v>
      </c>
      <c r="E67" s="86">
        <v>315.24</v>
      </c>
      <c r="F67" s="86">
        <v>47.28</v>
      </c>
      <c r="G67" s="94">
        <v>293.40999999999997</v>
      </c>
      <c r="H67" s="86">
        <v>40.19</v>
      </c>
      <c r="I67" s="85">
        <v>45552</v>
      </c>
      <c r="J67" s="50">
        <f t="shared" si="21"/>
        <v>267.96000000000004</v>
      </c>
      <c r="K67" s="47">
        <f t="shared" si="18"/>
        <v>75</v>
      </c>
      <c r="L67" s="5">
        <v>0.03</v>
      </c>
      <c r="M67" s="6">
        <f t="shared" si="19"/>
        <v>8.0388000000000002</v>
      </c>
      <c r="O67" s="78"/>
    </row>
    <row r="68" spans="1:15" ht="15" customHeight="1" x14ac:dyDescent="0.25">
      <c r="A68" s="83" t="s">
        <v>76</v>
      </c>
      <c r="B68" s="113" t="s">
        <v>18</v>
      </c>
      <c r="C68" s="95" t="s">
        <v>618</v>
      </c>
      <c r="D68" s="85">
        <v>45482</v>
      </c>
      <c r="E68" s="86">
        <v>108.72</v>
      </c>
      <c r="F68" s="86">
        <v>16.309999999999999</v>
      </c>
      <c r="G68" s="94">
        <v>101.19</v>
      </c>
      <c r="H68" s="86">
        <v>13.86</v>
      </c>
      <c r="I68" s="85">
        <v>45552</v>
      </c>
      <c r="J68" s="50">
        <f t="shared" si="21"/>
        <v>92.41</v>
      </c>
      <c r="K68" s="47">
        <f t="shared" si="18"/>
        <v>70</v>
      </c>
      <c r="L68" s="5">
        <v>0.03</v>
      </c>
      <c r="M68" s="6">
        <f t="shared" si="19"/>
        <v>2.7723</v>
      </c>
      <c r="O68" s="78"/>
    </row>
    <row r="69" spans="1:15" ht="15" customHeight="1" x14ac:dyDescent="0.25">
      <c r="A69" s="83" t="s">
        <v>89</v>
      </c>
      <c r="B69" s="113" t="s">
        <v>18</v>
      </c>
      <c r="C69" s="95" t="s">
        <v>619</v>
      </c>
      <c r="D69" s="85">
        <v>45492</v>
      </c>
      <c r="E69" s="86">
        <v>684.6</v>
      </c>
      <c r="F69" s="86">
        <v>136.91999999999999</v>
      </c>
      <c r="G69" s="94">
        <v>599.70000000000005</v>
      </c>
      <c r="H69" s="86">
        <v>82.15</v>
      </c>
      <c r="I69" s="106">
        <v>45554</v>
      </c>
      <c r="J69" s="50">
        <f t="shared" si="21"/>
        <v>547.68000000000006</v>
      </c>
      <c r="K69" s="47">
        <f t="shared" si="18"/>
        <v>62</v>
      </c>
      <c r="L69" s="5">
        <v>0.03</v>
      </c>
      <c r="M69" s="6">
        <f t="shared" si="19"/>
        <v>16.430400000000002</v>
      </c>
      <c r="O69" s="78"/>
    </row>
    <row r="70" spans="1:15" ht="15" customHeight="1" x14ac:dyDescent="0.25">
      <c r="A70" s="83" t="s">
        <v>45</v>
      </c>
      <c r="B70" s="107" t="s">
        <v>24</v>
      </c>
      <c r="C70" s="95" t="s">
        <v>620</v>
      </c>
      <c r="D70" s="85">
        <v>45495</v>
      </c>
      <c r="E70" s="86">
        <v>6342.96</v>
      </c>
      <c r="F70" s="86">
        <v>1585.74</v>
      </c>
      <c r="G70" s="94">
        <v>5209.1600000000008</v>
      </c>
      <c r="H70" s="86">
        <v>713.58</v>
      </c>
      <c r="I70" s="85">
        <v>45538</v>
      </c>
      <c r="J70" s="50">
        <f t="shared" si="21"/>
        <v>4757.22</v>
      </c>
      <c r="K70" s="47">
        <f t="shared" si="18"/>
        <v>43</v>
      </c>
      <c r="L70" s="5">
        <v>0.03</v>
      </c>
      <c r="M70" s="6">
        <f t="shared" si="19"/>
        <v>142.7166</v>
      </c>
      <c r="O70" s="78"/>
    </row>
    <row r="71" spans="1:15" ht="15" customHeight="1" x14ac:dyDescent="0.25">
      <c r="A71" s="83" t="s">
        <v>94</v>
      </c>
      <c r="B71" s="113" t="s">
        <v>18</v>
      </c>
      <c r="C71" s="95" t="s">
        <v>621</v>
      </c>
      <c r="D71" s="85">
        <v>45502</v>
      </c>
      <c r="E71" s="86">
        <v>141</v>
      </c>
      <c r="F71" s="86">
        <v>21.15</v>
      </c>
      <c r="G71" s="94">
        <v>137.83000000000001</v>
      </c>
      <c r="H71" s="86">
        <v>17.98</v>
      </c>
      <c r="I71" s="85">
        <v>45556</v>
      </c>
      <c r="J71" s="50">
        <f t="shared" si="21"/>
        <v>119.85</v>
      </c>
      <c r="K71" s="47">
        <f t="shared" si="18"/>
        <v>54</v>
      </c>
      <c r="L71" s="5">
        <v>0.03</v>
      </c>
      <c r="M71" s="6">
        <f t="shared" si="19"/>
        <v>3.5954999999999999</v>
      </c>
      <c r="O71" s="78"/>
    </row>
    <row r="72" spans="1:15" ht="15" customHeight="1" x14ac:dyDescent="0.25">
      <c r="A72" s="83" t="s">
        <v>89</v>
      </c>
      <c r="B72" s="113" t="s">
        <v>18</v>
      </c>
      <c r="C72" s="95" t="s">
        <v>622</v>
      </c>
      <c r="D72" s="85">
        <v>45509</v>
      </c>
      <c r="E72" s="86">
        <v>33.119999999999997</v>
      </c>
      <c r="F72" s="86">
        <v>4.97</v>
      </c>
      <c r="G72" s="94">
        <v>30.819999999999997</v>
      </c>
      <c r="H72" s="86">
        <v>4.22</v>
      </c>
      <c r="I72" s="106">
        <v>45554</v>
      </c>
      <c r="J72" s="50">
        <f t="shared" si="21"/>
        <v>28.15</v>
      </c>
      <c r="K72" s="47">
        <f t="shared" si="18"/>
        <v>45</v>
      </c>
      <c r="L72" s="5">
        <v>0.03</v>
      </c>
      <c r="M72" s="6">
        <f t="shared" si="19"/>
        <v>0.84449999999999992</v>
      </c>
      <c r="O72" s="78"/>
    </row>
    <row r="73" spans="1:15" ht="15" customHeight="1" x14ac:dyDescent="0.25">
      <c r="A73" s="83" t="s">
        <v>623</v>
      </c>
      <c r="B73" s="159" t="s">
        <v>30</v>
      </c>
      <c r="C73" s="95" t="s">
        <v>627</v>
      </c>
      <c r="D73" s="85">
        <v>45531</v>
      </c>
      <c r="E73" s="86">
        <v>330.48</v>
      </c>
      <c r="F73" s="86">
        <v>49.58</v>
      </c>
      <c r="G73" s="94">
        <v>323.04000000000002</v>
      </c>
      <c r="H73" s="86">
        <v>42.14</v>
      </c>
      <c r="I73" s="106">
        <v>45565</v>
      </c>
      <c r="J73" s="50">
        <f t="shared" si="21"/>
        <v>280.90000000000003</v>
      </c>
      <c r="K73" s="47">
        <f t="shared" si="18"/>
        <v>34</v>
      </c>
      <c r="L73" s="5">
        <v>0.03</v>
      </c>
      <c r="M73" s="6">
        <f t="shared" si="19"/>
        <v>8.4270000000000014</v>
      </c>
      <c r="O73" s="78"/>
    </row>
    <row r="74" spans="1:15" ht="15" customHeight="1" x14ac:dyDescent="0.25">
      <c r="A74" s="83" t="s">
        <v>624</v>
      </c>
      <c r="B74" s="159" t="s">
        <v>30</v>
      </c>
      <c r="C74" s="95" t="s">
        <v>628</v>
      </c>
      <c r="D74" s="85">
        <v>45531</v>
      </c>
      <c r="E74" s="86">
        <v>226.56</v>
      </c>
      <c r="F74" s="86">
        <v>22.66</v>
      </c>
      <c r="G74" s="94">
        <v>223.27</v>
      </c>
      <c r="H74" s="86">
        <v>30.59</v>
      </c>
      <c r="I74" s="106">
        <v>45544</v>
      </c>
      <c r="J74" s="50">
        <f t="shared" si="21"/>
        <v>203.9</v>
      </c>
      <c r="K74" s="47">
        <f t="shared" si="18"/>
        <v>13</v>
      </c>
      <c r="L74" s="5">
        <v>3.5000000000000003E-2</v>
      </c>
      <c r="M74" s="6">
        <f t="shared" si="19"/>
        <v>7.1365000000000007</v>
      </c>
      <c r="O74" s="78"/>
    </row>
    <row r="75" spans="1:15" ht="15" customHeight="1" x14ac:dyDescent="0.25">
      <c r="A75" s="83" t="s">
        <v>625</v>
      </c>
      <c r="B75" s="113" t="s">
        <v>18</v>
      </c>
      <c r="C75" s="95" t="s">
        <v>629</v>
      </c>
      <c r="D75" s="85">
        <v>45531</v>
      </c>
      <c r="E75" s="86">
        <v>61.2</v>
      </c>
      <c r="F75" s="86">
        <v>9.18</v>
      </c>
      <c r="G75" s="94">
        <v>59.82</v>
      </c>
      <c r="H75" s="86">
        <v>7.8</v>
      </c>
      <c r="I75" s="106">
        <v>45539</v>
      </c>
      <c r="J75" s="50">
        <f t="shared" si="21"/>
        <v>52.02</v>
      </c>
      <c r="K75" s="47">
        <f t="shared" si="18"/>
        <v>8</v>
      </c>
      <c r="L75" s="5">
        <v>3.5000000000000003E-2</v>
      </c>
      <c r="M75" s="6">
        <f t="shared" si="19"/>
        <v>1.8207000000000002</v>
      </c>
      <c r="O75" s="78"/>
    </row>
    <row r="76" spans="1:15" ht="15" customHeight="1" x14ac:dyDescent="0.25">
      <c r="A76" s="83" t="s">
        <v>626</v>
      </c>
      <c r="B76" s="159" t="s">
        <v>30</v>
      </c>
      <c r="C76" s="95" t="s">
        <v>630</v>
      </c>
      <c r="D76" s="85">
        <v>45533</v>
      </c>
      <c r="E76" s="86">
        <v>139.91999999999999</v>
      </c>
      <c r="F76" s="86">
        <v>20.98</v>
      </c>
      <c r="G76" s="94">
        <v>136.78</v>
      </c>
      <c r="H76" s="86">
        <v>17.84</v>
      </c>
      <c r="I76" s="106">
        <v>45564</v>
      </c>
      <c r="J76" s="50">
        <f t="shared" si="21"/>
        <v>118.93999999999998</v>
      </c>
      <c r="K76" s="47">
        <f t="shared" si="18"/>
        <v>31</v>
      </c>
      <c r="L76" s="5">
        <v>0.03</v>
      </c>
      <c r="M76" s="6">
        <f t="shared" si="19"/>
        <v>3.5681999999999996</v>
      </c>
      <c r="O76" s="78"/>
    </row>
    <row r="77" spans="1:15" ht="15" customHeight="1" x14ac:dyDescent="0.25">
      <c r="A77" s="83" t="s">
        <v>71</v>
      </c>
      <c r="B77" s="107" t="s">
        <v>24</v>
      </c>
      <c r="C77" s="95" t="s">
        <v>631</v>
      </c>
      <c r="D77" s="85">
        <v>45539</v>
      </c>
      <c r="E77" s="86">
        <v>598.49</v>
      </c>
      <c r="F77" s="86">
        <v>149.62</v>
      </c>
      <c r="G77" s="94">
        <v>516.20000000000005</v>
      </c>
      <c r="H77" s="86">
        <v>67.33</v>
      </c>
      <c r="I77" s="106">
        <v>45551</v>
      </c>
      <c r="J77" s="50">
        <f t="shared" si="21"/>
        <v>448.87</v>
      </c>
      <c r="K77" s="47">
        <f t="shared" si="18"/>
        <v>12</v>
      </c>
      <c r="L77" s="5">
        <v>3.5000000000000003E-2</v>
      </c>
      <c r="M77" s="6">
        <f t="shared" si="19"/>
        <v>15.710450000000002</v>
      </c>
      <c r="O77" s="78"/>
    </row>
    <row r="78" spans="1:15" ht="15" customHeight="1" x14ac:dyDescent="0.25">
      <c r="A78" s="83" t="s">
        <v>478</v>
      </c>
      <c r="B78" s="160" t="s">
        <v>120</v>
      </c>
      <c r="C78" s="95" t="s">
        <v>632</v>
      </c>
      <c r="D78" s="85">
        <v>45546</v>
      </c>
      <c r="E78" s="86">
        <v>69.84</v>
      </c>
      <c r="F78" s="86">
        <v>0</v>
      </c>
      <c r="G78" s="94">
        <v>80.319999999999993</v>
      </c>
      <c r="H78" s="86">
        <v>10.48</v>
      </c>
      <c r="I78" s="106">
        <v>45547</v>
      </c>
      <c r="J78" s="50">
        <f t="shared" si="21"/>
        <v>69.84</v>
      </c>
      <c r="K78" s="47">
        <f t="shared" si="18"/>
        <v>1</v>
      </c>
      <c r="L78" s="5">
        <v>0.04</v>
      </c>
      <c r="M78" s="6">
        <f t="shared" si="19"/>
        <v>2.7936000000000001</v>
      </c>
      <c r="O78" s="78"/>
    </row>
    <row r="79" spans="1:15" ht="15" customHeight="1" x14ac:dyDescent="0.25">
      <c r="A79" s="83" t="s">
        <v>25</v>
      </c>
      <c r="B79" s="107" t="s">
        <v>30</v>
      </c>
      <c r="C79" s="95" t="s">
        <v>633</v>
      </c>
      <c r="D79" s="85">
        <v>45548</v>
      </c>
      <c r="E79" s="86">
        <v>762</v>
      </c>
      <c r="F79" s="86">
        <v>190.5</v>
      </c>
      <c r="G79" s="94">
        <v>625.79</v>
      </c>
      <c r="H79" s="86">
        <v>85.73</v>
      </c>
      <c r="I79" s="106">
        <v>45554</v>
      </c>
      <c r="J79" s="50">
        <f t="shared" si="21"/>
        <v>571.5</v>
      </c>
      <c r="K79" s="47">
        <f t="shared" si="18"/>
        <v>6</v>
      </c>
      <c r="L79" s="5">
        <v>0.04</v>
      </c>
      <c r="M79" s="6">
        <f t="shared" si="19"/>
        <v>22.86</v>
      </c>
      <c r="O79" s="78"/>
    </row>
    <row r="80" spans="1:15" ht="15" customHeight="1" x14ac:dyDescent="0.25">
      <c r="A80" s="115"/>
      <c r="B80" s="136"/>
      <c r="C80" s="117"/>
      <c r="D80" s="118"/>
      <c r="E80" s="119"/>
      <c r="F80" s="119"/>
      <c r="G80" s="120"/>
      <c r="H80" s="119"/>
      <c r="I80" s="121"/>
      <c r="J80" s="50"/>
      <c r="K80" s="47"/>
      <c r="L80" s="5"/>
      <c r="M80" s="6"/>
      <c r="O80" s="78"/>
    </row>
    <row r="81" spans="1:15" ht="15" customHeight="1" x14ac:dyDescent="0.3">
      <c r="G81" s="16">
        <f>SUM(G43:G80)</f>
        <v>11584.620000000003</v>
      </c>
      <c r="J81" s="16">
        <f>SUM(J43:J80)</f>
        <v>10465.45739130435</v>
      </c>
      <c r="M81" s="16">
        <f>SUM(M43:M80)</f>
        <v>323.90107173913049</v>
      </c>
    </row>
    <row r="82" spans="1:15" ht="15" customHeight="1" x14ac:dyDescent="0.25">
      <c r="G82" s="8"/>
      <c r="H82" s="8"/>
    </row>
    <row r="83" spans="1:15" ht="15" customHeight="1" x14ac:dyDescent="0.25">
      <c r="A83" s="17" t="s">
        <v>19</v>
      </c>
      <c r="B83" s="17" t="s">
        <v>20</v>
      </c>
      <c r="C83" s="18" t="s">
        <v>21</v>
      </c>
      <c r="I83" s="8"/>
      <c r="J83" s="8"/>
    </row>
    <row r="84" spans="1:15" s="52" customFormat="1" ht="15" customHeight="1" x14ac:dyDescent="0.25">
      <c r="A84" s="91" t="s">
        <v>49</v>
      </c>
      <c r="B84" s="101" t="s">
        <v>635</v>
      </c>
      <c r="C84" s="93" t="s">
        <v>634</v>
      </c>
      <c r="D84" s="88">
        <v>45454</v>
      </c>
      <c r="E84" s="92">
        <v>234</v>
      </c>
      <c r="F84" s="92">
        <v>35.1</v>
      </c>
      <c r="G84" s="90">
        <f>228.74-1.99-8.95</f>
        <v>217.8</v>
      </c>
      <c r="H84" s="92">
        <v>29.84</v>
      </c>
      <c r="I84" s="105">
        <v>45576</v>
      </c>
      <c r="J84" s="50">
        <f>+E84-F84</f>
        <v>198.9</v>
      </c>
      <c r="K84" s="47">
        <f t="shared" ref="K84:K94" si="22">+I84-D84</f>
        <v>122</v>
      </c>
      <c r="L84" s="48">
        <v>0.03</v>
      </c>
      <c r="M84" s="49">
        <f t="shared" ref="M84:M94" si="23">+J84*L84</f>
        <v>5.9669999999999996</v>
      </c>
      <c r="N84" s="60"/>
      <c r="O84" s="78"/>
    </row>
    <row r="85" spans="1:15" s="52" customFormat="1" ht="15" customHeight="1" x14ac:dyDescent="0.25">
      <c r="A85" s="91" t="s">
        <v>42</v>
      </c>
      <c r="B85" s="101" t="s">
        <v>639</v>
      </c>
      <c r="C85" s="93" t="s">
        <v>636</v>
      </c>
      <c r="D85" s="88">
        <v>45524</v>
      </c>
      <c r="E85" s="92">
        <v>81.599999999999994</v>
      </c>
      <c r="F85" s="92">
        <v>12.24</v>
      </c>
      <c r="G85" s="96">
        <v>75.95</v>
      </c>
      <c r="H85" s="92">
        <v>10.4</v>
      </c>
      <c r="I85" s="106">
        <v>45575</v>
      </c>
      <c r="J85" s="50">
        <f>+E85-F85</f>
        <v>69.36</v>
      </c>
      <c r="K85" s="47">
        <f t="shared" si="22"/>
        <v>51</v>
      </c>
      <c r="L85" s="48">
        <v>0.03</v>
      </c>
      <c r="M85" s="49">
        <f t="shared" si="23"/>
        <v>2.0808</v>
      </c>
      <c r="N85" s="60"/>
      <c r="O85" s="78"/>
    </row>
    <row r="86" spans="1:15" s="52" customFormat="1" ht="15" customHeight="1" x14ac:dyDescent="0.25">
      <c r="A86" s="91" t="s">
        <v>42</v>
      </c>
      <c r="B86" s="101" t="s">
        <v>639</v>
      </c>
      <c r="C86" s="93" t="s">
        <v>637</v>
      </c>
      <c r="D86" s="88">
        <v>45525</v>
      </c>
      <c r="E86" s="92">
        <v>139.19999999999999</v>
      </c>
      <c r="F86" s="92">
        <v>20.88</v>
      </c>
      <c r="G86" s="96">
        <v>129.55999999999997</v>
      </c>
      <c r="H86" s="92">
        <v>17.75</v>
      </c>
      <c r="I86" s="106">
        <v>45575</v>
      </c>
      <c r="J86" s="50">
        <f t="shared" ref="J86:J91" si="24">+E86-F86</f>
        <v>118.32</v>
      </c>
      <c r="K86" s="47">
        <f t="shared" ref="K86:K91" si="25">+I86-D86</f>
        <v>50</v>
      </c>
      <c r="L86" s="48">
        <v>0.03</v>
      </c>
      <c r="M86" s="49">
        <f t="shared" ref="M86:M91" si="26">+J86*L86</f>
        <v>3.5495999999999999</v>
      </c>
      <c r="N86" s="60"/>
      <c r="O86" s="78"/>
    </row>
    <row r="87" spans="1:15" s="52" customFormat="1" ht="15" customHeight="1" x14ac:dyDescent="0.25">
      <c r="A87" s="91" t="s">
        <v>42</v>
      </c>
      <c r="B87" s="101" t="s">
        <v>640</v>
      </c>
      <c r="C87" s="93" t="s">
        <v>638</v>
      </c>
      <c r="D87" s="88">
        <v>45527</v>
      </c>
      <c r="E87" s="92">
        <v>174</v>
      </c>
      <c r="F87" s="92">
        <v>26.1</v>
      </c>
      <c r="G87" s="96">
        <v>161.95000000000002</v>
      </c>
      <c r="H87" s="92">
        <v>22.19</v>
      </c>
      <c r="I87" s="106">
        <v>45583</v>
      </c>
      <c r="J87" s="50">
        <f t="shared" si="24"/>
        <v>147.9</v>
      </c>
      <c r="K87" s="47">
        <f t="shared" si="25"/>
        <v>56</v>
      </c>
      <c r="L87" s="48">
        <v>0.03</v>
      </c>
      <c r="M87" s="49">
        <f t="shared" si="26"/>
        <v>4.4370000000000003</v>
      </c>
      <c r="N87" s="60"/>
      <c r="O87" s="78"/>
    </row>
    <row r="88" spans="1:15" s="52" customFormat="1" ht="15" customHeight="1" x14ac:dyDescent="0.25">
      <c r="A88" s="91" t="s">
        <v>626</v>
      </c>
      <c r="B88" s="101" t="s">
        <v>641</v>
      </c>
      <c r="C88" s="93" t="s">
        <v>644</v>
      </c>
      <c r="D88" s="88">
        <v>45534</v>
      </c>
      <c r="E88" s="92">
        <v>132</v>
      </c>
      <c r="F88" s="92">
        <v>19.78</v>
      </c>
      <c r="G88" s="96">
        <v>129.05000000000001</v>
      </c>
      <c r="H88" s="92">
        <v>16.829999999999998</v>
      </c>
      <c r="I88" s="106">
        <v>45572</v>
      </c>
      <c r="J88" s="50">
        <f t="shared" si="24"/>
        <v>112.22</v>
      </c>
      <c r="K88" s="47">
        <f t="shared" si="25"/>
        <v>38</v>
      </c>
      <c r="L88" s="48">
        <v>0.03</v>
      </c>
      <c r="M88" s="49">
        <f t="shared" si="26"/>
        <v>3.3666</v>
      </c>
      <c r="N88" s="60"/>
      <c r="O88" s="78"/>
    </row>
    <row r="89" spans="1:15" s="52" customFormat="1" ht="15" customHeight="1" x14ac:dyDescent="0.25">
      <c r="A89" s="91" t="s">
        <v>46</v>
      </c>
      <c r="B89" s="101" t="s">
        <v>642</v>
      </c>
      <c r="C89" s="93" t="s">
        <v>645</v>
      </c>
      <c r="D89" s="88">
        <v>45537</v>
      </c>
      <c r="E89" s="92">
        <v>163.19999999999999</v>
      </c>
      <c r="F89" s="92">
        <v>24.48</v>
      </c>
      <c r="G89" s="96">
        <v>151.9</v>
      </c>
      <c r="H89" s="92">
        <v>20.81</v>
      </c>
      <c r="I89" s="106">
        <v>45567</v>
      </c>
      <c r="J89" s="50">
        <f t="shared" si="24"/>
        <v>138.72</v>
      </c>
      <c r="K89" s="47">
        <f t="shared" si="25"/>
        <v>30</v>
      </c>
      <c r="L89" s="48">
        <v>0.03</v>
      </c>
      <c r="M89" s="49">
        <f t="shared" si="26"/>
        <v>4.1616</v>
      </c>
      <c r="N89" s="60"/>
      <c r="O89" s="78"/>
    </row>
    <row r="90" spans="1:15" s="52" customFormat="1" ht="15" customHeight="1" x14ac:dyDescent="0.25">
      <c r="A90" s="91" t="s">
        <v>40</v>
      </c>
      <c r="B90" s="101" t="s">
        <v>643</v>
      </c>
      <c r="C90" s="93" t="s">
        <v>646</v>
      </c>
      <c r="D90" s="88">
        <v>45537</v>
      </c>
      <c r="E90" s="92">
        <v>1003.2</v>
      </c>
      <c r="F90" s="92">
        <v>250.8</v>
      </c>
      <c r="G90" s="96">
        <v>823.88</v>
      </c>
      <c r="H90" s="92">
        <v>112.86</v>
      </c>
      <c r="I90" s="106">
        <v>45567</v>
      </c>
      <c r="J90" s="50">
        <f t="shared" si="24"/>
        <v>752.40000000000009</v>
      </c>
      <c r="K90" s="47">
        <f t="shared" si="25"/>
        <v>30</v>
      </c>
      <c r="L90" s="48">
        <v>0.03</v>
      </c>
      <c r="M90" s="49">
        <f t="shared" si="26"/>
        <v>22.572000000000003</v>
      </c>
      <c r="N90" s="60"/>
      <c r="O90" s="78"/>
    </row>
    <row r="91" spans="1:15" s="52" customFormat="1" ht="15" customHeight="1" x14ac:dyDescent="0.25">
      <c r="A91" s="91" t="s">
        <v>42</v>
      </c>
      <c r="B91" s="101" t="s">
        <v>639</v>
      </c>
      <c r="C91" s="93" t="s">
        <v>647</v>
      </c>
      <c r="D91" s="88">
        <v>45538</v>
      </c>
      <c r="E91" s="92">
        <v>174</v>
      </c>
      <c r="F91" s="92">
        <v>26.1</v>
      </c>
      <c r="G91" s="96">
        <v>161.95000000000002</v>
      </c>
      <c r="H91" s="92">
        <v>22.19</v>
      </c>
      <c r="I91" s="106">
        <v>45575</v>
      </c>
      <c r="J91" s="50">
        <f t="shared" si="24"/>
        <v>147.9</v>
      </c>
      <c r="K91" s="47">
        <f t="shared" si="25"/>
        <v>37</v>
      </c>
      <c r="L91" s="48">
        <v>0.03</v>
      </c>
      <c r="M91" s="49">
        <f t="shared" si="26"/>
        <v>4.4370000000000003</v>
      </c>
      <c r="N91" s="60"/>
      <c r="O91" s="78"/>
    </row>
    <row r="92" spans="1:15" s="52" customFormat="1" ht="15" customHeight="1" x14ac:dyDescent="0.25">
      <c r="A92" s="91" t="s">
        <v>40</v>
      </c>
      <c r="B92" s="101" t="s">
        <v>648</v>
      </c>
      <c r="C92" s="93" t="s">
        <v>651</v>
      </c>
      <c r="D92" s="88">
        <v>45551</v>
      </c>
      <c r="E92" s="92">
        <v>1632</v>
      </c>
      <c r="F92" s="92">
        <v>408</v>
      </c>
      <c r="G92" s="96">
        <v>1340.28</v>
      </c>
      <c r="H92" s="92">
        <v>183.6</v>
      </c>
      <c r="I92" s="106">
        <v>45581</v>
      </c>
      <c r="J92" s="50">
        <f t="shared" ref="J92:J94" si="27">+E92-F92</f>
        <v>1224</v>
      </c>
      <c r="K92" s="47">
        <f t="shared" si="22"/>
        <v>30</v>
      </c>
      <c r="L92" s="48">
        <v>0.03</v>
      </c>
      <c r="M92" s="49">
        <f t="shared" si="23"/>
        <v>36.72</v>
      </c>
      <c r="N92" s="60"/>
      <c r="O92" s="78"/>
    </row>
    <row r="93" spans="1:15" s="52" customFormat="1" ht="15" customHeight="1" x14ac:dyDescent="0.25">
      <c r="A93" s="91" t="s">
        <v>40</v>
      </c>
      <c r="B93" s="101" t="s">
        <v>649</v>
      </c>
      <c r="C93" s="93" t="s">
        <v>652</v>
      </c>
      <c r="D93" s="88">
        <v>45552</v>
      </c>
      <c r="E93" s="92">
        <v>1108.8</v>
      </c>
      <c r="F93" s="92">
        <v>277.2</v>
      </c>
      <c r="G93" s="96">
        <v>910.6</v>
      </c>
      <c r="H93" s="92">
        <v>124.74</v>
      </c>
      <c r="I93" s="106">
        <v>45582</v>
      </c>
      <c r="J93" s="50">
        <f t="shared" si="27"/>
        <v>831.59999999999991</v>
      </c>
      <c r="K93" s="47">
        <f t="shared" si="22"/>
        <v>30</v>
      </c>
      <c r="L93" s="48">
        <v>0.03</v>
      </c>
      <c r="M93" s="49">
        <f t="shared" si="23"/>
        <v>24.947999999999997</v>
      </c>
      <c r="N93" s="60"/>
      <c r="O93" s="78"/>
    </row>
    <row r="94" spans="1:15" s="52" customFormat="1" ht="15" customHeight="1" x14ac:dyDescent="0.25">
      <c r="A94" s="91" t="s">
        <v>44</v>
      </c>
      <c r="B94" s="101" t="s">
        <v>650</v>
      </c>
      <c r="C94" s="93" t="s">
        <v>653</v>
      </c>
      <c r="D94" s="88">
        <v>45553</v>
      </c>
      <c r="E94" s="92">
        <v>153.6</v>
      </c>
      <c r="F94" s="92">
        <v>23.04</v>
      </c>
      <c r="G94" s="96">
        <v>142.95999999999998</v>
      </c>
      <c r="H94" s="92">
        <v>19.579999999999998</v>
      </c>
      <c r="I94" s="106">
        <v>45569</v>
      </c>
      <c r="J94" s="50">
        <f t="shared" si="27"/>
        <v>130.56</v>
      </c>
      <c r="K94" s="47">
        <f t="shared" si="22"/>
        <v>16</v>
      </c>
      <c r="L94" s="48">
        <v>0.03</v>
      </c>
      <c r="M94" s="49">
        <f t="shared" si="23"/>
        <v>3.9167999999999998</v>
      </c>
      <c r="N94" s="60"/>
      <c r="O94" s="78"/>
    </row>
    <row r="95" spans="1:15" s="1" customFormat="1" ht="15" customHeight="1" thickBot="1" x14ac:dyDescent="0.3">
      <c r="A95" s="152"/>
      <c r="B95" s="153"/>
      <c r="C95" s="154"/>
      <c r="D95" s="155"/>
      <c r="E95" s="156"/>
      <c r="F95" s="156"/>
      <c r="G95" s="90"/>
      <c r="H95" s="92"/>
      <c r="I95" s="105"/>
      <c r="J95" s="50"/>
      <c r="K95" s="47"/>
      <c r="L95" s="48"/>
      <c r="M95" s="53"/>
      <c r="N95" s="74"/>
      <c r="O95" s="78"/>
    </row>
    <row r="96" spans="1:15" ht="15" customHeight="1" thickBot="1" x14ac:dyDescent="0.35">
      <c r="A96" s="332" t="s">
        <v>29</v>
      </c>
      <c r="B96" s="332"/>
      <c r="C96" s="332"/>
      <c r="D96" s="332"/>
      <c r="E96" s="332"/>
      <c r="F96" s="332"/>
      <c r="G96" s="16">
        <f>SUM(G81:G95)</f>
        <v>15830.500000000002</v>
      </c>
      <c r="J96" s="16">
        <f>SUM(J81:J95)</f>
        <v>14337.337391304347</v>
      </c>
      <c r="L96" s="20"/>
      <c r="M96" s="21">
        <f>SUM(M81:M95)</f>
        <v>440.05747173913056</v>
      </c>
      <c r="N96" s="59" t="s">
        <v>662</v>
      </c>
    </row>
    <row r="97" spans="1:15" ht="15" customHeight="1" x14ac:dyDescent="0.3">
      <c r="A97" s="22"/>
      <c r="G97" s="8"/>
    </row>
    <row r="98" spans="1:15" ht="15" customHeight="1" x14ac:dyDescent="0.3">
      <c r="A98" s="39"/>
      <c r="G98" s="8"/>
      <c r="J98" s="8"/>
    </row>
    <row r="99" spans="1:15" ht="15" customHeight="1" x14ac:dyDescent="0.3">
      <c r="A99" s="39"/>
      <c r="G99" s="8"/>
      <c r="J99" s="8"/>
    </row>
    <row r="100" spans="1:15" ht="15" customHeight="1" x14ac:dyDescent="0.3">
      <c r="A100" s="39"/>
      <c r="G100" s="8"/>
      <c r="J100" s="8"/>
    </row>
    <row r="101" spans="1:15" ht="15" customHeight="1" x14ac:dyDescent="0.3">
      <c r="A101" s="39"/>
      <c r="G101" s="8"/>
      <c r="J101" s="8"/>
    </row>
    <row r="102" spans="1:15" ht="15" customHeight="1" x14ac:dyDescent="0.3">
      <c r="A102" s="39"/>
      <c r="G102" s="8"/>
      <c r="J102" s="8" t="s">
        <v>876</v>
      </c>
    </row>
    <row r="103" spans="1:15" ht="15" customHeight="1" x14ac:dyDescent="0.3">
      <c r="A103" s="39"/>
      <c r="G103" s="8"/>
      <c r="J103" s="8">
        <f>(J33+J96)*2%</f>
        <v>452.86739999999992</v>
      </c>
      <c r="M103" s="8">
        <f>M33/12</f>
        <v>20.76508152173913</v>
      </c>
      <c r="N103" s="59" t="s">
        <v>342</v>
      </c>
    </row>
    <row r="104" spans="1:15" ht="15" customHeight="1" x14ac:dyDescent="0.3">
      <c r="A104" s="39"/>
      <c r="G104" s="8"/>
      <c r="J104" s="185">
        <f>J103/12</f>
        <v>37.738949999999996</v>
      </c>
      <c r="M104" s="8">
        <f>M33/24</f>
        <v>10.382540760869565</v>
      </c>
      <c r="N104" s="59" t="s">
        <v>342</v>
      </c>
    </row>
    <row r="105" spans="1:15" ht="15" customHeight="1" x14ac:dyDescent="0.3">
      <c r="A105" s="39"/>
      <c r="G105" s="8"/>
      <c r="J105" s="185">
        <f>J103/24</f>
        <v>18.869474999999998</v>
      </c>
      <c r="M105" s="8">
        <f>M96/12</f>
        <v>36.67145597826088</v>
      </c>
      <c r="N105" s="59" t="s">
        <v>341</v>
      </c>
      <c r="O105" s="8"/>
    </row>
    <row r="106" spans="1:15" ht="15" customHeight="1" x14ac:dyDescent="0.3">
      <c r="A106" s="39"/>
      <c r="G106" s="8"/>
      <c r="J106" s="8"/>
      <c r="M106" s="8">
        <f>M96/24</f>
        <v>18.33572798913044</v>
      </c>
      <c r="N106" s="59" t="s">
        <v>341</v>
      </c>
      <c r="O106" s="8"/>
    </row>
    <row r="107" spans="1:15" ht="15" customHeight="1" x14ac:dyDescent="0.3">
      <c r="A107" s="39"/>
      <c r="G107" s="8"/>
      <c r="J107" s="8"/>
      <c r="M107" s="8"/>
    </row>
    <row r="108" spans="1:15" ht="15" customHeight="1" x14ac:dyDescent="0.3">
      <c r="A108" s="39"/>
      <c r="G108" s="8"/>
      <c r="J108" s="8"/>
      <c r="M108" s="185">
        <f>M103+M105</f>
        <v>57.436537500000014</v>
      </c>
      <c r="N108" s="186" t="s">
        <v>877</v>
      </c>
    </row>
    <row r="109" spans="1:15" ht="15" customHeight="1" x14ac:dyDescent="0.3">
      <c r="A109" s="39"/>
      <c r="G109" s="8"/>
      <c r="J109" s="8"/>
      <c r="M109" s="185">
        <f>M104+M106</f>
        <v>28.718268750000007</v>
      </c>
      <c r="N109" s="186" t="s">
        <v>878</v>
      </c>
    </row>
    <row r="110" spans="1:15" ht="15" customHeight="1" x14ac:dyDescent="0.3">
      <c r="A110" s="39"/>
      <c r="G110" s="8"/>
      <c r="J110" s="8"/>
    </row>
    <row r="111" spans="1:15" ht="15" customHeight="1" x14ac:dyDescent="0.3">
      <c r="A111" s="39"/>
      <c r="G111" s="8"/>
      <c r="J111" s="8"/>
    </row>
    <row r="112" spans="1:15" ht="15" customHeight="1" x14ac:dyDescent="0.3">
      <c r="A112" s="39"/>
      <c r="G112" s="8"/>
      <c r="J112" s="8"/>
    </row>
    <row r="113" spans="1:11" ht="15" customHeight="1" x14ac:dyDescent="0.3">
      <c r="A113" s="22"/>
      <c r="J113" s="15"/>
      <c r="K113" s="15"/>
    </row>
  </sheetData>
  <sortState xmlns:xlrd2="http://schemas.microsoft.com/office/spreadsheetml/2017/richdata2" ref="A43:AD79">
    <sortCondition ref="C43:C79"/>
  </sortState>
  <mergeCells count="7">
    <mergeCell ref="A96:F96"/>
    <mergeCell ref="A2:F2"/>
    <mergeCell ref="A3:F3"/>
    <mergeCell ref="A21:F21"/>
    <mergeCell ref="A33:F33"/>
    <mergeCell ref="A37:F37"/>
    <mergeCell ref="A38:F38"/>
  </mergeCells>
  <pageMargins left="0.19685039370078741" right="0" top="0.59055118110236227" bottom="0.39370078740157483" header="0" footer="0"/>
  <pageSetup paperSize="9" scale="72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101"/>
  <sheetViews>
    <sheetView topLeftCell="A2" zoomScale="85" zoomScaleNormal="85" workbookViewId="0">
      <selection activeCell="C9" sqref="C9"/>
    </sheetView>
  </sheetViews>
  <sheetFormatPr baseColWidth="10" defaultColWidth="11.44140625" defaultRowHeight="13.2" x14ac:dyDescent="0.25"/>
  <cols>
    <col min="1" max="1" width="64.33203125" style="7" customWidth="1"/>
    <col min="2" max="2" width="15.44140625" style="7" customWidth="1"/>
    <col min="3" max="3" width="17.44140625" style="7" customWidth="1"/>
    <col min="4" max="4" width="10.5546875" style="63" customWidth="1"/>
    <col min="5" max="5" width="10.5546875" style="7" customWidth="1"/>
    <col min="6" max="6" width="10.33203125" style="7" customWidth="1"/>
    <col min="7" max="7" width="12.109375" style="7" customWidth="1"/>
    <col min="8" max="8" width="8.88671875" style="7" customWidth="1"/>
    <col min="9" max="9" width="11.88671875" style="63" customWidth="1"/>
    <col min="10" max="10" width="12.5546875" style="7" customWidth="1"/>
    <col min="11" max="11" width="6.109375" style="7" customWidth="1"/>
    <col min="12" max="12" width="6.44140625" style="7" customWidth="1"/>
    <col min="13" max="13" width="10.33203125" style="7" customWidth="1"/>
    <col min="14" max="14" width="24.33203125" style="59" customWidth="1"/>
    <col min="15" max="16" width="8" style="7" customWidth="1"/>
    <col min="17" max="16384" width="11.44140625" style="7"/>
  </cols>
  <sheetData>
    <row r="1" spans="1:30" ht="15" customHeight="1" x14ac:dyDescent="0.25">
      <c r="B1" s="8"/>
      <c r="C1" s="8"/>
      <c r="G1" s="8"/>
    </row>
    <row r="2" spans="1:30" ht="15" customHeight="1" x14ac:dyDescent="0.25">
      <c r="A2" s="331" t="s">
        <v>0</v>
      </c>
      <c r="B2" s="331"/>
      <c r="C2" s="331"/>
      <c r="D2" s="331"/>
      <c r="E2" s="331"/>
      <c r="F2" s="331"/>
      <c r="G2" s="24"/>
      <c r="H2" s="25"/>
      <c r="I2" s="65"/>
      <c r="J2" s="26"/>
      <c r="K2" s="27"/>
      <c r="L2" s="28"/>
      <c r="M2" s="29"/>
    </row>
    <row r="3" spans="1:30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65"/>
      <c r="J3" s="27"/>
      <c r="K3" s="27"/>
      <c r="L3" s="28"/>
      <c r="M3" s="29"/>
    </row>
    <row r="4" spans="1:30" ht="15" customHeight="1" x14ac:dyDescent="0.25">
      <c r="A4" s="30"/>
      <c r="B4" s="31" t="s">
        <v>664</v>
      </c>
      <c r="C4" s="30"/>
      <c r="D4" s="64"/>
      <c r="E4" s="30"/>
      <c r="F4" s="30"/>
      <c r="G4" s="24">
        <f>G8+G9</f>
        <v>1738.4199999999998</v>
      </c>
      <c r="H4" s="25"/>
      <c r="I4" s="65"/>
      <c r="J4" s="27"/>
      <c r="K4" s="27"/>
      <c r="L4" s="28"/>
      <c r="M4" s="29"/>
    </row>
    <row r="5" spans="1:30" ht="15" customHeight="1" thickBot="1" x14ac:dyDescent="0.3">
      <c r="A5" s="30"/>
      <c r="B5" s="31" t="s">
        <v>2</v>
      </c>
      <c r="C5" s="30"/>
      <c r="D5" s="64"/>
      <c r="E5" s="30"/>
      <c r="F5" s="30"/>
      <c r="G5" s="32"/>
      <c r="H5" s="24"/>
      <c r="I5" s="69"/>
      <c r="J5" s="33"/>
      <c r="K5" s="27"/>
      <c r="L5" s="28"/>
      <c r="M5" s="29"/>
    </row>
    <row r="6" spans="1:30" ht="15" customHeight="1" x14ac:dyDescent="0.25">
      <c r="A6" s="34" t="s">
        <v>66</v>
      </c>
      <c r="B6" s="33"/>
      <c r="C6" s="33"/>
      <c r="D6" s="65"/>
      <c r="E6" s="33"/>
      <c r="F6" s="33"/>
      <c r="G6" s="35" t="s">
        <v>3</v>
      </c>
      <c r="H6" s="27"/>
      <c r="I6" s="65"/>
      <c r="J6" s="36" t="s">
        <v>4</v>
      </c>
      <c r="K6" s="56" t="s">
        <v>5</v>
      </c>
      <c r="L6" s="40" t="s">
        <v>6</v>
      </c>
      <c r="M6" s="36" t="s">
        <v>7</v>
      </c>
    </row>
    <row r="7" spans="1:30" ht="15" customHeight="1" thickBot="1" x14ac:dyDescent="0.3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12" t="s">
        <v>13</v>
      </c>
      <c r="H7" s="13" t="s">
        <v>14</v>
      </c>
      <c r="I7" s="70" t="s">
        <v>15</v>
      </c>
      <c r="J7" s="14" t="s">
        <v>16</v>
      </c>
      <c r="K7" s="57"/>
      <c r="L7" s="58" t="s">
        <v>17</v>
      </c>
      <c r="M7" s="14" t="s">
        <v>39</v>
      </c>
    </row>
    <row r="8" spans="1:30" s="280" customFormat="1" ht="15" customHeight="1" x14ac:dyDescent="0.25">
      <c r="A8" s="284" t="s">
        <v>86</v>
      </c>
      <c r="B8" s="271" t="s">
        <v>37</v>
      </c>
      <c r="C8" s="285" t="s">
        <v>567</v>
      </c>
      <c r="D8" s="286">
        <v>45446</v>
      </c>
      <c r="E8" s="287">
        <v>6974.4</v>
      </c>
      <c r="F8" s="287">
        <v>2092.3200000000002</v>
      </c>
      <c r="G8" s="288">
        <f>1701.05</f>
        <v>1701.05</v>
      </c>
      <c r="H8" s="287">
        <v>732.31</v>
      </c>
      <c r="I8" s="276">
        <v>45573</v>
      </c>
      <c r="J8" s="277">
        <f>1701.05/1.15</f>
        <v>1479.1739130434783</v>
      </c>
      <c r="K8" s="278">
        <f t="shared" ref="K8:K17" si="0">+I8-D8</f>
        <v>127</v>
      </c>
      <c r="L8" s="279">
        <v>0.03</v>
      </c>
      <c r="M8" s="280">
        <f t="shared" ref="M8:M17" si="1">+J8*L8</f>
        <v>44.375217391304346</v>
      </c>
      <c r="N8" s="281"/>
      <c r="O8" s="282"/>
      <c r="P8" s="283"/>
      <c r="Q8" s="283"/>
      <c r="R8" s="283"/>
      <c r="S8" s="283"/>
      <c r="T8" s="283"/>
      <c r="U8" s="283"/>
      <c r="V8" s="283"/>
      <c r="W8" s="283"/>
      <c r="X8" s="283"/>
      <c r="Y8" s="283"/>
      <c r="Z8" s="283"/>
      <c r="AA8" s="283"/>
      <c r="AB8" s="283"/>
      <c r="AC8" s="283"/>
      <c r="AD8" s="283"/>
    </row>
    <row r="9" spans="1:30" s="280" customFormat="1" ht="15" customHeight="1" x14ac:dyDescent="0.25">
      <c r="A9" s="284" t="s">
        <v>86</v>
      </c>
      <c r="B9" s="271" t="s">
        <v>37</v>
      </c>
      <c r="C9" s="285" t="s">
        <v>665</v>
      </c>
      <c r="D9" s="286">
        <v>45446</v>
      </c>
      <c r="E9" s="287">
        <v>619.79999999999995</v>
      </c>
      <c r="F9" s="287">
        <v>185.94</v>
      </c>
      <c r="G9" s="288">
        <v>37.369999999999997</v>
      </c>
      <c r="H9" s="287">
        <v>65.08</v>
      </c>
      <c r="I9" s="276">
        <v>45573</v>
      </c>
      <c r="J9" s="277">
        <f>37.37/1.15</f>
        <v>32.495652173913044</v>
      </c>
      <c r="K9" s="278">
        <f t="shared" si="0"/>
        <v>127</v>
      </c>
      <c r="L9" s="279">
        <v>0.03</v>
      </c>
      <c r="M9" s="280">
        <f t="shared" si="1"/>
        <v>0.97486956521739132</v>
      </c>
      <c r="N9" s="281"/>
      <c r="O9" s="282"/>
      <c r="P9" s="283"/>
      <c r="Q9" s="283"/>
      <c r="R9" s="283"/>
      <c r="S9" s="283"/>
      <c r="T9" s="283"/>
      <c r="U9" s="283"/>
      <c r="V9" s="283"/>
      <c r="W9" s="283"/>
      <c r="X9" s="283"/>
      <c r="Y9" s="283"/>
      <c r="Z9" s="283"/>
      <c r="AA9" s="283"/>
      <c r="AB9" s="283"/>
      <c r="AC9" s="283"/>
      <c r="AD9" s="283"/>
    </row>
    <row r="10" spans="1:30" s="49" customFormat="1" ht="15" customHeight="1" x14ac:dyDescent="0.25">
      <c r="A10" s="83" t="s">
        <v>85</v>
      </c>
      <c r="B10" s="107" t="s">
        <v>23</v>
      </c>
      <c r="C10" s="95" t="s">
        <v>666</v>
      </c>
      <c r="D10" s="85">
        <v>45509</v>
      </c>
      <c r="E10" s="86">
        <v>225.72</v>
      </c>
      <c r="F10" s="86">
        <v>45.14</v>
      </c>
      <c r="G10" s="94">
        <v>207.67</v>
      </c>
      <c r="H10" s="86">
        <v>27.09</v>
      </c>
      <c r="I10" s="106">
        <v>45574</v>
      </c>
      <c r="J10" s="50">
        <f t="shared" ref="J10:J17" si="2">+E10-F10</f>
        <v>180.57999999999998</v>
      </c>
      <c r="K10" s="47">
        <f t="shared" si="0"/>
        <v>65</v>
      </c>
      <c r="L10" s="48">
        <v>0.03</v>
      </c>
      <c r="M10" s="49">
        <f t="shared" si="1"/>
        <v>5.4173999999999989</v>
      </c>
      <c r="N10" s="74"/>
      <c r="O10" s="7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s="49" customFormat="1" ht="15" customHeight="1" x14ac:dyDescent="0.25">
      <c r="A11" s="83" t="s">
        <v>73</v>
      </c>
      <c r="B11" s="113" t="s">
        <v>18</v>
      </c>
      <c r="C11" s="95" t="s">
        <v>667</v>
      </c>
      <c r="D11" s="85">
        <v>45548</v>
      </c>
      <c r="E11" s="86">
        <v>1274.4000000000001</v>
      </c>
      <c r="F11" s="86">
        <v>318.60000000000002</v>
      </c>
      <c r="G11" s="94">
        <v>946.24000000000012</v>
      </c>
      <c r="H11" s="86">
        <v>143.37</v>
      </c>
      <c r="I11" s="106">
        <v>45570</v>
      </c>
      <c r="J11" s="50">
        <f t="shared" si="2"/>
        <v>955.80000000000007</v>
      </c>
      <c r="K11" s="47">
        <f t="shared" si="0"/>
        <v>22</v>
      </c>
      <c r="L11" s="48">
        <v>3.5000000000000003E-2</v>
      </c>
      <c r="M11" s="49">
        <f t="shared" si="1"/>
        <v>33.453000000000003</v>
      </c>
      <c r="N11" s="74"/>
      <c r="O11" s="7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s="49" customFormat="1" ht="15" customHeight="1" x14ac:dyDescent="0.25">
      <c r="A12" s="83" t="s">
        <v>80</v>
      </c>
      <c r="B12" s="113" t="s">
        <v>18</v>
      </c>
      <c r="C12" s="95" t="s">
        <v>668</v>
      </c>
      <c r="D12" s="85">
        <v>45560</v>
      </c>
      <c r="E12" s="86">
        <v>140.4</v>
      </c>
      <c r="F12" s="86">
        <v>28.08</v>
      </c>
      <c r="G12" s="94">
        <v>122.98999999999998</v>
      </c>
      <c r="H12" s="86">
        <v>16.850000000000001</v>
      </c>
      <c r="I12" s="106">
        <v>45594</v>
      </c>
      <c r="J12" s="50">
        <f t="shared" si="2"/>
        <v>112.32000000000001</v>
      </c>
      <c r="K12" s="47">
        <f t="shared" si="0"/>
        <v>34</v>
      </c>
      <c r="L12" s="48">
        <v>0.03</v>
      </c>
      <c r="M12" s="49">
        <f t="shared" si="1"/>
        <v>3.3696000000000002</v>
      </c>
      <c r="N12" s="74"/>
      <c r="O12" s="7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s="49" customFormat="1" ht="15" customHeight="1" x14ac:dyDescent="0.25">
      <c r="A13" s="83" t="s">
        <v>80</v>
      </c>
      <c r="B13" s="113" t="s">
        <v>18</v>
      </c>
      <c r="C13" s="95" t="s">
        <v>669</v>
      </c>
      <c r="D13" s="85">
        <v>45567</v>
      </c>
      <c r="E13" s="86">
        <v>1134</v>
      </c>
      <c r="F13" s="86">
        <v>226.8</v>
      </c>
      <c r="G13" s="94">
        <v>993.39</v>
      </c>
      <c r="H13" s="86">
        <v>136.08000000000001</v>
      </c>
      <c r="I13" s="88">
        <v>45594</v>
      </c>
      <c r="J13" s="50">
        <f t="shared" si="2"/>
        <v>907.2</v>
      </c>
      <c r="K13" s="47">
        <f t="shared" si="0"/>
        <v>27</v>
      </c>
      <c r="L13" s="48">
        <v>3.5000000000000003E-2</v>
      </c>
      <c r="M13" s="49">
        <f t="shared" si="1"/>
        <v>31.752000000000006</v>
      </c>
      <c r="N13" s="74"/>
      <c r="O13" s="7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s="49" customFormat="1" ht="15" customHeight="1" x14ac:dyDescent="0.25">
      <c r="A14" s="83" t="s">
        <v>125</v>
      </c>
      <c r="B14" s="113" t="s">
        <v>18</v>
      </c>
      <c r="C14" s="95" t="s">
        <v>670</v>
      </c>
      <c r="D14" s="85">
        <v>45587</v>
      </c>
      <c r="E14" s="86">
        <v>64.8</v>
      </c>
      <c r="F14" s="86">
        <v>0</v>
      </c>
      <c r="G14" s="94">
        <v>74.52</v>
      </c>
      <c r="H14" s="86">
        <v>9.7200000000000006</v>
      </c>
      <c r="I14" s="106">
        <v>45587</v>
      </c>
      <c r="J14" s="50">
        <f t="shared" si="2"/>
        <v>64.8</v>
      </c>
      <c r="K14" s="47">
        <f t="shared" si="0"/>
        <v>0</v>
      </c>
      <c r="L14" s="48">
        <v>0.04</v>
      </c>
      <c r="M14" s="49">
        <f t="shared" si="1"/>
        <v>2.5920000000000001</v>
      </c>
      <c r="N14" s="74"/>
      <c r="O14" s="7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s="49" customFormat="1" ht="15" customHeight="1" x14ac:dyDescent="0.25">
      <c r="A15" s="83" t="s">
        <v>671</v>
      </c>
      <c r="B15" s="160" t="s">
        <v>108</v>
      </c>
      <c r="C15" s="95" t="s">
        <v>672</v>
      </c>
      <c r="D15" s="85">
        <v>45589</v>
      </c>
      <c r="E15" s="86">
        <v>417.6</v>
      </c>
      <c r="F15" s="86">
        <v>104.4</v>
      </c>
      <c r="G15" s="94">
        <v>360.18</v>
      </c>
      <c r="H15" s="86">
        <v>46.98</v>
      </c>
      <c r="I15" s="106">
        <v>45589</v>
      </c>
      <c r="J15" s="50">
        <f t="shared" si="2"/>
        <v>313.20000000000005</v>
      </c>
      <c r="K15" s="47">
        <f t="shared" si="0"/>
        <v>0</v>
      </c>
      <c r="L15" s="48">
        <v>0.04</v>
      </c>
      <c r="M15" s="49">
        <f t="shared" si="1"/>
        <v>12.528000000000002</v>
      </c>
      <c r="N15" s="74"/>
      <c r="O15" s="7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s="49" customFormat="1" ht="15" customHeight="1" x14ac:dyDescent="0.25">
      <c r="A16" s="83" t="s">
        <v>671</v>
      </c>
      <c r="B16" s="160" t="s">
        <v>108</v>
      </c>
      <c r="C16" s="95" t="s">
        <v>673</v>
      </c>
      <c r="D16" s="85">
        <v>45589</v>
      </c>
      <c r="E16" s="86">
        <v>265.32</v>
      </c>
      <c r="F16" s="86">
        <v>66.33</v>
      </c>
      <c r="G16" s="94">
        <v>228.84</v>
      </c>
      <c r="H16" s="86">
        <v>29.85</v>
      </c>
      <c r="I16" s="106">
        <v>45589</v>
      </c>
      <c r="J16" s="50">
        <f t="shared" si="2"/>
        <v>198.99</v>
      </c>
      <c r="K16" s="47">
        <f t="shared" si="0"/>
        <v>0</v>
      </c>
      <c r="L16" s="48">
        <v>0.04</v>
      </c>
      <c r="M16" s="49">
        <f t="shared" si="1"/>
        <v>7.9596000000000009</v>
      </c>
      <c r="N16" s="74"/>
      <c r="O16" s="7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s="49" customFormat="1" ht="15" customHeight="1" x14ac:dyDescent="0.25">
      <c r="A17" s="83" t="s">
        <v>671</v>
      </c>
      <c r="B17" s="160" t="s">
        <v>108</v>
      </c>
      <c r="C17" s="95" t="s">
        <v>674</v>
      </c>
      <c r="D17" s="85">
        <v>45590</v>
      </c>
      <c r="E17" s="86">
        <v>161.88</v>
      </c>
      <c r="F17" s="86">
        <v>40.47</v>
      </c>
      <c r="G17" s="94">
        <v>139.62</v>
      </c>
      <c r="H17" s="86">
        <v>18.21</v>
      </c>
      <c r="I17" s="106">
        <v>45590</v>
      </c>
      <c r="J17" s="50">
        <f t="shared" si="2"/>
        <v>121.41</v>
      </c>
      <c r="K17" s="47">
        <f t="shared" si="0"/>
        <v>0</v>
      </c>
      <c r="L17" s="48">
        <v>0.04</v>
      </c>
      <c r="M17" s="49">
        <f t="shared" si="1"/>
        <v>4.8563999999999998</v>
      </c>
      <c r="N17" s="74"/>
      <c r="O17" s="7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s="49" customFormat="1" ht="15" customHeight="1" x14ac:dyDescent="0.25">
      <c r="A18" s="51"/>
      <c r="B18" s="116"/>
      <c r="C18" s="116"/>
      <c r="D18" s="122"/>
      <c r="E18" s="123"/>
      <c r="F18" s="123"/>
      <c r="G18" s="124"/>
      <c r="H18" s="125"/>
      <c r="I18" s="126"/>
      <c r="J18" s="50"/>
      <c r="K18" s="47"/>
      <c r="L18" s="48"/>
      <c r="N18" s="74"/>
      <c r="O18" s="7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s="52" customFormat="1" ht="15" customHeight="1" x14ac:dyDescent="0.25">
      <c r="A19" s="333"/>
      <c r="B19" s="333"/>
      <c r="C19" s="333"/>
      <c r="D19" s="333"/>
      <c r="E19" s="333"/>
      <c r="F19" s="333"/>
      <c r="G19" s="75">
        <f>SUM(G8:G18)</f>
        <v>4811.87</v>
      </c>
      <c r="H19" s="80"/>
      <c r="I19" s="81"/>
      <c r="J19" s="75">
        <f>SUM(J8:J18)</f>
        <v>4365.9695652173914</v>
      </c>
      <c r="K19" s="82"/>
      <c r="L19" s="82"/>
      <c r="M19" s="75">
        <f>SUM(M8:M18)</f>
        <v>147.27808695652175</v>
      </c>
      <c r="N19" s="60"/>
    </row>
    <row r="20" spans="1:30" s="52" customFormat="1" ht="15" customHeight="1" x14ac:dyDescent="0.25">
      <c r="A20" s="76"/>
      <c r="B20" s="76"/>
      <c r="C20" s="76"/>
      <c r="D20" s="77"/>
      <c r="E20" s="76"/>
      <c r="F20" s="76"/>
      <c r="G20" s="78"/>
      <c r="I20" s="79"/>
      <c r="N20" s="60"/>
    </row>
    <row r="21" spans="1:30" s="52" customFormat="1" ht="15" customHeight="1" x14ac:dyDescent="0.25">
      <c r="A21" s="76"/>
      <c r="B21" s="76"/>
      <c r="C21" s="76"/>
      <c r="D21" s="77"/>
      <c r="E21" s="76"/>
      <c r="F21" s="76"/>
      <c r="G21" s="78"/>
      <c r="I21" s="79"/>
      <c r="J21" s="78"/>
      <c r="M21" s="78"/>
      <c r="N21" s="60"/>
    </row>
    <row r="22" spans="1:30" s="52" customFormat="1" ht="15" customHeight="1" x14ac:dyDescent="0.25">
      <c r="A22" s="52" t="s">
        <v>19</v>
      </c>
      <c r="B22" s="52" t="s">
        <v>20</v>
      </c>
      <c r="C22" s="76" t="s">
        <v>21</v>
      </c>
      <c r="D22" s="79"/>
      <c r="G22" s="78"/>
      <c r="I22" s="79"/>
      <c r="N22" s="60"/>
    </row>
    <row r="23" spans="1:30" s="1" customFormat="1" ht="15" customHeight="1" x14ac:dyDescent="0.25">
      <c r="A23" s="91" t="s">
        <v>52</v>
      </c>
      <c r="B23" s="101" t="s">
        <v>675</v>
      </c>
      <c r="C23" s="93" t="s">
        <v>676</v>
      </c>
      <c r="D23" s="88">
        <v>45558</v>
      </c>
      <c r="E23" s="92">
        <v>121.2</v>
      </c>
      <c r="F23" s="92">
        <v>30.3</v>
      </c>
      <c r="G23" s="90">
        <v>99.54</v>
      </c>
      <c r="H23" s="92">
        <v>13.64</v>
      </c>
      <c r="I23" s="105">
        <v>45605</v>
      </c>
      <c r="J23" s="50">
        <f t="shared" ref="J23:J27" si="3">+E23-F23</f>
        <v>90.9</v>
      </c>
      <c r="K23" s="47">
        <f t="shared" ref="K23:K27" si="4">+I23-D23</f>
        <v>47</v>
      </c>
      <c r="L23" s="48">
        <v>0.03</v>
      </c>
      <c r="M23" s="49">
        <f t="shared" ref="M23:M27" si="5">+J23*L23</f>
        <v>2.7269999999999999</v>
      </c>
      <c r="N23" s="74"/>
      <c r="O23" s="78"/>
    </row>
    <row r="24" spans="1:30" s="1" customFormat="1" ht="15" customHeight="1" x14ac:dyDescent="0.25">
      <c r="A24" s="91" t="s">
        <v>52</v>
      </c>
      <c r="B24" s="101" t="s">
        <v>675</v>
      </c>
      <c r="C24" s="93" t="s">
        <v>677</v>
      </c>
      <c r="D24" s="88">
        <v>45560</v>
      </c>
      <c r="E24" s="92">
        <v>54</v>
      </c>
      <c r="F24" s="92">
        <v>13.5</v>
      </c>
      <c r="G24" s="96">
        <v>44.35</v>
      </c>
      <c r="H24" s="92">
        <v>6.08</v>
      </c>
      <c r="I24" s="106">
        <v>45605</v>
      </c>
      <c r="J24" s="50">
        <f t="shared" si="3"/>
        <v>40.5</v>
      </c>
      <c r="K24" s="47">
        <f t="shared" si="4"/>
        <v>45</v>
      </c>
      <c r="L24" s="48">
        <v>0.03</v>
      </c>
      <c r="M24" s="49">
        <f t="shared" si="5"/>
        <v>1.2149999999999999</v>
      </c>
      <c r="N24" s="74"/>
      <c r="O24" s="78"/>
    </row>
    <row r="25" spans="1:30" s="1" customFormat="1" ht="15" customHeight="1" x14ac:dyDescent="0.25">
      <c r="A25" s="91" t="s">
        <v>52</v>
      </c>
      <c r="B25" s="101" t="s">
        <v>678</v>
      </c>
      <c r="C25" s="93" t="s">
        <v>679</v>
      </c>
      <c r="D25" s="88">
        <v>45586</v>
      </c>
      <c r="E25" s="92">
        <v>619.55999999999995</v>
      </c>
      <c r="F25" s="92">
        <v>154.88999999999999</v>
      </c>
      <c r="G25" s="96">
        <v>508.81</v>
      </c>
      <c r="H25" s="92">
        <v>69.7</v>
      </c>
      <c r="I25" s="106">
        <v>45647</v>
      </c>
      <c r="J25" s="50">
        <f t="shared" si="3"/>
        <v>464.66999999999996</v>
      </c>
      <c r="K25" s="47">
        <f t="shared" si="4"/>
        <v>61</v>
      </c>
      <c r="L25" s="48">
        <v>0.03</v>
      </c>
      <c r="M25" s="49">
        <f t="shared" si="5"/>
        <v>13.940099999999997</v>
      </c>
      <c r="N25" s="74"/>
      <c r="O25" s="78"/>
    </row>
    <row r="26" spans="1:30" s="1" customFormat="1" ht="15" customHeight="1" x14ac:dyDescent="0.25">
      <c r="A26" s="91" t="s">
        <v>52</v>
      </c>
      <c r="B26" s="101" t="s">
        <v>678</v>
      </c>
      <c r="C26" s="93" t="s">
        <v>680</v>
      </c>
      <c r="D26" s="88">
        <v>45593</v>
      </c>
      <c r="E26" s="92">
        <v>122.4</v>
      </c>
      <c r="F26" s="92">
        <v>30.6</v>
      </c>
      <c r="G26" s="96">
        <v>100.52</v>
      </c>
      <c r="H26" s="92">
        <v>13.77</v>
      </c>
      <c r="I26" s="106">
        <v>45647</v>
      </c>
      <c r="J26" s="50">
        <f t="shared" si="3"/>
        <v>91.800000000000011</v>
      </c>
      <c r="K26" s="47">
        <f t="shared" si="4"/>
        <v>54</v>
      </c>
      <c r="L26" s="48">
        <v>0.03</v>
      </c>
      <c r="M26" s="49">
        <f t="shared" si="5"/>
        <v>2.7540000000000004</v>
      </c>
      <c r="N26" s="74"/>
      <c r="O26" s="78"/>
    </row>
    <row r="27" spans="1:30" s="1" customFormat="1" ht="15" customHeight="1" x14ac:dyDescent="0.25">
      <c r="A27" s="91" t="s">
        <v>52</v>
      </c>
      <c r="B27" s="101" t="s">
        <v>681</v>
      </c>
      <c r="C27" s="93" t="s">
        <v>682</v>
      </c>
      <c r="D27" s="88">
        <v>45594</v>
      </c>
      <c r="E27" s="92">
        <v>1101.24</v>
      </c>
      <c r="F27" s="92">
        <v>275.31</v>
      </c>
      <c r="G27" s="96">
        <f>949.82-8.26-37.17</f>
        <v>904.3900000000001</v>
      </c>
      <c r="H27" s="92">
        <v>123.89</v>
      </c>
      <c r="I27" s="106">
        <v>45657</v>
      </c>
      <c r="J27" s="50">
        <f t="shared" si="3"/>
        <v>825.93000000000006</v>
      </c>
      <c r="K27" s="47">
        <f t="shared" si="4"/>
        <v>63</v>
      </c>
      <c r="L27" s="48">
        <v>0.03</v>
      </c>
      <c r="M27" s="49">
        <f t="shared" si="5"/>
        <v>24.777900000000002</v>
      </c>
      <c r="N27" s="74"/>
      <c r="O27" s="78"/>
    </row>
    <row r="28" spans="1:30" s="1" customFormat="1" ht="15" customHeight="1" thickBot="1" x14ac:dyDescent="0.3">
      <c r="A28" s="152"/>
      <c r="B28" s="153"/>
      <c r="C28" s="154"/>
      <c r="D28" s="155"/>
      <c r="E28" s="156"/>
      <c r="F28" s="156"/>
      <c r="G28" s="90"/>
      <c r="H28" s="92"/>
      <c r="I28" s="105"/>
      <c r="J28" s="50"/>
      <c r="K28" s="47"/>
      <c r="L28" s="48"/>
      <c r="M28" s="53"/>
      <c r="N28" s="74"/>
      <c r="O28" s="78"/>
    </row>
    <row r="29" spans="1:30" ht="15" customHeight="1" thickBot="1" x14ac:dyDescent="0.35">
      <c r="A29" s="332" t="s">
        <v>29</v>
      </c>
      <c r="B29" s="332"/>
      <c r="C29" s="332"/>
      <c r="D29" s="332"/>
      <c r="E29" s="332"/>
      <c r="F29" s="332"/>
      <c r="G29" s="37">
        <f>SUM(G19:G28)</f>
        <v>6469.4800000000014</v>
      </c>
      <c r="J29" s="37">
        <f>SUM(J19:J28)</f>
        <v>5879.7695652173916</v>
      </c>
      <c r="L29" s="20"/>
      <c r="M29" s="38">
        <f>SUM(M19:M28)</f>
        <v>192.69208695652173</v>
      </c>
    </row>
    <row r="30" spans="1:30" ht="15" customHeight="1" x14ac:dyDescent="0.25">
      <c r="A30" s="19"/>
      <c r="B30" s="19"/>
      <c r="C30" s="19"/>
      <c r="D30" s="67"/>
      <c r="E30" s="19"/>
      <c r="F30" s="19"/>
      <c r="G30" s="8"/>
      <c r="J30" s="8"/>
      <c r="M30" s="8"/>
    </row>
    <row r="31" spans="1:30" ht="15" customHeight="1" x14ac:dyDescent="0.3">
      <c r="A31" s="39"/>
      <c r="B31" s="19"/>
      <c r="C31" s="19"/>
      <c r="D31" s="67"/>
      <c r="E31" s="19"/>
      <c r="F31" s="19"/>
      <c r="G31" s="8"/>
      <c r="J31" s="8"/>
      <c r="M31" s="8"/>
    </row>
    <row r="32" spans="1:30" ht="15" customHeight="1" x14ac:dyDescent="0.25">
      <c r="A32" s="19"/>
      <c r="B32" s="19"/>
      <c r="C32" s="19"/>
      <c r="D32" s="67"/>
      <c r="E32" s="19"/>
      <c r="F32" s="19"/>
      <c r="G32" s="8"/>
      <c r="I32" s="73"/>
    </row>
    <row r="33" spans="1:15" ht="15" customHeight="1" x14ac:dyDescent="0.25">
      <c r="A33" s="331" t="s">
        <v>112</v>
      </c>
      <c r="B33" s="331"/>
      <c r="C33" s="331"/>
      <c r="D33" s="331"/>
      <c r="E33" s="331"/>
      <c r="F33" s="331"/>
      <c r="G33" s="24"/>
      <c r="H33" s="24"/>
      <c r="I33" s="65"/>
      <c r="J33" s="26"/>
      <c r="K33" s="27"/>
      <c r="L33" s="28"/>
      <c r="M33" s="29"/>
    </row>
    <row r="34" spans="1:15" ht="15" customHeight="1" x14ac:dyDescent="0.25">
      <c r="A34" s="331" t="s">
        <v>1</v>
      </c>
      <c r="B34" s="331"/>
      <c r="C34" s="331"/>
      <c r="D34" s="331"/>
      <c r="E34" s="331"/>
      <c r="F34" s="331"/>
      <c r="G34" s="24"/>
      <c r="H34" s="25"/>
      <c r="I34" s="65"/>
      <c r="J34" s="27"/>
      <c r="K34" s="27"/>
      <c r="L34" s="28"/>
      <c r="M34" s="29"/>
    </row>
    <row r="35" spans="1:15" ht="15" customHeight="1" x14ac:dyDescent="0.25">
      <c r="A35" s="30"/>
      <c r="B35" s="31" t="s">
        <v>664</v>
      </c>
      <c r="C35" s="30"/>
      <c r="D35" s="64"/>
      <c r="E35" s="30"/>
      <c r="F35" s="30"/>
      <c r="G35" s="24"/>
      <c r="H35" s="25"/>
      <c r="I35" s="65"/>
      <c r="J35" s="27"/>
      <c r="K35" s="27"/>
      <c r="L35" s="28"/>
      <c r="M35" s="29"/>
    </row>
    <row r="36" spans="1:15" ht="15" customHeight="1" thickBot="1" x14ac:dyDescent="0.3">
      <c r="A36" s="30"/>
      <c r="B36" s="31" t="s">
        <v>22</v>
      </c>
      <c r="C36" s="30"/>
      <c r="D36" s="64"/>
      <c r="E36" s="30"/>
      <c r="F36" s="30"/>
      <c r="G36" s="32"/>
      <c r="H36" s="24"/>
      <c r="I36" s="69"/>
      <c r="J36" s="33"/>
      <c r="K36" s="27"/>
      <c r="L36" s="28"/>
      <c r="M36" s="29"/>
    </row>
    <row r="37" spans="1:15" ht="15" customHeight="1" x14ac:dyDescent="0.25">
      <c r="A37" s="34"/>
      <c r="B37" s="33"/>
      <c r="C37" s="33"/>
      <c r="D37" s="65"/>
      <c r="E37" s="33"/>
      <c r="F37" s="33"/>
      <c r="G37" s="35" t="s">
        <v>3</v>
      </c>
      <c r="H37" s="27"/>
      <c r="I37" s="65"/>
      <c r="J37" s="36" t="s">
        <v>4</v>
      </c>
      <c r="K37" s="56" t="s">
        <v>5</v>
      </c>
      <c r="L37" s="40" t="s">
        <v>6</v>
      </c>
      <c r="M37" s="36" t="s">
        <v>7</v>
      </c>
    </row>
    <row r="38" spans="1:15" ht="15" customHeight="1" x14ac:dyDescent="0.25">
      <c r="A38" s="11" t="s">
        <v>8</v>
      </c>
      <c r="B38" s="11" t="s">
        <v>9</v>
      </c>
      <c r="C38" s="11" t="s">
        <v>10</v>
      </c>
      <c r="D38" s="66" t="s">
        <v>11</v>
      </c>
      <c r="E38" s="11" t="s">
        <v>12</v>
      </c>
      <c r="F38" s="54" t="s">
        <v>50</v>
      </c>
      <c r="G38" s="62" t="s">
        <v>13</v>
      </c>
      <c r="H38" s="13" t="s">
        <v>14</v>
      </c>
      <c r="I38" s="70" t="s">
        <v>15</v>
      </c>
      <c r="J38" s="14" t="s">
        <v>16</v>
      </c>
      <c r="K38" s="57"/>
      <c r="L38" s="58" t="s">
        <v>17</v>
      </c>
      <c r="M38" s="14" t="s">
        <v>39</v>
      </c>
    </row>
    <row r="39" spans="1:15" ht="15" customHeight="1" x14ac:dyDescent="0.25">
      <c r="A39" s="83" t="s">
        <v>48</v>
      </c>
      <c r="B39" s="55" t="s">
        <v>24</v>
      </c>
      <c r="C39" s="95" t="s">
        <v>683</v>
      </c>
      <c r="D39" s="85">
        <v>45434</v>
      </c>
      <c r="E39" s="86">
        <v>765</v>
      </c>
      <c r="F39" s="86">
        <v>191.25</v>
      </c>
      <c r="G39" s="94">
        <v>628.24999999999989</v>
      </c>
      <c r="H39" s="86">
        <v>86.06</v>
      </c>
      <c r="I39" s="105">
        <v>45586</v>
      </c>
      <c r="J39" s="50">
        <f>+E39-F39</f>
        <v>573.75</v>
      </c>
      <c r="K39" s="47">
        <f t="shared" ref="K39:K66" si="6">+I39-D39</f>
        <v>152</v>
      </c>
      <c r="L39" s="5">
        <v>0.03</v>
      </c>
      <c r="M39" s="6">
        <f t="shared" ref="M39:M66" si="7">+J39*L39</f>
        <v>17.212499999999999</v>
      </c>
      <c r="O39" s="78"/>
    </row>
    <row r="40" spans="1:15" ht="15" customHeight="1" x14ac:dyDescent="0.25">
      <c r="A40" s="112" t="s">
        <v>98</v>
      </c>
      <c r="B40" s="55" t="s">
        <v>31</v>
      </c>
      <c r="C40" s="95" t="s">
        <v>493</v>
      </c>
      <c r="D40" s="108">
        <v>45442</v>
      </c>
      <c r="E40" s="87">
        <v>1027.44</v>
      </c>
      <c r="F40" s="87">
        <v>205.49</v>
      </c>
      <c r="G40" s="94">
        <v>201.95000000000005</v>
      </c>
      <c r="H40" s="87">
        <v>0</v>
      </c>
      <c r="I40" s="106">
        <v>45491</v>
      </c>
      <c r="J40" s="50">
        <f>201.95</f>
        <v>201.95</v>
      </c>
      <c r="K40" s="47">
        <f t="shared" si="6"/>
        <v>49</v>
      </c>
      <c r="L40" s="5">
        <v>0.03</v>
      </c>
      <c r="M40" s="6">
        <f t="shared" si="7"/>
        <v>6.0584999999999996</v>
      </c>
      <c r="O40" s="78"/>
    </row>
    <row r="41" spans="1:15" ht="15" customHeight="1" x14ac:dyDescent="0.25">
      <c r="A41" s="83" t="s">
        <v>77</v>
      </c>
      <c r="B41" s="107" t="s">
        <v>33</v>
      </c>
      <c r="C41" s="95" t="s">
        <v>684</v>
      </c>
      <c r="D41" s="85">
        <v>45482</v>
      </c>
      <c r="E41" s="86">
        <v>1327.32</v>
      </c>
      <c r="F41" s="86">
        <v>331.83</v>
      </c>
      <c r="G41" s="94">
        <v>380</v>
      </c>
      <c r="H41" s="86">
        <v>149.32</v>
      </c>
      <c r="I41" s="85">
        <v>45584</v>
      </c>
      <c r="J41" s="50">
        <f>380/1.15</f>
        <v>330.43478260869568</v>
      </c>
      <c r="K41" s="47">
        <f t="shared" si="6"/>
        <v>102</v>
      </c>
      <c r="L41" s="5">
        <v>0.03</v>
      </c>
      <c r="M41" s="6">
        <f t="shared" si="7"/>
        <v>9.913043478260871</v>
      </c>
      <c r="O41" s="78"/>
    </row>
    <row r="42" spans="1:15" ht="15" customHeight="1" x14ac:dyDescent="0.25">
      <c r="A42" s="83" t="s">
        <v>48</v>
      </c>
      <c r="B42" s="107" t="s">
        <v>24</v>
      </c>
      <c r="C42" s="95" t="s">
        <v>685</v>
      </c>
      <c r="D42" s="85">
        <v>45482</v>
      </c>
      <c r="E42" s="86">
        <v>966</v>
      </c>
      <c r="F42" s="86">
        <v>241.5</v>
      </c>
      <c r="G42" s="94">
        <v>793.32999999999993</v>
      </c>
      <c r="H42" s="86">
        <v>108.68</v>
      </c>
      <c r="I42" s="85">
        <v>45586</v>
      </c>
      <c r="J42" s="50">
        <f t="shared" ref="J42:J59" si="8">+E42-F42</f>
        <v>724.5</v>
      </c>
      <c r="K42" s="47">
        <f t="shared" si="6"/>
        <v>104</v>
      </c>
      <c r="L42" s="5">
        <v>0.03</v>
      </c>
      <c r="M42" s="6">
        <f t="shared" si="7"/>
        <v>21.734999999999999</v>
      </c>
      <c r="O42" s="78"/>
    </row>
    <row r="43" spans="1:15" ht="15" customHeight="1" x14ac:dyDescent="0.25">
      <c r="A43" s="83" t="s">
        <v>48</v>
      </c>
      <c r="B43" s="107" t="s">
        <v>24</v>
      </c>
      <c r="C43" s="95" t="s">
        <v>686</v>
      </c>
      <c r="D43" s="85">
        <v>45482</v>
      </c>
      <c r="E43" s="86">
        <v>340.8</v>
      </c>
      <c r="F43" s="86">
        <v>85.2</v>
      </c>
      <c r="G43" s="94">
        <v>279.88</v>
      </c>
      <c r="H43" s="86">
        <v>38.340000000000003</v>
      </c>
      <c r="I43" s="85">
        <v>45586</v>
      </c>
      <c r="J43" s="50">
        <f t="shared" si="8"/>
        <v>255.60000000000002</v>
      </c>
      <c r="K43" s="47">
        <f t="shared" si="6"/>
        <v>104</v>
      </c>
      <c r="L43" s="5">
        <v>0.03</v>
      </c>
      <c r="M43" s="6">
        <f t="shared" si="7"/>
        <v>7.6680000000000001</v>
      </c>
      <c r="O43" s="78"/>
    </row>
    <row r="44" spans="1:15" ht="15" customHeight="1" x14ac:dyDescent="0.25">
      <c r="A44" s="83" t="s">
        <v>76</v>
      </c>
      <c r="B44" s="113" t="s">
        <v>18</v>
      </c>
      <c r="C44" s="95" t="s">
        <v>687</v>
      </c>
      <c r="D44" s="85">
        <v>45489</v>
      </c>
      <c r="E44" s="86">
        <v>70.2</v>
      </c>
      <c r="F44" s="86">
        <v>10.53</v>
      </c>
      <c r="G44" s="94">
        <v>65.330000000000013</v>
      </c>
      <c r="H44" s="86">
        <v>8.9499999999999993</v>
      </c>
      <c r="I44" s="85">
        <v>45569</v>
      </c>
      <c r="J44" s="50">
        <f t="shared" si="8"/>
        <v>59.67</v>
      </c>
      <c r="K44" s="47">
        <f t="shared" si="6"/>
        <v>80</v>
      </c>
      <c r="L44" s="5">
        <v>0.03</v>
      </c>
      <c r="M44" s="6">
        <f t="shared" si="7"/>
        <v>1.7901</v>
      </c>
      <c r="O44" s="78"/>
    </row>
    <row r="45" spans="1:15" ht="15" customHeight="1" x14ac:dyDescent="0.25">
      <c r="A45" s="83" t="s">
        <v>76</v>
      </c>
      <c r="B45" s="113" t="s">
        <v>18</v>
      </c>
      <c r="C45" s="95" t="s">
        <v>688</v>
      </c>
      <c r="D45" s="85">
        <v>45496</v>
      </c>
      <c r="E45" s="86">
        <v>93.6</v>
      </c>
      <c r="F45" s="86">
        <v>14.04</v>
      </c>
      <c r="G45" s="94">
        <v>87.11</v>
      </c>
      <c r="H45" s="86">
        <v>11.93</v>
      </c>
      <c r="I45" s="85">
        <v>45569</v>
      </c>
      <c r="J45" s="50">
        <f t="shared" si="8"/>
        <v>79.56</v>
      </c>
      <c r="K45" s="47">
        <f t="shared" si="6"/>
        <v>73</v>
      </c>
      <c r="L45" s="5">
        <v>0.03</v>
      </c>
      <c r="M45" s="6">
        <f t="shared" si="7"/>
        <v>2.3868</v>
      </c>
      <c r="O45" s="78"/>
    </row>
    <row r="46" spans="1:15" ht="15" customHeight="1" x14ac:dyDescent="0.25">
      <c r="A46" s="83" t="s">
        <v>89</v>
      </c>
      <c r="B46" s="113" t="s">
        <v>18</v>
      </c>
      <c r="C46" s="95" t="s">
        <v>689</v>
      </c>
      <c r="D46" s="85">
        <v>45519</v>
      </c>
      <c r="E46" s="86">
        <v>592.67999999999995</v>
      </c>
      <c r="F46" s="86">
        <v>118.54</v>
      </c>
      <c r="G46" s="94">
        <v>519.17999999999995</v>
      </c>
      <c r="H46" s="86">
        <v>71.12</v>
      </c>
      <c r="I46" s="106">
        <v>45593</v>
      </c>
      <c r="J46" s="50">
        <f t="shared" si="8"/>
        <v>474.13999999999993</v>
      </c>
      <c r="K46" s="47">
        <f t="shared" si="6"/>
        <v>74</v>
      </c>
      <c r="L46" s="5">
        <v>0.03</v>
      </c>
      <c r="M46" s="6">
        <f t="shared" si="7"/>
        <v>14.224199999999998</v>
      </c>
      <c r="O46" s="78"/>
    </row>
    <row r="47" spans="1:15" ht="15" customHeight="1" x14ac:dyDescent="0.25">
      <c r="A47" s="83" t="s">
        <v>107</v>
      </c>
      <c r="B47" s="55" t="s">
        <v>109</v>
      </c>
      <c r="C47" s="95" t="s">
        <v>690</v>
      </c>
      <c r="D47" s="85">
        <v>45524</v>
      </c>
      <c r="E47" s="86">
        <v>187.2</v>
      </c>
      <c r="F47" s="86">
        <v>28.08</v>
      </c>
      <c r="G47" s="94">
        <v>182.99</v>
      </c>
      <c r="H47" s="86">
        <v>23.87</v>
      </c>
      <c r="I47" s="106">
        <v>45572</v>
      </c>
      <c r="J47" s="50">
        <f t="shared" si="8"/>
        <v>159.12</v>
      </c>
      <c r="K47" s="47">
        <f t="shared" si="6"/>
        <v>48</v>
      </c>
      <c r="L47" s="5">
        <v>0.03</v>
      </c>
      <c r="M47" s="6">
        <f t="shared" si="7"/>
        <v>4.7736000000000001</v>
      </c>
      <c r="O47" s="78"/>
    </row>
    <row r="48" spans="1:15" ht="15" customHeight="1" x14ac:dyDescent="0.25">
      <c r="A48" s="83" t="s">
        <v>104</v>
      </c>
      <c r="B48" s="55" t="s">
        <v>30</v>
      </c>
      <c r="C48" s="95" t="s">
        <v>691</v>
      </c>
      <c r="D48" s="85">
        <v>45524</v>
      </c>
      <c r="E48" s="86">
        <v>192.12</v>
      </c>
      <c r="F48" s="86">
        <v>28.81</v>
      </c>
      <c r="G48" s="94">
        <v>187.81</v>
      </c>
      <c r="H48" s="86">
        <v>24.5</v>
      </c>
      <c r="I48" s="106">
        <v>45583</v>
      </c>
      <c r="J48" s="50">
        <f t="shared" si="8"/>
        <v>163.31</v>
      </c>
      <c r="K48" s="47">
        <f t="shared" si="6"/>
        <v>59</v>
      </c>
      <c r="L48" s="5">
        <v>0.03</v>
      </c>
      <c r="M48" s="6">
        <f t="shared" si="7"/>
        <v>4.8993000000000002</v>
      </c>
      <c r="O48" s="78"/>
    </row>
    <row r="49" spans="1:15" ht="15" customHeight="1" x14ac:dyDescent="0.25">
      <c r="A49" s="83" t="s">
        <v>104</v>
      </c>
      <c r="B49" s="55" t="s">
        <v>30</v>
      </c>
      <c r="C49" s="95" t="s">
        <v>692</v>
      </c>
      <c r="D49" s="85">
        <v>45524</v>
      </c>
      <c r="E49" s="86">
        <v>186.48</v>
      </c>
      <c r="F49" s="86">
        <v>27.96</v>
      </c>
      <c r="G49" s="94">
        <v>182.3</v>
      </c>
      <c r="H49" s="86">
        <v>23.78</v>
      </c>
      <c r="I49" s="106">
        <v>45583</v>
      </c>
      <c r="J49" s="50">
        <f t="shared" si="8"/>
        <v>158.51999999999998</v>
      </c>
      <c r="K49" s="47">
        <f t="shared" si="6"/>
        <v>59</v>
      </c>
      <c r="L49" s="5">
        <v>0.03</v>
      </c>
      <c r="M49" s="6">
        <f t="shared" si="7"/>
        <v>4.7555999999999994</v>
      </c>
      <c r="O49" s="78"/>
    </row>
    <row r="50" spans="1:15" ht="15" customHeight="1" x14ac:dyDescent="0.25">
      <c r="A50" s="83" t="s">
        <v>89</v>
      </c>
      <c r="B50" s="113" t="s">
        <v>18</v>
      </c>
      <c r="C50" s="95" t="s">
        <v>693</v>
      </c>
      <c r="D50" s="85">
        <v>45525</v>
      </c>
      <c r="E50" s="86">
        <v>255</v>
      </c>
      <c r="F50" s="86">
        <v>51</v>
      </c>
      <c r="G50" s="94">
        <v>223.38</v>
      </c>
      <c r="H50" s="86">
        <v>30.6</v>
      </c>
      <c r="I50" s="106">
        <v>45593</v>
      </c>
      <c r="J50" s="50">
        <f t="shared" si="8"/>
        <v>204</v>
      </c>
      <c r="K50" s="47">
        <f t="shared" si="6"/>
        <v>68</v>
      </c>
      <c r="L50" s="5">
        <v>0.03</v>
      </c>
      <c r="M50" s="6">
        <f t="shared" si="7"/>
        <v>6.12</v>
      </c>
      <c r="O50" s="78"/>
    </row>
    <row r="51" spans="1:15" ht="15" customHeight="1" x14ac:dyDescent="0.25">
      <c r="A51" s="83" t="s">
        <v>694</v>
      </c>
      <c r="B51" s="159" t="s">
        <v>30</v>
      </c>
      <c r="C51" s="95" t="s">
        <v>695</v>
      </c>
      <c r="D51" s="85">
        <v>45533</v>
      </c>
      <c r="E51" s="86">
        <v>124.08</v>
      </c>
      <c r="F51" s="86">
        <v>18.600000000000001</v>
      </c>
      <c r="G51" s="94">
        <v>121.3</v>
      </c>
      <c r="H51" s="86">
        <v>15.82</v>
      </c>
      <c r="I51" s="106">
        <v>45569</v>
      </c>
      <c r="J51" s="50">
        <f t="shared" si="8"/>
        <v>105.47999999999999</v>
      </c>
      <c r="K51" s="47">
        <f t="shared" si="6"/>
        <v>36</v>
      </c>
      <c r="L51" s="5">
        <v>0.03</v>
      </c>
      <c r="M51" s="6">
        <f t="shared" si="7"/>
        <v>3.1643999999999997</v>
      </c>
      <c r="O51" s="78"/>
    </row>
    <row r="52" spans="1:15" ht="15" customHeight="1" x14ac:dyDescent="0.25">
      <c r="A52" s="83" t="s">
        <v>694</v>
      </c>
      <c r="B52" s="113" t="s">
        <v>30</v>
      </c>
      <c r="C52" s="95" t="s">
        <v>696</v>
      </c>
      <c r="D52" s="85">
        <v>45540</v>
      </c>
      <c r="E52" s="86">
        <v>142.56</v>
      </c>
      <c r="F52" s="86">
        <v>21.36</v>
      </c>
      <c r="G52" s="94">
        <v>139.38</v>
      </c>
      <c r="H52" s="86">
        <v>18.18</v>
      </c>
      <c r="I52" s="106">
        <v>45569</v>
      </c>
      <c r="J52" s="50">
        <f t="shared" si="8"/>
        <v>121.2</v>
      </c>
      <c r="K52" s="47">
        <f t="shared" si="6"/>
        <v>29</v>
      </c>
      <c r="L52" s="5">
        <v>3.5000000000000003E-2</v>
      </c>
      <c r="M52" s="6">
        <f t="shared" si="7"/>
        <v>4.2420000000000009</v>
      </c>
      <c r="O52" s="78"/>
    </row>
    <row r="53" spans="1:15" ht="15" customHeight="1" x14ac:dyDescent="0.25">
      <c r="A53" s="83" t="s">
        <v>42</v>
      </c>
      <c r="B53" s="160" t="s">
        <v>18</v>
      </c>
      <c r="C53" s="95" t="s">
        <v>697</v>
      </c>
      <c r="D53" s="85">
        <v>45540</v>
      </c>
      <c r="E53" s="86">
        <v>336.6</v>
      </c>
      <c r="F53" s="86">
        <v>50.49</v>
      </c>
      <c r="G53" s="94">
        <v>313.28999999999996</v>
      </c>
      <c r="H53" s="86">
        <v>42.92</v>
      </c>
      <c r="I53" s="106">
        <v>45582</v>
      </c>
      <c r="J53" s="50">
        <f t="shared" si="8"/>
        <v>286.11</v>
      </c>
      <c r="K53" s="47">
        <f t="shared" si="6"/>
        <v>42</v>
      </c>
      <c r="L53" s="5">
        <v>0.03</v>
      </c>
      <c r="M53" s="6">
        <f t="shared" si="7"/>
        <v>8.5832999999999995</v>
      </c>
      <c r="O53" s="78"/>
    </row>
    <row r="54" spans="1:15" ht="15" customHeight="1" x14ac:dyDescent="0.25">
      <c r="A54" s="83" t="s">
        <v>698</v>
      </c>
      <c r="B54" s="160" t="s">
        <v>30</v>
      </c>
      <c r="C54" s="95" t="s">
        <v>699</v>
      </c>
      <c r="D54" s="85">
        <v>45540</v>
      </c>
      <c r="E54" s="86">
        <v>210.12</v>
      </c>
      <c r="F54" s="86">
        <v>31.51</v>
      </c>
      <c r="G54" s="94">
        <v>195.57000000000002</v>
      </c>
      <c r="H54" s="86">
        <v>26.79</v>
      </c>
      <c r="I54" s="106">
        <v>45583</v>
      </c>
      <c r="J54" s="50">
        <f t="shared" si="8"/>
        <v>178.61</v>
      </c>
      <c r="K54" s="47">
        <f t="shared" si="6"/>
        <v>43</v>
      </c>
      <c r="L54" s="5">
        <v>0.03</v>
      </c>
      <c r="M54" s="6">
        <f t="shared" si="7"/>
        <v>5.3582999999999998</v>
      </c>
      <c r="O54" s="78"/>
    </row>
    <row r="55" spans="1:15" ht="15" customHeight="1" x14ac:dyDescent="0.25">
      <c r="A55" s="83" t="s">
        <v>71</v>
      </c>
      <c r="B55" s="113" t="s">
        <v>24</v>
      </c>
      <c r="C55" s="95" t="s">
        <v>700</v>
      </c>
      <c r="D55" s="85">
        <v>45551</v>
      </c>
      <c r="E55" s="86">
        <v>604.79999999999995</v>
      </c>
      <c r="F55" s="86">
        <v>151.19999999999999</v>
      </c>
      <c r="G55" s="94">
        <v>496.69</v>
      </c>
      <c r="H55" s="86">
        <v>68.040000000000006</v>
      </c>
      <c r="I55" s="106">
        <v>45579</v>
      </c>
      <c r="J55" s="50">
        <f t="shared" si="8"/>
        <v>453.59999999999997</v>
      </c>
      <c r="K55" s="47">
        <f t="shared" si="6"/>
        <v>28</v>
      </c>
      <c r="L55" s="5">
        <v>3.5000000000000003E-2</v>
      </c>
      <c r="M55" s="6">
        <f t="shared" si="7"/>
        <v>15.875999999999999</v>
      </c>
      <c r="O55" s="78"/>
    </row>
    <row r="56" spans="1:15" ht="15" customHeight="1" x14ac:dyDescent="0.25">
      <c r="A56" s="83" t="s">
        <v>701</v>
      </c>
      <c r="B56" s="107" t="s">
        <v>24</v>
      </c>
      <c r="C56" s="95" t="s">
        <v>702</v>
      </c>
      <c r="D56" s="85">
        <v>45551</v>
      </c>
      <c r="E56" s="86">
        <v>1713.6</v>
      </c>
      <c r="F56" s="86">
        <v>428.4</v>
      </c>
      <c r="G56" s="94">
        <v>1407.3000000000002</v>
      </c>
      <c r="H56" s="86">
        <v>192.78</v>
      </c>
      <c r="I56" s="106">
        <v>45580</v>
      </c>
      <c r="J56" s="50">
        <f t="shared" si="8"/>
        <v>1285.1999999999998</v>
      </c>
      <c r="K56" s="47">
        <f t="shared" si="6"/>
        <v>29</v>
      </c>
      <c r="L56" s="5">
        <v>3.5000000000000003E-2</v>
      </c>
      <c r="M56" s="6">
        <f t="shared" si="7"/>
        <v>44.981999999999999</v>
      </c>
      <c r="O56" s="78"/>
    </row>
    <row r="57" spans="1:15" ht="15" customHeight="1" x14ac:dyDescent="0.25">
      <c r="A57" s="83" t="s">
        <v>42</v>
      </c>
      <c r="B57" s="107" t="s">
        <v>18</v>
      </c>
      <c r="C57" s="95" t="s">
        <v>703</v>
      </c>
      <c r="D57" s="85">
        <v>45551</v>
      </c>
      <c r="E57" s="86">
        <v>184.8</v>
      </c>
      <c r="F57" s="86">
        <v>27.72</v>
      </c>
      <c r="G57" s="94">
        <v>172</v>
      </c>
      <c r="H57" s="86">
        <v>23.56</v>
      </c>
      <c r="I57" s="106">
        <v>45582</v>
      </c>
      <c r="J57" s="50">
        <f t="shared" si="8"/>
        <v>157.08000000000001</v>
      </c>
      <c r="K57" s="47">
        <f t="shared" si="6"/>
        <v>31</v>
      </c>
      <c r="L57" s="5">
        <v>0.03</v>
      </c>
      <c r="M57" s="6">
        <f t="shared" si="7"/>
        <v>4.7124000000000006</v>
      </c>
      <c r="O57" s="78"/>
    </row>
    <row r="58" spans="1:15" ht="15" customHeight="1" x14ac:dyDescent="0.25">
      <c r="A58" s="83" t="s">
        <v>704</v>
      </c>
      <c r="B58" s="107" t="s">
        <v>30</v>
      </c>
      <c r="C58" s="95" t="s">
        <v>705</v>
      </c>
      <c r="D58" s="85">
        <v>45553</v>
      </c>
      <c r="E58" s="86">
        <v>72</v>
      </c>
      <c r="F58" s="86">
        <v>7.2</v>
      </c>
      <c r="G58" s="94">
        <v>74.52</v>
      </c>
      <c r="H58" s="86">
        <v>9.7200000000000006</v>
      </c>
      <c r="I58" s="106">
        <v>45587</v>
      </c>
      <c r="J58" s="50">
        <f t="shared" si="8"/>
        <v>64.8</v>
      </c>
      <c r="K58" s="47">
        <f t="shared" si="6"/>
        <v>34</v>
      </c>
      <c r="L58" s="5">
        <v>0.03</v>
      </c>
      <c r="M58" s="6">
        <f t="shared" si="7"/>
        <v>1.944</v>
      </c>
      <c r="O58" s="78"/>
    </row>
    <row r="59" spans="1:15" ht="15" customHeight="1" x14ac:dyDescent="0.25">
      <c r="A59" s="83" t="s">
        <v>71</v>
      </c>
      <c r="B59" s="160" t="s">
        <v>24</v>
      </c>
      <c r="C59" s="95" t="s">
        <v>706</v>
      </c>
      <c r="D59" s="85">
        <v>45559</v>
      </c>
      <c r="E59" s="86">
        <v>1377</v>
      </c>
      <c r="F59" s="86">
        <v>344.25</v>
      </c>
      <c r="G59" s="94">
        <v>1130.8600000000001</v>
      </c>
      <c r="H59" s="86">
        <v>154.91</v>
      </c>
      <c r="I59" s="106">
        <v>45579</v>
      </c>
      <c r="J59" s="50">
        <f t="shared" si="8"/>
        <v>1032.75</v>
      </c>
      <c r="K59" s="47">
        <f t="shared" si="6"/>
        <v>20</v>
      </c>
      <c r="L59" s="5">
        <v>3.5000000000000003E-2</v>
      </c>
      <c r="M59" s="6">
        <f t="shared" si="7"/>
        <v>36.146250000000002</v>
      </c>
      <c r="O59" s="78"/>
    </row>
    <row r="60" spans="1:15" ht="15" customHeight="1" x14ac:dyDescent="0.25">
      <c r="A60" s="83" t="s">
        <v>60</v>
      </c>
      <c r="B60" s="160" t="s">
        <v>61</v>
      </c>
      <c r="C60" s="95" t="s">
        <v>707</v>
      </c>
      <c r="D60" s="85">
        <v>45561</v>
      </c>
      <c r="E60" s="86">
        <v>232.68</v>
      </c>
      <c r="F60" s="86">
        <v>34.9</v>
      </c>
      <c r="G60" s="94">
        <v>127.45</v>
      </c>
      <c r="H60" s="86">
        <v>29.67</v>
      </c>
      <c r="I60" s="106">
        <v>45593</v>
      </c>
      <c r="J60" s="50">
        <f>127.45/1.15</f>
        <v>110.82608695652175</v>
      </c>
      <c r="K60" s="47">
        <f t="shared" si="6"/>
        <v>32</v>
      </c>
      <c r="L60" s="5">
        <v>0.03</v>
      </c>
      <c r="M60" s="6">
        <f t="shared" si="7"/>
        <v>3.3247826086956525</v>
      </c>
      <c r="O60" s="78"/>
    </row>
    <row r="61" spans="1:15" ht="15" customHeight="1" x14ac:dyDescent="0.25">
      <c r="A61" s="83" t="s">
        <v>292</v>
      </c>
      <c r="B61" s="160" t="s">
        <v>229</v>
      </c>
      <c r="C61" s="95" t="s">
        <v>708</v>
      </c>
      <c r="D61" s="85">
        <v>45561</v>
      </c>
      <c r="E61" s="86">
        <v>140.4</v>
      </c>
      <c r="F61" s="86">
        <v>21.06</v>
      </c>
      <c r="G61" s="94">
        <v>130.68</v>
      </c>
      <c r="H61" s="86">
        <v>17.899999999999999</v>
      </c>
      <c r="I61" s="106">
        <v>45593</v>
      </c>
      <c r="J61" s="50">
        <f>+E61-F61</f>
        <v>119.34</v>
      </c>
      <c r="K61" s="47">
        <f t="shared" si="6"/>
        <v>32</v>
      </c>
      <c r="L61" s="5">
        <v>0.03</v>
      </c>
      <c r="M61" s="6">
        <f t="shared" si="7"/>
        <v>3.5802</v>
      </c>
      <c r="O61" s="78"/>
    </row>
    <row r="62" spans="1:15" ht="15" customHeight="1" x14ac:dyDescent="0.25">
      <c r="A62" s="83" t="s">
        <v>709</v>
      </c>
      <c r="B62" s="161" t="s">
        <v>61</v>
      </c>
      <c r="C62" s="95" t="s">
        <v>710</v>
      </c>
      <c r="D62" s="85">
        <v>45569</v>
      </c>
      <c r="E62" s="86">
        <v>294.72000000000003</v>
      </c>
      <c r="F62" s="86">
        <v>44.22</v>
      </c>
      <c r="G62" s="94">
        <v>288.08</v>
      </c>
      <c r="H62" s="86">
        <v>245.92</v>
      </c>
      <c r="I62" s="106">
        <v>45593</v>
      </c>
      <c r="J62" s="50">
        <f>+E62-F62</f>
        <v>250.50000000000003</v>
      </c>
      <c r="K62" s="47">
        <f t="shared" si="6"/>
        <v>24</v>
      </c>
      <c r="L62" s="5">
        <v>3.5000000000000003E-2</v>
      </c>
      <c r="M62" s="6">
        <f t="shared" si="7"/>
        <v>8.7675000000000018</v>
      </c>
      <c r="O62" s="78"/>
    </row>
    <row r="63" spans="1:15" ht="15" customHeight="1" x14ac:dyDescent="0.25">
      <c r="A63" s="83" t="s">
        <v>709</v>
      </c>
      <c r="B63" s="161" t="s">
        <v>61</v>
      </c>
      <c r="C63" s="95" t="s">
        <v>711</v>
      </c>
      <c r="D63" s="85">
        <v>45569</v>
      </c>
      <c r="E63" s="86">
        <v>57</v>
      </c>
      <c r="F63" s="86">
        <v>8.5500000000000007</v>
      </c>
      <c r="G63" s="94">
        <v>44.11</v>
      </c>
      <c r="H63" s="86">
        <v>7.27</v>
      </c>
      <c r="I63" s="106">
        <v>45593</v>
      </c>
      <c r="J63" s="50">
        <f>44.11/1.15</f>
        <v>38.356521739130436</v>
      </c>
      <c r="K63" s="47">
        <f t="shared" si="6"/>
        <v>24</v>
      </c>
      <c r="L63" s="5">
        <v>3.5000000000000003E-2</v>
      </c>
      <c r="M63" s="6">
        <f t="shared" si="7"/>
        <v>1.3424782608695653</v>
      </c>
      <c r="O63" s="78"/>
    </row>
    <row r="64" spans="1:15" ht="15" customHeight="1" x14ac:dyDescent="0.25">
      <c r="A64" s="83" t="s">
        <v>89</v>
      </c>
      <c r="B64" s="113" t="s">
        <v>18</v>
      </c>
      <c r="C64" s="95" t="s">
        <v>712</v>
      </c>
      <c r="D64" s="85">
        <v>45579</v>
      </c>
      <c r="E64" s="86">
        <v>23.4</v>
      </c>
      <c r="F64" s="86">
        <v>3.51</v>
      </c>
      <c r="G64" s="94">
        <v>21.78</v>
      </c>
      <c r="H64" s="86">
        <v>2.98</v>
      </c>
      <c r="I64" s="106">
        <v>45580</v>
      </c>
      <c r="J64" s="50">
        <f>+E64-F64</f>
        <v>19.89</v>
      </c>
      <c r="K64" s="47">
        <f t="shared" si="6"/>
        <v>1</v>
      </c>
      <c r="L64" s="5">
        <v>0.04</v>
      </c>
      <c r="M64" s="6">
        <f t="shared" si="7"/>
        <v>0.79560000000000008</v>
      </c>
      <c r="O64" s="78"/>
    </row>
    <row r="65" spans="1:15" ht="15" customHeight="1" x14ac:dyDescent="0.25">
      <c r="A65" s="83" t="s">
        <v>89</v>
      </c>
      <c r="B65" s="113" t="s">
        <v>18</v>
      </c>
      <c r="C65" s="95" t="s">
        <v>713</v>
      </c>
      <c r="D65" s="85">
        <v>45586</v>
      </c>
      <c r="E65" s="86">
        <v>51</v>
      </c>
      <c r="F65" s="86">
        <v>7.65</v>
      </c>
      <c r="G65" s="94">
        <v>47.47</v>
      </c>
      <c r="H65" s="86">
        <v>6.5</v>
      </c>
      <c r="I65" s="106">
        <v>45587</v>
      </c>
      <c r="J65" s="50">
        <f>+E65-F65</f>
        <v>43.35</v>
      </c>
      <c r="K65" s="47">
        <f t="shared" si="6"/>
        <v>1</v>
      </c>
      <c r="L65" s="5">
        <v>0.04</v>
      </c>
      <c r="M65" s="6">
        <f t="shared" si="7"/>
        <v>1.734</v>
      </c>
      <c r="O65" s="78"/>
    </row>
    <row r="66" spans="1:15" ht="15" customHeight="1" x14ac:dyDescent="0.25">
      <c r="A66" s="83" t="s">
        <v>89</v>
      </c>
      <c r="B66" s="113" t="s">
        <v>18</v>
      </c>
      <c r="C66" s="95" t="s">
        <v>714</v>
      </c>
      <c r="D66" s="85">
        <v>45587</v>
      </c>
      <c r="E66" s="86">
        <v>40.799999999999997</v>
      </c>
      <c r="F66" s="86">
        <v>6.12</v>
      </c>
      <c r="G66" s="94">
        <v>37.97</v>
      </c>
      <c r="H66" s="86">
        <v>5.2</v>
      </c>
      <c r="I66" s="106">
        <v>45588</v>
      </c>
      <c r="J66" s="50">
        <f>+E66-F66</f>
        <v>34.68</v>
      </c>
      <c r="K66" s="47">
        <f t="shared" si="6"/>
        <v>1</v>
      </c>
      <c r="L66" s="5">
        <v>0.04</v>
      </c>
      <c r="M66" s="6">
        <f t="shared" si="7"/>
        <v>1.3872</v>
      </c>
      <c r="O66" s="78"/>
    </row>
    <row r="67" spans="1:15" ht="15" customHeight="1" x14ac:dyDescent="0.25">
      <c r="A67" s="83"/>
      <c r="B67" s="159"/>
      <c r="C67" s="95"/>
      <c r="D67" s="85"/>
      <c r="E67" s="86"/>
      <c r="F67" s="86"/>
      <c r="G67" s="94"/>
      <c r="H67" s="86"/>
      <c r="I67" s="106"/>
      <c r="J67" s="50"/>
      <c r="K67" s="47"/>
      <c r="L67" s="5"/>
      <c r="M67" s="6"/>
      <c r="O67" s="78"/>
    </row>
    <row r="68" spans="1:15" ht="15" customHeight="1" x14ac:dyDescent="0.25">
      <c r="A68" s="83"/>
      <c r="B68" s="113"/>
      <c r="C68" s="95"/>
      <c r="D68" s="85"/>
      <c r="E68" s="86"/>
      <c r="F68" s="86"/>
      <c r="G68" s="94"/>
      <c r="H68" s="86"/>
      <c r="I68" s="106"/>
      <c r="J68" s="50"/>
      <c r="K68" s="47"/>
      <c r="L68" s="5"/>
      <c r="M68" s="6"/>
      <c r="O68" s="78"/>
    </row>
    <row r="69" spans="1:15" ht="15" customHeight="1" x14ac:dyDescent="0.25">
      <c r="A69" s="83"/>
      <c r="B69" s="107"/>
      <c r="C69" s="95"/>
      <c r="D69" s="85"/>
      <c r="E69" s="86"/>
      <c r="F69" s="86"/>
      <c r="G69" s="94"/>
      <c r="H69" s="86"/>
      <c r="I69" s="106"/>
      <c r="J69" s="50"/>
      <c r="K69" s="47"/>
      <c r="L69" s="5"/>
      <c r="M69" s="6"/>
      <c r="O69" s="78"/>
    </row>
    <row r="70" spans="1:15" ht="15" customHeight="1" x14ac:dyDescent="0.25">
      <c r="A70" s="115"/>
      <c r="B70" s="136"/>
      <c r="C70" s="117"/>
      <c r="D70" s="118"/>
      <c r="E70" s="119"/>
      <c r="F70" s="119"/>
      <c r="G70" s="120"/>
      <c r="H70" s="119"/>
      <c r="I70" s="121"/>
      <c r="J70" s="50"/>
      <c r="K70" s="47"/>
      <c r="L70" s="5"/>
      <c r="M70" s="6"/>
      <c r="O70" s="78"/>
    </row>
    <row r="71" spans="1:15" ht="15" customHeight="1" x14ac:dyDescent="0.3">
      <c r="G71" s="16">
        <f>SUM(G39:G70)</f>
        <v>8479.9600000000009</v>
      </c>
      <c r="J71" s="16">
        <f>SUM(J39:J70)</f>
        <v>7686.3273913043495</v>
      </c>
      <c r="M71" s="16">
        <f>SUM(M39:M70)</f>
        <v>247.47705434782608</v>
      </c>
    </row>
    <row r="72" spans="1:15" ht="15" customHeight="1" x14ac:dyDescent="0.25">
      <c r="G72" s="8"/>
      <c r="H72" s="8"/>
    </row>
    <row r="73" spans="1:15" ht="15" customHeight="1" x14ac:dyDescent="0.25">
      <c r="A73" s="17" t="s">
        <v>19</v>
      </c>
      <c r="B73" s="17" t="s">
        <v>20</v>
      </c>
      <c r="C73" s="18" t="s">
        <v>21</v>
      </c>
      <c r="I73" s="8"/>
      <c r="J73" s="8"/>
    </row>
    <row r="74" spans="1:15" s="52" customFormat="1" ht="15" customHeight="1" x14ac:dyDescent="0.25">
      <c r="A74" s="91" t="s">
        <v>132</v>
      </c>
      <c r="B74" s="101" t="s">
        <v>715</v>
      </c>
      <c r="C74" s="93" t="s">
        <v>716</v>
      </c>
      <c r="D74" s="88">
        <v>45510</v>
      </c>
      <c r="E74" s="92">
        <v>255.36</v>
      </c>
      <c r="F74" s="92">
        <v>38.299999999999997</v>
      </c>
      <c r="G74" s="90">
        <v>249.62</v>
      </c>
      <c r="H74" s="92">
        <v>32.56</v>
      </c>
      <c r="I74" s="105">
        <v>45615</v>
      </c>
      <c r="J74" s="50">
        <f t="shared" ref="J74:J82" si="9">+E74-F74</f>
        <v>217.06</v>
      </c>
      <c r="K74" s="47">
        <f t="shared" ref="K74:K82" si="10">+I74-D74</f>
        <v>105</v>
      </c>
      <c r="L74" s="48">
        <v>0.03</v>
      </c>
      <c r="M74" s="49">
        <f t="shared" ref="M74:M82" si="11">+J74*L74</f>
        <v>6.5118</v>
      </c>
      <c r="N74" s="60"/>
      <c r="O74" s="78"/>
    </row>
    <row r="75" spans="1:15" s="52" customFormat="1" ht="15" customHeight="1" x14ac:dyDescent="0.25">
      <c r="A75" s="91" t="s">
        <v>48</v>
      </c>
      <c r="B75" s="101" t="s">
        <v>717</v>
      </c>
      <c r="C75" s="93" t="s">
        <v>718</v>
      </c>
      <c r="D75" s="88">
        <v>45545</v>
      </c>
      <c r="E75" s="92">
        <v>1545</v>
      </c>
      <c r="F75" s="92">
        <v>386.25</v>
      </c>
      <c r="G75" s="96">
        <v>1268.83</v>
      </c>
      <c r="H75" s="92">
        <v>173.81</v>
      </c>
      <c r="I75" s="106">
        <v>45636</v>
      </c>
      <c r="J75" s="50">
        <f t="shared" si="9"/>
        <v>1158.75</v>
      </c>
      <c r="K75" s="47">
        <f t="shared" si="10"/>
        <v>91</v>
      </c>
      <c r="L75" s="48">
        <v>0.03</v>
      </c>
      <c r="M75" s="49">
        <f t="shared" si="11"/>
        <v>34.762499999999996</v>
      </c>
      <c r="N75" s="60"/>
      <c r="O75" s="78"/>
    </row>
    <row r="76" spans="1:15" s="52" customFormat="1" ht="15" customHeight="1" x14ac:dyDescent="0.25">
      <c r="A76" s="91" t="s">
        <v>38</v>
      </c>
      <c r="B76" s="101" t="s">
        <v>719</v>
      </c>
      <c r="C76" s="93" t="s">
        <v>720</v>
      </c>
      <c r="D76" s="88">
        <v>45562</v>
      </c>
      <c r="E76" s="92">
        <v>979.2</v>
      </c>
      <c r="F76" s="92">
        <v>244.8</v>
      </c>
      <c r="G76" s="96">
        <v>804.17</v>
      </c>
      <c r="H76" s="92">
        <v>110.16</v>
      </c>
      <c r="I76" s="106">
        <v>45596</v>
      </c>
      <c r="J76" s="50">
        <f t="shared" si="9"/>
        <v>734.40000000000009</v>
      </c>
      <c r="K76" s="47">
        <f t="shared" si="10"/>
        <v>34</v>
      </c>
      <c r="L76" s="48">
        <v>0.03</v>
      </c>
      <c r="M76" s="49">
        <f t="shared" si="11"/>
        <v>22.032000000000004</v>
      </c>
      <c r="N76" s="60"/>
      <c r="O76" s="78"/>
    </row>
    <row r="77" spans="1:15" s="52" customFormat="1" ht="15" customHeight="1" x14ac:dyDescent="0.25">
      <c r="A77" s="91" t="s">
        <v>102</v>
      </c>
      <c r="B77" s="101" t="s">
        <v>721</v>
      </c>
      <c r="C77" s="93" t="s">
        <v>722</v>
      </c>
      <c r="D77" s="88">
        <v>45568</v>
      </c>
      <c r="E77" s="92">
        <v>97.8</v>
      </c>
      <c r="F77" s="92">
        <v>14.67</v>
      </c>
      <c r="G77" s="96">
        <v>95.6</v>
      </c>
      <c r="H77" s="92">
        <v>12.47</v>
      </c>
      <c r="I77" s="88">
        <v>45602</v>
      </c>
      <c r="J77" s="50">
        <f t="shared" si="9"/>
        <v>83.13</v>
      </c>
      <c r="K77" s="47">
        <f t="shared" si="10"/>
        <v>34</v>
      </c>
      <c r="L77" s="48">
        <v>0.03</v>
      </c>
      <c r="M77" s="49">
        <f t="shared" si="11"/>
        <v>2.4938999999999996</v>
      </c>
      <c r="N77" s="60"/>
      <c r="O77" s="78"/>
    </row>
    <row r="78" spans="1:15" s="52" customFormat="1" ht="15" customHeight="1" x14ac:dyDescent="0.25">
      <c r="A78" s="91" t="s">
        <v>102</v>
      </c>
      <c r="B78" s="101" t="s">
        <v>723</v>
      </c>
      <c r="C78" s="93" t="s">
        <v>724</v>
      </c>
      <c r="D78" s="88">
        <v>45569</v>
      </c>
      <c r="E78" s="92">
        <v>46.8</v>
      </c>
      <c r="F78" s="92">
        <v>7.02</v>
      </c>
      <c r="G78" s="96">
        <v>45.75</v>
      </c>
      <c r="H78" s="92">
        <v>5.97</v>
      </c>
      <c r="I78" s="106">
        <v>45603</v>
      </c>
      <c r="J78" s="50">
        <f t="shared" si="9"/>
        <v>39.78</v>
      </c>
      <c r="K78" s="47">
        <f t="shared" si="10"/>
        <v>34</v>
      </c>
      <c r="L78" s="48">
        <v>0.03</v>
      </c>
      <c r="M78" s="49">
        <f t="shared" si="11"/>
        <v>1.1934</v>
      </c>
      <c r="N78" s="60"/>
      <c r="O78" s="78"/>
    </row>
    <row r="79" spans="1:15" s="52" customFormat="1" ht="15" customHeight="1" x14ac:dyDescent="0.25">
      <c r="A79" s="91" t="s">
        <v>58</v>
      </c>
      <c r="B79" s="101" t="s">
        <v>725</v>
      </c>
      <c r="C79" s="93" t="s">
        <v>726</v>
      </c>
      <c r="D79" s="88">
        <v>45572</v>
      </c>
      <c r="E79" s="92">
        <v>211.2</v>
      </c>
      <c r="F79" s="92">
        <v>31.68</v>
      </c>
      <c r="G79" s="96">
        <v>195.23</v>
      </c>
      <c r="H79" s="92">
        <v>26.93</v>
      </c>
      <c r="I79" s="106">
        <v>45611</v>
      </c>
      <c r="J79" s="50">
        <f t="shared" si="9"/>
        <v>179.51999999999998</v>
      </c>
      <c r="K79" s="47">
        <f t="shared" si="10"/>
        <v>39</v>
      </c>
      <c r="L79" s="48">
        <v>0.03</v>
      </c>
      <c r="M79" s="49">
        <f t="shared" si="11"/>
        <v>5.3855999999999993</v>
      </c>
      <c r="N79" s="60"/>
      <c r="O79" s="78"/>
    </row>
    <row r="80" spans="1:15" s="52" customFormat="1" ht="15" customHeight="1" x14ac:dyDescent="0.25">
      <c r="A80" s="91" t="s">
        <v>102</v>
      </c>
      <c r="B80" s="101" t="s">
        <v>727</v>
      </c>
      <c r="C80" s="93" t="s">
        <v>728</v>
      </c>
      <c r="D80" s="88">
        <v>45573</v>
      </c>
      <c r="E80" s="92">
        <v>34.799999999999997</v>
      </c>
      <c r="F80" s="92">
        <v>5.22</v>
      </c>
      <c r="G80" s="96">
        <v>34.020000000000003</v>
      </c>
      <c r="H80" s="92">
        <v>4.4400000000000004</v>
      </c>
      <c r="I80" s="106">
        <v>45604</v>
      </c>
      <c r="J80" s="50">
        <f t="shared" si="9"/>
        <v>29.58</v>
      </c>
      <c r="K80" s="47">
        <f t="shared" si="10"/>
        <v>31</v>
      </c>
      <c r="L80" s="48">
        <v>0.03</v>
      </c>
      <c r="M80" s="49">
        <f t="shared" si="11"/>
        <v>0.88739999999999997</v>
      </c>
      <c r="N80" s="60"/>
      <c r="O80" s="78"/>
    </row>
    <row r="81" spans="1:15" s="52" customFormat="1" ht="15" customHeight="1" x14ac:dyDescent="0.25">
      <c r="A81" s="91" t="s">
        <v>46</v>
      </c>
      <c r="B81" s="101" t="s">
        <v>729</v>
      </c>
      <c r="C81" s="93" t="s">
        <v>730</v>
      </c>
      <c r="D81" s="88">
        <v>45583</v>
      </c>
      <c r="E81" s="92">
        <v>565.32000000000005</v>
      </c>
      <c r="F81" s="92">
        <v>113.06</v>
      </c>
      <c r="G81" s="96">
        <v>495.23</v>
      </c>
      <c r="H81" s="92">
        <v>67.84</v>
      </c>
      <c r="I81" s="106">
        <v>45614</v>
      </c>
      <c r="J81" s="50">
        <f t="shared" si="9"/>
        <v>452.26000000000005</v>
      </c>
      <c r="K81" s="47">
        <f t="shared" si="10"/>
        <v>31</v>
      </c>
      <c r="L81" s="48">
        <v>0.03</v>
      </c>
      <c r="M81" s="49">
        <f t="shared" si="11"/>
        <v>13.5678</v>
      </c>
      <c r="N81" s="60"/>
      <c r="O81" s="78"/>
    </row>
    <row r="82" spans="1:15" s="52" customFormat="1" ht="15" customHeight="1" x14ac:dyDescent="0.25">
      <c r="A82" s="91" t="s">
        <v>102</v>
      </c>
      <c r="B82" s="101" t="s">
        <v>731</v>
      </c>
      <c r="C82" s="93" t="s">
        <v>732</v>
      </c>
      <c r="D82" s="88">
        <v>45586</v>
      </c>
      <c r="E82" s="92">
        <v>69.599999999999994</v>
      </c>
      <c r="F82" s="92">
        <v>10.44</v>
      </c>
      <c r="G82" s="96">
        <v>68.03</v>
      </c>
      <c r="H82" s="92">
        <v>8.8699999999999992</v>
      </c>
      <c r="I82" s="106">
        <v>45602</v>
      </c>
      <c r="J82" s="50">
        <f t="shared" si="9"/>
        <v>59.16</v>
      </c>
      <c r="K82" s="47">
        <f t="shared" si="10"/>
        <v>16</v>
      </c>
      <c r="L82" s="48">
        <v>0.03</v>
      </c>
      <c r="M82" s="49">
        <f t="shared" si="11"/>
        <v>1.7747999999999999</v>
      </c>
      <c r="N82" s="60"/>
      <c r="O82" s="78"/>
    </row>
    <row r="83" spans="1:15" s="1" customFormat="1" ht="15" customHeight="1" thickBot="1" x14ac:dyDescent="0.3">
      <c r="A83" s="152"/>
      <c r="B83" s="153"/>
      <c r="C83" s="154"/>
      <c r="D83" s="155"/>
      <c r="E83" s="156"/>
      <c r="F83" s="156"/>
      <c r="G83" s="90"/>
      <c r="H83" s="92"/>
      <c r="I83" s="105"/>
      <c r="J83" s="50"/>
      <c r="K83" s="47"/>
      <c r="L83" s="48"/>
      <c r="M83" s="53"/>
      <c r="N83" s="74"/>
      <c r="O83" s="78"/>
    </row>
    <row r="84" spans="1:15" ht="15" customHeight="1" thickBot="1" x14ac:dyDescent="0.35">
      <c r="A84" s="332" t="s">
        <v>29</v>
      </c>
      <c r="B84" s="332"/>
      <c r="C84" s="332"/>
      <c r="D84" s="332"/>
      <c r="E84" s="332"/>
      <c r="F84" s="332"/>
      <c r="G84" s="16">
        <f>SUM(G71:G83)</f>
        <v>11736.440000000002</v>
      </c>
      <c r="J84" s="16">
        <f>SUM(J71:J83)</f>
        <v>10639.96739130435</v>
      </c>
      <c r="L84" s="20"/>
      <c r="M84" s="21">
        <f>SUM(M71:M83)</f>
        <v>336.08625434782607</v>
      </c>
    </row>
    <row r="85" spans="1:15" ht="15" customHeight="1" x14ac:dyDescent="0.3">
      <c r="A85" s="22"/>
      <c r="G85" s="8"/>
    </row>
    <row r="86" spans="1:15" ht="15" customHeight="1" x14ac:dyDescent="0.3">
      <c r="A86" s="39"/>
      <c r="G86" s="8"/>
      <c r="J86" s="8"/>
    </row>
    <row r="87" spans="1:15" ht="15" customHeight="1" x14ac:dyDescent="0.3">
      <c r="A87" s="39"/>
      <c r="G87" s="8"/>
      <c r="J87" s="8"/>
    </row>
    <row r="88" spans="1:15" ht="15" customHeight="1" x14ac:dyDescent="0.3">
      <c r="A88" s="39"/>
      <c r="G88" s="8"/>
      <c r="J88" s="8"/>
    </row>
    <row r="89" spans="1:15" ht="15" customHeight="1" x14ac:dyDescent="0.3">
      <c r="A89" s="39"/>
      <c r="G89" s="8"/>
      <c r="J89" s="8"/>
    </row>
    <row r="90" spans="1:15" ht="15" customHeight="1" x14ac:dyDescent="0.3">
      <c r="A90" s="39"/>
      <c r="G90" s="8"/>
      <c r="J90" s="8"/>
    </row>
    <row r="91" spans="1:15" ht="15" customHeight="1" x14ac:dyDescent="0.3">
      <c r="A91" s="39"/>
      <c r="G91" s="8"/>
      <c r="J91" s="8">
        <f>(J29+J84)*2%</f>
        <v>330.39473913043486</v>
      </c>
      <c r="M91" s="8">
        <f>M29/12</f>
        <v>16.057673913043477</v>
      </c>
      <c r="N91" s="59" t="s">
        <v>342</v>
      </c>
    </row>
    <row r="92" spans="1:15" ht="15" customHeight="1" x14ac:dyDescent="0.3">
      <c r="A92" s="39"/>
      <c r="G92" s="8"/>
      <c r="J92" s="185">
        <f>J91/12</f>
        <v>27.532894927536237</v>
      </c>
      <c r="M92" s="8">
        <f>M29/24</f>
        <v>8.0288369565217383</v>
      </c>
      <c r="N92" s="59" t="s">
        <v>342</v>
      </c>
    </row>
    <row r="93" spans="1:15" ht="15" customHeight="1" x14ac:dyDescent="0.3">
      <c r="A93" s="39"/>
      <c r="G93" s="8"/>
      <c r="J93" s="185">
        <f>J91/24</f>
        <v>13.766447463768118</v>
      </c>
      <c r="M93" s="8">
        <f>M84/12</f>
        <v>28.00718786231884</v>
      </c>
      <c r="N93" s="59" t="s">
        <v>341</v>
      </c>
      <c r="O93" s="8"/>
    </row>
    <row r="94" spans="1:15" ht="15" customHeight="1" x14ac:dyDescent="0.3">
      <c r="A94" s="39"/>
      <c r="G94" s="8"/>
      <c r="J94" s="8"/>
      <c r="M94" s="8">
        <f>M84/24</f>
        <v>14.00359393115942</v>
      </c>
      <c r="N94" s="59" t="s">
        <v>341</v>
      </c>
      <c r="O94" s="8"/>
    </row>
    <row r="95" spans="1:15" ht="15" customHeight="1" x14ac:dyDescent="0.3">
      <c r="A95" s="39"/>
      <c r="G95" s="8"/>
      <c r="J95" s="8"/>
      <c r="M95" s="8"/>
    </row>
    <row r="96" spans="1:15" ht="15" customHeight="1" x14ac:dyDescent="0.3">
      <c r="A96" s="39"/>
      <c r="G96" s="8"/>
      <c r="J96" s="8"/>
      <c r="M96" s="185">
        <f>M91+M93</f>
        <v>44.064861775362317</v>
      </c>
      <c r="N96" s="186" t="s">
        <v>877</v>
      </c>
    </row>
    <row r="97" spans="1:14" ht="15" customHeight="1" x14ac:dyDescent="0.3">
      <c r="A97" s="39"/>
      <c r="G97" s="8"/>
      <c r="J97" s="8"/>
      <c r="M97" s="185">
        <f>M92+M94</f>
        <v>22.032430887681159</v>
      </c>
      <c r="N97" s="186" t="s">
        <v>878</v>
      </c>
    </row>
    <row r="98" spans="1:14" ht="15" customHeight="1" x14ac:dyDescent="0.3">
      <c r="A98" s="39"/>
      <c r="G98" s="8"/>
      <c r="J98" s="8"/>
    </row>
    <row r="99" spans="1:14" ht="15" customHeight="1" x14ac:dyDescent="0.3">
      <c r="A99" s="39"/>
      <c r="G99" s="8"/>
      <c r="J99" s="8"/>
    </row>
    <row r="100" spans="1:14" ht="15" customHeight="1" x14ac:dyDescent="0.3">
      <c r="A100" s="39"/>
      <c r="G100" s="8"/>
      <c r="J100" s="8">
        <f>J29+J84</f>
        <v>16519.736956521741</v>
      </c>
      <c r="N100" s="59" t="s">
        <v>663</v>
      </c>
    </row>
    <row r="101" spans="1:14" ht="15" customHeight="1" x14ac:dyDescent="0.3">
      <c r="A101" s="22"/>
      <c r="J101" s="15">
        <f>J100*2%</f>
        <v>330.39473913043486</v>
      </c>
      <c r="K101" s="15"/>
    </row>
  </sheetData>
  <mergeCells count="7">
    <mergeCell ref="A84:F84"/>
    <mergeCell ref="A2:F2"/>
    <mergeCell ref="A3:F3"/>
    <mergeCell ref="A19:F19"/>
    <mergeCell ref="A29:F29"/>
    <mergeCell ref="A33:F33"/>
    <mergeCell ref="A34:F3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85"/>
  <sheetViews>
    <sheetView workbookViewId="0">
      <selection activeCell="C13" sqref="C13"/>
    </sheetView>
  </sheetViews>
  <sheetFormatPr baseColWidth="10" defaultColWidth="11.44140625" defaultRowHeight="13.2" x14ac:dyDescent="0.25"/>
  <cols>
    <col min="1" max="1" width="24.88671875" style="7" customWidth="1"/>
    <col min="2" max="2" width="15.44140625" style="7" customWidth="1"/>
    <col min="3" max="3" width="25" style="7" customWidth="1"/>
    <col min="4" max="4" width="12.109375" style="63" customWidth="1"/>
    <col min="5" max="5" width="12.6640625" style="7" customWidth="1"/>
    <col min="6" max="6" width="9.44140625" style="7" customWidth="1"/>
    <col min="7" max="7" width="11.88671875" style="7" customWidth="1"/>
    <col min="8" max="8" width="8.88671875" style="7" customWidth="1"/>
    <col min="9" max="9" width="11.88671875" style="63" customWidth="1"/>
    <col min="10" max="10" width="12.5546875" style="7" customWidth="1"/>
    <col min="11" max="11" width="6.109375" style="7" customWidth="1"/>
    <col min="12" max="12" width="6.44140625" style="7" customWidth="1"/>
    <col min="13" max="13" width="10.33203125" style="7" customWidth="1"/>
    <col min="14" max="14" width="24.33203125" style="59" customWidth="1"/>
    <col min="15" max="16" width="8" style="7" customWidth="1"/>
    <col min="17" max="16384" width="11.44140625" style="7"/>
  </cols>
  <sheetData>
    <row r="1" spans="1:30" ht="15" customHeight="1" x14ac:dyDescent="0.25">
      <c r="B1" s="8"/>
      <c r="C1" s="8"/>
      <c r="G1" s="8"/>
    </row>
    <row r="2" spans="1:30" ht="15" customHeight="1" x14ac:dyDescent="0.25">
      <c r="A2" s="331" t="s">
        <v>0</v>
      </c>
      <c r="B2" s="331"/>
      <c r="C2" s="331"/>
      <c r="D2" s="331"/>
      <c r="E2" s="331"/>
      <c r="F2" s="331"/>
      <c r="G2" s="24"/>
      <c r="H2" s="25"/>
      <c r="I2" s="65"/>
      <c r="J2" s="26"/>
      <c r="K2" s="27"/>
      <c r="L2" s="28"/>
      <c r="M2" s="29"/>
    </row>
    <row r="3" spans="1:30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65"/>
      <c r="J3" s="27"/>
      <c r="K3" s="27"/>
      <c r="L3" s="28"/>
      <c r="M3" s="29"/>
    </row>
    <row r="4" spans="1:30" ht="15" customHeight="1" x14ac:dyDescent="0.25">
      <c r="A4" s="30"/>
      <c r="B4" s="31" t="s">
        <v>733</v>
      </c>
      <c r="C4" s="30"/>
      <c r="D4" s="64"/>
      <c r="E4" s="30"/>
      <c r="F4" s="30"/>
      <c r="G4" s="24"/>
      <c r="H4" s="25"/>
      <c r="I4" s="65"/>
      <c r="J4" s="27"/>
      <c r="K4" s="27"/>
      <c r="L4" s="28"/>
      <c r="M4" s="29"/>
    </row>
    <row r="5" spans="1:30" ht="15" customHeight="1" thickBot="1" x14ac:dyDescent="0.3">
      <c r="A5" s="30"/>
      <c r="B5" s="31" t="s">
        <v>2</v>
      </c>
      <c r="C5" s="30"/>
      <c r="D5" s="64"/>
      <c r="E5" s="30"/>
      <c r="F5" s="30"/>
      <c r="G5" s="32"/>
      <c r="H5" s="24"/>
      <c r="I5" s="69"/>
      <c r="J5" s="33"/>
      <c r="K5" s="27"/>
      <c r="L5" s="28"/>
      <c r="M5" s="29"/>
    </row>
    <row r="6" spans="1:30" ht="15" customHeight="1" x14ac:dyDescent="0.25">
      <c r="A6" s="34" t="s">
        <v>66</v>
      </c>
      <c r="B6" s="33"/>
      <c r="C6" s="33"/>
      <c r="D6" s="65"/>
      <c r="E6" s="33"/>
      <c r="F6" s="33"/>
      <c r="G6" s="35" t="s">
        <v>3</v>
      </c>
      <c r="H6" s="27"/>
      <c r="I6" s="65"/>
      <c r="J6" s="36" t="s">
        <v>4</v>
      </c>
      <c r="K6" s="56" t="s">
        <v>5</v>
      </c>
      <c r="L6" s="40" t="s">
        <v>6</v>
      </c>
      <c r="M6" s="36" t="s">
        <v>7</v>
      </c>
    </row>
    <row r="7" spans="1:30" s="52" customFormat="1" ht="15" customHeight="1" thickBot="1" x14ac:dyDescent="0.3">
      <c r="A7" s="162" t="s">
        <v>8</v>
      </c>
      <c r="B7" s="162" t="s">
        <v>9</v>
      </c>
      <c r="C7" s="162" t="s">
        <v>10</v>
      </c>
      <c r="D7" s="163" t="s">
        <v>11</v>
      </c>
      <c r="E7" s="162" t="s">
        <v>12</v>
      </c>
      <c r="F7" s="164" t="s">
        <v>50</v>
      </c>
      <c r="G7" s="165" t="s">
        <v>13</v>
      </c>
      <c r="H7" s="166" t="s">
        <v>14</v>
      </c>
      <c r="I7" s="167" t="s">
        <v>15</v>
      </c>
      <c r="J7" s="168" t="s">
        <v>16</v>
      </c>
      <c r="K7" s="169"/>
      <c r="L7" s="170" t="s">
        <v>17</v>
      </c>
      <c r="M7" s="168" t="s">
        <v>39</v>
      </c>
      <c r="N7" s="60"/>
    </row>
    <row r="8" spans="1:30" s="49" customFormat="1" ht="15" customHeight="1" x14ac:dyDescent="0.25">
      <c r="A8" s="91" t="s">
        <v>86</v>
      </c>
      <c r="B8" s="55" t="s">
        <v>37</v>
      </c>
      <c r="C8" s="93" t="s">
        <v>665</v>
      </c>
      <c r="D8" s="88">
        <v>45446</v>
      </c>
      <c r="E8" s="92">
        <v>619.79999999999995</v>
      </c>
      <c r="F8" s="92">
        <v>185.94</v>
      </c>
      <c r="G8" s="96">
        <v>437.71000000000004</v>
      </c>
      <c r="H8" s="92">
        <v>65.08</v>
      </c>
      <c r="I8" s="106">
        <v>45536</v>
      </c>
      <c r="J8" s="50">
        <f>437.71/1.15</f>
        <v>380.61739130434785</v>
      </c>
      <c r="K8" s="47">
        <f t="shared" ref="K8:K14" si="0">+I8-D8</f>
        <v>90</v>
      </c>
      <c r="L8" s="48">
        <v>0.03</v>
      </c>
      <c r="M8" s="49">
        <f t="shared" ref="M8:M14" si="1">+J8*L8</f>
        <v>11.418521739130435</v>
      </c>
      <c r="N8" s="74"/>
      <c r="O8" s="78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s="49" customFormat="1" ht="15" customHeight="1" x14ac:dyDescent="0.25">
      <c r="A9" s="91" t="s">
        <v>86</v>
      </c>
      <c r="B9" s="55" t="s">
        <v>37</v>
      </c>
      <c r="C9" s="93" t="s">
        <v>734</v>
      </c>
      <c r="D9" s="88">
        <v>45512</v>
      </c>
      <c r="E9" s="92">
        <v>482.4</v>
      </c>
      <c r="F9" s="92">
        <v>144.72</v>
      </c>
      <c r="G9" s="96">
        <v>369.75</v>
      </c>
      <c r="H9" s="92">
        <v>50.65</v>
      </c>
      <c r="I9" s="106">
        <v>45542</v>
      </c>
      <c r="J9" s="50">
        <f t="shared" ref="J9:J14" si="2">+E9-F9</f>
        <v>337.67999999999995</v>
      </c>
      <c r="K9" s="47">
        <f t="shared" si="0"/>
        <v>30</v>
      </c>
      <c r="L9" s="48">
        <v>3.5000000000000003E-2</v>
      </c>
      <c r="M9" s="49">
        <f t="shared" si="1"/>
        <v>11.8188</v>
      </c>
      <c r="N9" s="74"/>
      <c r="O9" s="78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s="49" customFormat="1" ht="15" customHeight="1" x14ac:dyDescent="0.25">
      <c r="A10" s="97" t="s">
        <v>85</v>
      </c>
      <c r="B10" s="107" t="s">
        <v>23</v>
      </c>
      <c r="C10" s="98" t="s">
        <v>772</v>
      </c>
      <c r="D10" s="109">
        <v>45527</v>
      </c>
      <c r="E10" s="99">
        <v>118.8</v>
      </c>
      <c r="F10" s="99">
        <v>23.76</v>
      </c>
      <c r="G10" s="94">
        <f>109.3</f>
        <v>109.3</v>
      </c>
      <c r="H10" s="99">
        <v>14.26</v>
      </c>
      <c r="I10" s="110">
        <v>45614</v>
      </c>
      <c r="J10" s="50">
        <f t="shared" ref="J10" si="3">+E10-F10</f>
        <v>95.039999999999992</v>
      </c>
      <c r="K10" s="47">
        <f t="shared" ref="K10" si="4">+I10-D10</f>
        <v>87</v>
      </c>
      <c r="L10" s="48">
        <v>0.03</v>
      </c>
      <c r="M10" s="49">
        <f t="shared" ref="M10" si="5">+J10*L10</f>
        <v>2.8511999999999995</v>
      </c>
      <c r="N10" s="74"/>
      <c r="O10" s="7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s="49" customFormat="1" ht="15" customHeight="1" x14ac:dyDescent="0.25">
      <c r="A11" s="91" t="s">
        <v>126</v>
      </c>
      <c r="B11" s="160" t="s">
        <v>133</v>
      </c>
      <c r="C11" s="93" t="s">
        <v>735</v>
      </c>
      <c r="D11" s="88">
        <v>45544</v>
      </c>
      <c r="E11" s="92">
        <v>216</v>
      </c>
      <c r="F11" s="92">
        <v>43.2</v>
      </c>
      <c r="G11" s="96">
        <v>189.21</v>
      </c>
      <c r="H11" s="92">
        <v>25.92</v>
      </c>
      <c r="I11" s="106">
        <v>45622</v>
      </c>
      <c r="J11" s="50">
        <f t="shared" si="2"/>
        <v>172.8</v>
      </c>
      <c r="K11" s="47">
        <f t="shared" si="0"/>
        <v>78</v>
      </c>
      <c r="L11" s="48">
        <v>0.03</v>
      </c>
      <c r="M11" s="49">
        <f t="shared" si="1"/>
        <v>5.1840000000000002</v>
      </c>
      <c r="N11" s="74"/>
      <c r="O11" s="7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s="49" customFormat="1" ht="15" customHeight="1" x14ac:dyDescent="0.25">
      <c r="A12" s="91" t="s">
        <v>74</v>
      </c>
      <c r="B12" s="113" t="s">
        <v>18</v>
      </c>
      <c r="C12" s="93" t="s">
        <v>736</v>
      </c>
      <c r="D12" s="88">
        <v>45546</v>
      </c>
      <c r="E12" s="92">
        <v>36.36</v>
      </c>
      <c r="F12" s="92">
        <v>5.46</v>
      </c>
      <c r="G12" s="96">
        <v>33.839999999999996</v>
      </c>
      <c r="H12" s="92">
        <v>4.6399999999999997</v>
      </c>
      <c r="I12" s="106">
        <v>45607</v>
      </c>
      <c r="J12" s="50">
        <f t="shared" si="2"/>
        <v>30.9</v>
      </c>
      <c r="K12" s="47">
        <f t="shared" si="0"/>
        <v>61</v>
      </c>
      <c r="L12" s="48">
        <v>0.03</v>
      </c>
      <c r="M12" s="49">
        <f t="shared" si="1"/>
        <v>0.92699999999999994</v>
      </c>
      <c r="N12" s="74"/>
      <c r="O12" s="7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s="280" customFormat="1" ht="15" customHeight="1" x14ac:dyDescent="0.25">
      <c r="A13" s="270" t="s">
        <v>86</v>
      </c>
      <c r="B13" s="271" t="s">
        <v>37</v>
      </c>
      <c r="C13" s="272" t="s">
        <v>737</v>
      </c>
      <c r="D13" s="273">
        <v>45551</v>
      </c>
      <c r="E13" s="274">
        <v>2268</v>
      </c>
      <c r="F13" s="274">
        <v>680.4</v>
      </c>
      <c r="G13" s="275">
        <v>1738.4199999999998</v>
      </c>
      <c r="H13" s="274">
        <v>238.14</v>
      </c>
      <c r="I13" s="276">
        <v>45601</v>
      </c>
      <c r="J13" s="277">
        <f t="shared" si="2"/>
        <v>1587.6</v>
      </c>
      <c r="K13" s="278">
        <f t="shared" si="0"/>
        <v>50</v>
      </c>
      <c r="L13" s="279">
        <v>0.03</v>
      </c>
      <c r="M13" s="280">
        <f t="shared" si="1"/>
        <v>47.627999999999993</v>
      </c>
      <c r="N13" s="281"/>
      <c r="O13" s="282"/>
      <c r="P13" s="283"/>
      <c r="Q13" s="283"/>
      <c r="R13" s="283"/>
      <c r="S13" s="283"/>
      <c r="T13" s="283"/>
      <c r="U13" s="283"/>
      <c r="V13" s="283"/>
      <c r="W13" s="283"/>
      <c r="X13" s="283"/>
      <c r="Y13" s="283"/>
      <c r="Z13" s="283"/>
      <c r="AA13" s="283"/>
      <c r="AB13" s="283"/>
      <c r="AC13" s="283"/>
      <c r="AD13" s="283"/>
    </row>
    <row r="14" spans="1:30" s="49" customFormat="1" ht="15" customHeight="1" x14ac:dyDescent="0.25">
      <c r="A14" s="91" t="s">
        <v>53</v>
      </c>
      <c r="B14" s="161" t="s">
        <v>75</v>
      </c>
      <c r="C14" s="93" t="s">
        <v>738</v>
      </c>
      <c r="D14" s="88">
        <v>45566</v>
      </c>
      <c r="E14" s="92">
        <v>197.52</v>
      </c>
      <c r="F14" s="92">
        <v>29.62</v>
      </c>
      <c r="G14" s="96">
        <v>193.09</v>
      </c>
      <c r="H14" s="92">
        <v>25.19</v>
      </c>
      <c r="I14" s="88">
        <v>45602</v>
      </c>
      <c r="J14" s="50">
        <f t="shared" si="2"/>
        <v>167.9</v>
      </c>
      <c r="K14" s="47">
        <f t="shared" si="0"/>
        <v>36</v>
      </c>
      <c r="L14" s="48">
        <v>0.03</v>
      </c>
      <c r="M14" s="49">
        <f t="shared" si="1"/>
        <v>5.0369999999999999</v>
      </c>
      <c r="N14" s="74"/>
      <c r="O14" s="7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s="49" customFormat="1" ht="15" customHeight="1" x14ac:dyDescent="0.25">
      <c r="A15" s="51"/>
      <c r="B15" s="116"/>
      <c r="C15" s="116"/>
      <c r="D15" s="122"/>
      <c r="E15" s="123"/>
      <c r="F15" s="123"/>
      <c r="G15" s="124"/>
      <c r="H15" s="125"/>
      <c r="I15" s="126"/>
      <c r="J15" s="50"/>
      <c r="K15" s="47"/>
      <c r="L15" s="48"/>
      <c r="N15" s="74"/>
      <c r="O15" s="7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s="52" customFormat="1" ht="15" customHeight="1" x14ac:dyDescent="0.25">
      <c r="A16" s="333"/>
      <c r="B16" s="333"/>
      <c r="C16" s="333"/>
      <c r="D16" s="333"/>
      <c r="E16" s="333"/>
      <c r="F16" s="333"/>
      <c r="G16" s="75">
        <f>SUM(G8:G15)</f>
        <v>3071.3199999999997</v>
      </c>
      <c r="H16" s="80"/>
      <c r="I16" s="81"/>
      <c r="J16" s="75">
        <f>SUM(J8:J15)</f>
        <v>2772.5373913043477</v>
      </c>
      <c r="K16" s="82"/>
      <c r="L16" s="82"/>
      <c r="M16" s="75">
        <f>SUM(M8:M15)</f>
        <v>84.864521739130439</v>
      </c>
      <c r="N16" s="60"/>
    </row>
    <row r="17" spans="1:15" s="52" customFormat="1" ht="15" customHeight="1" x14ac:dyDescent="0.25">
      <c r="A17" s="76"/>
      <c r="B17" s="76"/>
      <c r="C17" s="76"/>
      <c r="D17" s="77"/>
      <c r="E17" s="76"/>
      <c r="F17" s="76"/>
      <c r="G17" s="78"/>
      <c r="I17" s="79"/>
      <c r="N17" s="60"/>
    </row>
    <row r="18" spans="1:15" s="52" customFormat="1" ht="15" customHeight="1" x14ac:dyDescent="0.25">
      <c r="A18" s="76"/>
      <c r="B18" s="76"/>
      <c r="C18" s="76"/>
      <c r="D18" s="77"/>
      <c r="E18" s="76"/>
      <c r="F18" s="76"/>
      <c r="G18" s="78"/>
      <c r="I18" s="79"/>
      <c r="J18" s="78"/>
      <c r="M18" s="78"/>
      <c r="N18" s="60"/>
    </row>
    <row r="19" spans="1:15" s="52" customFormat="1" ht="15" customHeight="1" x14ac:dyDescent="0.25">
      <c r="A19" s="52" t="s">
        <v>19</v>
      </c>
      <c r="B19" s="52" t="s">
        <v>20</v>
      </c>
      <c r="C19" s="76" t="s">
        <v>21</v>
      </c>
      <c r="D19" s="79"/>
      <c r="G19" s="78"/>
      <c r="I19" s="79"/>
      <c r="N19" s="60"/>
    </row>
    <row r="20" spans="1:15" s="1" customFormat="1" ht="15" customHeight="1" x14ac:dyDescent="0.25">
      <c r="A20" s="91" t="s">
        <v>52</v>
      </c>
      <c r="B20" s="101" t="s">
        <v>739</v>
      </c>
      <c r="C20" s="93" t="s">
        <v>740</v>
      </c>
      <c r="D20" s="88">
        <v>45603</v>
      </c>
      <c r="E20" s="92">
        <v>583.20000000000005</v>
      </c>
      <c r="F20" s="92">
        <v>145.80000000000001</v>
      </c>
      <c r="G20" s="90">
        <f>503.01-4.37-19.68</f>
        <v>478.96</v>
      </c>
      <c r="H20" s="92">
        <v>65.61</v>
      </c>
      <c r="I20" s="105">
        <v>45682</v>
      </c>
      <c r="J20" s="50">
        <f t="shared" ref="J20" si="6">+E20-F20</f>
        <v>437.40000000000003</v>
      </c>
      <c r="K20" s="47">
        <f t="shared" ref="K20" si="7">+I20-D20</f>
        <v>79</v>
      </c>
      <c r="L20" s="48">
        <v>0.03</v>
      </c>
      <c r="M20" s="49">
        <f t="shared" ref="M20" si="8">+J20*L20</f>
        <v>13.122</v>
      </c>
      <c r="N20" s="74"/>
      <c r="O20" s="78"/>
    </row>
    <row r="21" spans="1:15" s="1" customFormat="1" ht="15" customHeight="1" thickBot="1" x14ac:dyDescent="0.3">
      <c r="A21" s="91"/>
      <c r="B21" s="101"/>
      <c r="C21" s="93"/>
      <c r="D21" s="88"/>
      <c r="E21" s="92"/>
      <c r="F21" s="92"/>
      <c r="G21" s="96"/>
      <c r="H21" s="92"/>
      <c r="I21" s="106"/>
      <c r="J21" s="50"/>
      <c r="K21" s="47"/>
      <c r="L21" s="48"/>
      <c r="M21" s="49"/>
      <c r="N21" s="74"/>
      <c r="O21" s="78"/>
    </row>
    <row r="22" spans="1:15" ht="15" customHeight="1" thickBot="1" x14ac:dyDescent="0.35">
      <c r="A22" s="332" t="s">
        <v>29</v>
      </c>
      <c r="B22" s="332"/>
      <c r="C22" s="332"/>
      <c r="D22" s="332"/>
      <c r="E22" s="332"/>
      <c r="F22" s="332"/>
      <c r="G22" s="37">
        <f>SUM(G16:G21)</f>
        <v>3550.2799999999997</v>
      </c>
      <c r="J22" s="37">
        <f>SUM(J16:J21)</f>
        <v>3209.9373913043478</v>
      </c>
      <c r="L22" s="20"/>
      <c r="M22" s="38">
        <f>SUM(M16:M21)</f>
        <v>97.986521739130438</v>
      </c>
    </row>
    <row r="23" spans="1:15" ht="15" customHeight="1" x14ac:dyDescent="0.25">
      <c r="A23" s="19"/>
      <c r="B23" s="19"/>
      <c r="C23" s="19"/>
      <c r="D23" s="67"/>
      <c r="E23" s="19"/>
      <c r="F23" s="19"/>
      <c r="G23" s="8"/>
      <c r="J23" s="8"/>
      <c r="M23" s="8"/>
    </row>
    <row r="24" spans="1:15" ht="15" customHeight="1" x14ac:dyDescent="0.3">
      <c r="A24" s="39"/>
      <c r="B24" s="19"/>
      <c r="C24" s="19"/>
      <c r="D24" s="67"/>
      <c r="E24" s="19"/>
      <c r="F24" s="19"/>
      <c r="G24" s="8"/>
      <c r="J24" s="8"/>
      <c r="M24" s="8"/>
    </row>
    <row r="25" spans="1:15" ht="15" customHeight="1" x14ac:dyDescent="0.25">
      <c r="A25" s="19"/>
      <c r="B25" s="19"/>
      <c r="C25" s="19"/>
      <c r="D25" s="67"/>
      <c r="E25" s="19"/>
      <c r="F25" s="19"/>
      <c r="G25" s="8"/>
      <c r="I25" s="73"/>
    </row>
    <row r="26" spans="1:15" ht="15" customHeight="1" x14ac:dyDescent="0.25">
      <c r="A26" s="331" t="s">
        <v>112</v>
      </c>
      <c r="B26" s="331"/>
      <c r="C26" s="331"/>
      <c r="D26" s="331"/>
      <c r="E26" s="331"/>
      <c r="F26" s="331"/>
      <c r="G26" s="24"/>
      <c r="H26" s="24"/>
      <c r="I26" s="65"/>
      <c r="J26" s="26"/>
      <c r="K26" s="27"/>
      <c r="L26" s="28"/>
      <c r="M26" s="29"/>
    </row>
    <row r="27" spans="1:15" ht="15" customHeight="1" x14ac:dyDescent="0.25">
      <c r="A27" s="30"/>
      <c r="B27" s="30"/>
      <c r="C27" s="30"/>
      <c r="D27" s="30"/>
      <c r="E27" s="30"/>
      <c r="F27" s="30"/>
      <c r="G27" s="24"/>
      <c r="H27" s="24"/>
      <c r="I27" s="65"/>
      <c r="J27" s="26"/>
      <c r="K27" s="27"/>
      <c r="L27" s="28"/>
      <c r="M27" s="29"/>
    </row>
    <row r="28" spans="1:15" ht="15" customHeight="1" x14ac:dyDescent="0.25">
      <c r="A28" s="30"/>
      <c r="B28" s="30"/>
      <c r="C28" s="30"/>
      <c r="D28" s="30"/>
      <c r="E28" s="30"/>
      <c r="F28" s="30"/>
      <c r="G28" s="24"/>
      <c r="H28" s="24"/>
      <c r="I28" s="65"/>
      <c r="J28" s="26"/>
      <c r="K28" s="27"/>
      <c r="L28" s="28"/>
      <c r="M28" s="29"/>
    </row>
    <row r="29" spans="1:15" ht="15" customHeight="1" x14ac:dyDescent="0.25">
      <c r="A29" s="331" t="s">
        <v>1</v>
      </c>
      <c r="B29" s="331"/>
      <c r="C29" s="331"/>
      <c r="D29" s="331"/>
      <c r="E29" s="331"/>
      <c r="F29" s="331"/>
      <c r="G29" s="24"/>
      <c r="H29" s="25"/>
      <c r="I29" s="65"/>
      <c r="J29" s="27"/>
      <c r="K29" s="27"/>
      <c r="L29" s="28"/>
      <c r="M29" s="29"/>
    </row>
    <row r="30" spans="1:15" ht="15" customHeight="1" x14ac:dyDescent="0.25">
      <c r="A30" s="30"/>
      <c r="B30" s="31" t="s">
        <v>733</v>
      </c>
      <c r="C30" s="30"/>
      <c r="D30" s="64"/>
      <c r="E30" s="30"/>
      <c r="F30" s="30"/>
      <c r="G30" s="24"/>
      <c r="H30" s="25"/>
      <c r="I30" s="65"/>
      <c r="J30" s="27"/>
      <c r="K30" s="27"/>
      <c r="L30" s="28"/>
      <c r="M30" s="29"/>
    </row>
    <row r="31" spans="1:15" ht="15" customHeight="1" thickBot="1" x14ac:dyDescent="0.3">
      <c r="A31" s="30"/>
      <c r="B31" s="31" t="s">
        <v>22</v>
      </c>
      <c r="C31" s="30"/>
      <c r="D31" s="64"/>
      <c r="E31" s="30"/>
      <c r="F31" s="30"/>
      <c r="G31" s="32"/>
      <c r="H31" s="24"/>
      <c r="I31" s="69"/>
      <c r="J31" s="33"/>
      <c r="K31" s="27"/>
      <c r="L31" s="28"/>
      <c r="M31" s="29"/>
    </row>
    <row r="32" spans="1:15" ht="15" customHeight="1" x14ac:dyDescent="0.25">
      <c r="A32" s="34"/>
      <c r="B32" s="33"/>
      <c r="C32" s="33"/>
      <c r="D32" s="65"/>
      <c r="E32" s="33"/>
      <c r="F32" s="33"/>
      <c r="G32" s="35" t="s">
        <v>3</v>
      </c>
      <c r="H32" s="27"/>
      <c r="I32" s="65"/>
      <c r="J32" s="36" t="s">
        <v>4</v>
      </c>
      <c r="K32" s="56" t="s">
        <v>5</v>
      </c>
      <c r="L32" s="40" t="s">
        <v>6</v>
      </c>
      <c r="M32" s="36" t="s">
        <v>7</v>
      </c>
    </row>
    <row r="33" spans="1:15" ht="15" customHeight="1" x14ac:dyDescent="0.25">
      <c r="A33" s="11" t="s">
        <v>8</v>
      </c>
      <c r="B33" s="11" t="s">
        <v>9</v>
      </c>
      <c r="C33" s="11" t="s">
        <v>10</v>
      </c>
      <c r="D33" s="66" t="s">
        <v>11</v>
      </c>
      <c r="E33" s="11" t="s">
        <v>12</v>
      </c>
      <c r="F33" s="54" t="s">
        <v>50</v>
      </c>
      <c r="G33" s="62" t="s">
        <v>13</v>
      </c>
      <c r="H33" s="13" t="s">
        <v>14</v>
      </c>
      <c r="I33" s="70" t="s">
        <v>15</v>
      </c>
      <c r="J33" s="14" t="s">
        <v>16</v>
      </c>
      <c r="K33" s="57"/>
      <c r="L33" s="58" t="s">
        <v>17</v>
      </c>
      <c r="M33" s="14" t="s">
        <v>39</v>
      </c>
    </row>
    <row r="34" spans="1:15" ht="15" customHeight="1" x14ac:dyDescent="0.25">
      <c r="A34" s="83" t="s">
        <v>76</v>
      </c>
      <c r="B34" s="113" t="s">
        <v>18</v>
      </c>
      <c r="C34" s="95" t="s">
        <v>742</v>
      </c>
      <c r="D34" s="85">
        <v>45461</v>
      </c>
      <c r="E34" s="86">
        <v>70.2</v>
      </c>
      <c r="F34" s="86">
        <v>10.53</v>
      </c>
      <c r="G34" s="94">
        <v>65.330000000000013</v>
      </c>
      <c r="H34" s="86">
        <v>8.9499999999999993</v>
      </c>
      <c r="I34" s="106">
        <v>45622</v>
      </c>
      <c r="J34" s="50">
        <f t="shared" ref="J34:J48" si="9">+E34-F34</f>
        <v>59.67</v>
      </c>
      <c r="K34" s="47">
        <f t="shared" ref="K34:K59" si="10">+I34-D34</f>
        <v>161</v>
      </c>
      <c r="L34" s="5">
        <v>0.03</v>
      </c>
      <c r="M34" s="6">
        <f t="shared" ref="M34:M59" si="11">+J34*L34</f>
        <v>1.7901</v>
      </c>
      <c r="O34" s="78"/>
    </row>
    <row r="35" spans="1:15" ht="15" customHeight="1" x14ac:dyDescent="0.25">
      <c r="A35" s="83" t="s">
        <v>76</v>
      </c>
      <c r="B35" s="113" t="s">
        <v>18</v>
      </c>
      <c r="C35" s="95" t="s">
        <v>743</v>
      </c>
      <c r="D35" s="85">
        <v>45476</v>
      </c>
      <c r="E35" s="86">
        <v>117</v>
      </c>
      <c r="F35" s="86">
        <v>0</v>
      </c>
      <c r="G35" s="94">
        <v>128.11000000000001</v>
      </c>
      <c r="H35" s="86">
        <v>17.55</v>
      </c>
      <c r="I35" s="85">
        <v>45622</v>
      </c>
      <c r="J35" s="50">
        <f t="shared" si="9"/>
        <v>117</v>
      </c>
      <c r="K35" s="47">
        <f t="shared" si="10"/>
        <v>146</v>
      </c>
      <c r="L35" s="5">
        <v>0.03</v>
      </c>
      <c r="M35" s="6">
        <f t="shared" si="11"/>
        <v>3.51</v>
      </c>
      <c r="O35" s="78"/>
    </row>
    <row r="36" spans="1:15" ht="15" customHeight="1" x14ac:dyDescent="0.25">
      <c r="A36" s="83" t="s">
        <v>76</v>
      </c>
      <c r="B36" s="113" t="s">
        <v>18</v>
      </c>
      <c r="C36" s="95" t="s">
        <v>744</v>
      </c>
      <c r="D36" s="85">
        <v>45482</v>
      </c>
      <c r="E36" s="86">
        <v>70.2</v>
      </c>
      <c r="F36" s="86">
        <v>10.53</v>
      </c>
      <c r="G36" s="94">
        <v>65.330000000000013</v>
      </c>
      <c r="H36" s="86">
        <v>8.9499999999999993</v>
      </c>
      <c r="I36" s="85">
        <v>45622</v>
      </c>
      <c r="J36" s="50">
        <f t="shared" si="9"/>
        <v>59.67</v>
      </c>
      <c r="K36" s="47">
        <f t="shared" si="10"/>
        <v>140</v>
      </c>
      <c r="L36" s="5">
        <v>0.03</v>
      </c>
      <c r="M36" s="6">
        <f t="shared" si="11"/>
        <v>1.7901</v>
      </c>
      <c r="O36" s="78"/>
    </row>
    <row r="37" spans="1:15" ht="15" customHeight="1" x14ac:dyDescent="0.25">
      <c r="A37" s="83" t="s">
        <v>115</v>
      </c>
      <c r="B37" s="113" t="s">
        <v>18</v>
      </c>
      <c r="C37" s="95" t="s">
        <v>745</v>
      </c>
      <c r="D37" s="85">
        <v>45490</v>
      </c>
      <c r="E37" s="86">
        <v>335.28</v>
      </c>
      <c r="F37" s="86">
        <v>67.05</v>
      </c>
      <c r="G37" s="94">
        <v>293.70999999999998</v>
      </c>
      <c r="H37" s="86">
        <v>40.229999999999997</v>
      </c>
      <c r="I37" s="85">
        <v>45618</v>
      </c>
      <c r="J37" s="50">
        <f t="shared" si="9"/>
        <v>268.22999999999996</v>
      </c>
      <c r="K37" s="47">
        <f t="shared" si="10"/>
        <v>128</v>
      </c>
      <c r="L37" s="5">
        <v>0.03</v>
      </c>
      <c r="M37" s="6">
        <f t="shared" si="11"/>
        <v>8.0468999999999991</v>
      </c>
      <c r="O37" s="78"/>
    </row>
    <row r="38" spans="1:15" ht="15" customHeight="1" x14ac:dyDescent="0.25">
      <c r="A38" s="83" t="s">
        <v>118</v>
      </c>
      <c r="B38" s="107" t="s">
        <v>120</v>
      </c>
      <c r="C38" s="95" t="s">
        <v>746</v>
      </c>
      <c r="D38" s="85">
        <v>45495</v>
      </c>
      <c r="E38" s="86">
        <v>63.36</v>
      </c>
      <c r="F38" s="86">
        <v>9.5</v>
      </c>
      <c r="G38" s="94">
        <v>58.98</v>
      </c>
      <c r="H38" s="86">
        <v>8.08</v>
      </c>
      <c r="I38" s="85">
        <v>45622</v>
      </c>
      <c r="J38" s="50">
        <f t="shared" si="9"/>
        <v>53.86</v>
      </c>
      <c r="K38" s="47">
        <f t="shared" si="10"/>
        <v>127</v>
      </c>
      <c r="L38" s="5">
        <v>0.03</v>
      </c>
      <c r="M38" s="6">
        <f t="shared" si="11"/>
        <v>1.6157999999999999</v>
      </c>
      <c r="O38" s="78"/>
    </row>
    <row r="39" spans="1:15" ht="15" customHeight="1" x14ac:dyDescent="0.25">
      <c r="A39" s="83" t="s">
        <v>76</v>
      </c>
      <c r="B39" s="113" t="s">
        <v>18</v>
      </c>
      <c r="C39" s="95" t="s">
        <v>747</v>
      </c>
      <c r="D39" s="85">
        <v>45496</v>
      </c>
      <c r="E39" s="86">
        <v>10.8</v>
      </c>
      <c r="F39" s="86">
        <v>1.62</v>
      </c>
      <c r="G39" s="94">
        <v>10.06</v>
      </c>
      <c r="H39" s="86">
        <v>1.38</v>
      </c>
      <c r="I39" s="85">
        <v>45622</v>
      </c>
      <c r="J39" s="50">
        <f t="shared" si="9"/>
        <v>9.18</v>
      </c>
      <c r="K39" s="47">
        <f t="shared" si="10"/>
        <v>126</v>
      </c>
      <c r="L39" s="5">
        <v>0.03</v>
      </c>
      <c r="M39" s="6">
        <f t="shared" si="11"/>
        <v>0.27539999999999998</v>
      </c>
      <c r="O39" s="78"/>
    </row>
    <row r="40" spans="1:15" ht="15" customHeight="1" x14ac:dyDescent="0.25">
      <c r="A40" s="83" t="s">
        <v>76</v>
      </c>
      <c r="B40" s="113" t="s">
        <v>18</v>
      </c>
      <c r="C40" s="95" t="s">
        <v>748</v>
      </c>
      <c r="D40" s="85">
        <v>45502</v>
      </c>
      <c r="E40" s="86">
        <v>187.92</v>
      </c>
      <c r="F40" s="86">
        <v>28.19</v>
      </c>
      <c r="G40" s="94">
        <v>174.9</v>
      </c>
      <c r="H40" s="86">
        <v>23.96</v>
      </c>
      <c r="I40" s="85">
        <v>45622</v>
      </c>
      <c r="J40" s="50">
        <f t="shared" si="9"/>
        <v>159.72999999999999</v>
      </c>
      <c r="K40" s="47">
        <f t="shared" si="10"/>
        <v>120</v>
      </c>
      <c r="L40" s="5">
        <v>0.03</v>
      </c>
      <c r="M40" s="6">
        <f t="shared" si="11"/>
        <v>4.7918999999999992</v>
      </c>
      <c r="O40" s="78"/>
    </row>
    <row r="41" spans="1:15" ht="15" customHeight="1" x14ac:dyDescent="0.25">
      <c r="A41" s="83" t="s">
        <v>79</v>
      </c>
      <c r="B41" s="55" t="s">
        <v>30</v>
      </c>
      <c r="C41" s="95" t="s">
        <v>749</v>
      </c>
      <c r="D41" s="85">
        <v>45524</v>
      </c>
      <c r="E41" s="86">
        <v>220.2</v>
      </c>
      <c r="F41" s="86">
        <v>33.03</v>
      </c>
      <c r="G41" s="94">
        <v>204.96</v>
      </c>
      <c r="H41" s="86">
        <v>28.08</v>
      </c>
      <c r="I41" s="106">
        <v>45614</v>
      </c>
      <c r="J41" s="50">
        <f t="shared" si="9"/>
        <v>187.17</v>
      </c>
      <c r="K41" s="47">
        <f t="shared" si="10"/>
        <v>90</v>
      </c>
      <c r="L41" s="5">
        <v>0.03</v>
      </c>
      <c r="M41" s="6">
        <f t="shared" si="11"/>
        <v>5.6150999999999991</v>
      </c>
      <c r="O41" s="78"/>
    </row>
    <row r="42" spans="1:15" ht="15" customHeight="1" x14ac:dyDescent="0.25">
      <c r="A42" s="83" t="s">
        <v>115</v>
      </c>
      <c r="B42" s="55" t="s">
        <v>18</v>
      </c>
      <c r="C42" s="95" t="s">
        <v>750</v>
      </c>
      <c r="D42" s="85">
        <v>45524</v>
      </c>
      <c r="E42" s="86">
        <v>63.36</v>
      </c>
      <c r="F42" s="86">
        <v>12.66</v>
      </c>
      <c r="G42" s="94">
        <v>55.52</v>
      </c>
      <c r="H42" s="86">
        <v>7.61</v>
      </c>
      <c r="I42" s="106">
        <v>45618</v>
      </c>
      <c r="J42" s="50">
        <f t="shared" si="9"/>
        <v>50.7</v>
      </c>
      <c r="K42" s="47">
        <f t="shared" si="10"/>
        <v>94</v>
      </c>
      <c r="L42" s="5">
        <v>0.03</v>
      </c>
      <c r="M42" s="6">
        <f t="shared" si="11"/>
        <v>1.5210000000000001</v>
      </c>
      <c r="O42" s="78"/>
    </row>
    <row r="43" spans="1:15" ht="15" customHeight="1" x14ac:dyDescent="0.25">
      <c r="A43" s="83" t="s">
        <v>76</v>
      </c>
      <c r="B43" s="113" t="s">
        <v>18</v>
      </c>
      <c r="C43" s="95" t="s">
        <v>751</v>
      </c>
      <c r="D43" s="85">
        <v>45525</v>
      </c>
      <c r="E43" s="86">
        <v>117</v>
      </c>
      <c r="F43" s="86">
        <v>17.55</v>
      </c>
      <c r="G43" s="94">
        <v>108.9</v>
      </c>
      <c r="H43" s="86">
        <v>14.92</v>
      </c>
      <c r="I43" s="106">
        <v>45622</v>
      </c>
      <c r="J43" s="50">
        <f t="shared" si="9"/>
        <v>99.45</v>
      </c>
      <c r="K43" s="47">
        <f t="shared" si="10"/>
        <v>97</v>
      </c>
      <c r="L43" s="5">
        <v>0.03</v>
      </c>
      <c r="M43" s="6">
        <f t="shared" si="11"/>
        <v>2.9834999999999998</v>
      </c>
      <c r="O43" s="78"/>
    </row>
    <row r="44" spans="1:15" ht="15" customHeight="1" x14ac:dyDescent="0.25">
      <c r="A44" s="83" t="s">
        <v>76</v>
      </c>
      <c r="B44" s="113" t="s">
        <v>18</v>
      </c>
      <c r="C44" s="95" t="s">
        <v>752</v>
      </c>
      <c r="D44" s="85">
        <v>45527</v>
      </c>
      <c r="E44" s="86">
        <v>59.4</v>
      </c>
      <c r="F44" s="86">
        <v>8.91</v>
      </c>
      <c r="G44" s="94">
        <v>55.29</v>
      </c>
      <c r="H44" s="86">
        <v>7.57</v>
      </c>
      <c r="I44" s="106">
        <v>45622</v>
      </c>
      <c r="J44" s="50">
        <f t="shared" si="9"/>
        <v>50.489999999999995</v>
      </c>
      <c r="K44" s="47">
        <f t="shared" si="10"/>
        <v>95</v>
      </c>
      <c r="L44" s="5">
        <v>0.03</v>
      </c>
      <c r="M44" s="6">
        <f t="shared" si="11"/>
        <v>1.5146999999999997</v>
      </c>
      <c r="O44" s="78"/>
    </row>
    <row r="45" spans="1:15" ht="15" customHeight="1" x14ac:dyDescent="0.25">
      <c r="A45" s="83" t="s">
        <v>76</v>
      </c>
      <c r="B45" s="113" t="s">
        <v>18</v>
      </c>
      <c r="C45" s="95" t="s">
        <v>753</v>
      </c>
      <c r="D45" s="85">
        <v>45531</v>
      </c>
      <c r="E45" s="86">
        <v>304.2</v>
      </c>
      <c r="F45" s="86">
        <v>45.63</v>
      </c>
      <c r="G45" s="94">
        <v>283.13000000000005</v>
      </c>
      <c r="H45" s="86">
        <v>38.79</v>
      </c>
      <c r="I45" s="106">
        <v>45622</v>
      </c>
      <c r="J45" s="50">
        <f t="shared" si="9"/>
        <v>258.57</v>
      </c>
      <c r="K45" s="47">
        <f t="shared" si="10"/>
        <v>91</v>
      </c>
      <c r="L45" s="5">
        <v>0.03</v>
      </c>
      <c r="M45" s="6">
        <f t="shared" si="11"/>
        <v>7.7570999999999994</v>
      </c>
      <c r="O45" s="78"/>
    </row>
    <row r="46" spans="1:15" ht="15" customHeight="1" x14ac:dyDescent="0.25">
      <c r="A46" s="83" t="s">
        <v>76</v>
      </c>
      <c r="B46" s="113" t="s">
        <v>18</v>
      </c>
      <c r="C46" s="95" t="s">
        <v>754</v>
      </c>
      <c r="D46" s="85">
        <v>45538</v>
      </c>
      <c r="E46" s="86">
        <v>77.760000000000005</v>
      </c>
      <c r="F46" s="86">
        <v>11.66</v>
      </c>
      <c r="G46" s="94">
        <v>72.38</v>
      </c>
      <c r="H46" s="86">
        <v>9.92</v>
      </c>
      <c r="I46" s="106">
        <v>45622</v>
      </c>
      <c r="J46" s="50">
        <f t="shared" si="9"/>
        <v>66.100000000000009</v>
      </c>
      <c r="K46" s="47">
        <f t="shared" si="10"/>
        <v>84</v>
      </c>
      <c r="L46" s="5">
        <v>0.03</v>
      </c>
      <c r="M46" s="6">
        <f t="shared" si="11"/>
        <v>1.9830000000000001</v>
      </c>
      <c r="O46" s="78"/>
    </row>
    <row r="47" spans="1:15" ht="15" customHeight="1" x14ac:dyDescent="0.25">
      <c r="A47" s="83" t="s">
        <v>76</v>
      </c>
      <c r="B47" s="113" t="s">
        <v>18</v>
      </c>
      <c r="C47" s="95" t="s">
        <v>755</v>
      </c>
      <c r="D47" s="85">
        <v>45538</v>
      </c>
      <c r="E47" s="86">
        <v>21.6</v>
      </c>
      <c r="F47" s="86">
        <v>3.24</v>
      </c>
      <c r="G47" s="94">
        <v>20.100000000000001</v>
      </c>
      <c r="H47" s="86">
        <v>2.75</v>
      </c>
      <c r="I47" s="106">
        <v>45622</v>
      </c>
      <c r="J47" s="50">
        <f t="shared" si="9"/>
        <v>18.36</v>
      </c>
      <c r="K47" s="47">
        <f t="shared" si="10"/>
        <v>84</v>
      </c>
      <c r="L47" s="5">
        <v>0.03</v>
      </c>
      <c r="M47" s="6">
        <f t="shared" si="11"/>
        <v>0.55079999999999996</v>
      </c>
      <c r="O47" s="78"/>
    </row>
    <row r="48" spans="1:15" ht="15" customHeight="1" x14ac:dyDescent="0.25">
      <c r="A48" s="83" t="s">
        <v>76</v>
      </c>
      <c r="B48" s="113" t="s">
        <v>18</v>
      </c>
      <c r="C48" s="95" t="s">
        <v>756</v>
      </c>
      <c r="D48" s="85">
        <v>45546</v>
      </c>
      <c r="E48" s="86">
        <v>238.8</v>
      </c>
      <c r="F48" s="86">
        <v>35.82</v>
      </c>
      <c r="G48" s="94">
        <v>222.26</v>
      </c>
      <c r="H48" s="86">
        <v>30.45</v>
      </c>
      <c r="I48" s="106">
        <v>45622</v>
      </c>
      <c r="J48" s="50">
        <f t="shared" si="9"/>
        <v>202.98000000000002</v>
      </c>
      <c r="K48" s="47">
        <f t="shared" si="10"/>
        <v>76</v>
      </c>
      <c r="L48" s="5">
        <v>0.03</v>
      </c>
      <c r="M48" s="6">
        <f t="shared" si="11"/>
        <v>6.0894000000000004</v>
      </c>
      <c r="O48" s="78"/>
    </row>
    <row r="49" spans="1:15" ht="15" customHeight="1" x14ac:dyDescent="0.25">
      <c r="A49" s="83" t="s">
        <v>60</v>
      </c>
      <c r="B49" s="160" t="s">
        <v>61</v>
      </c>
      <c r="C49" s="95" t="s">
        <v>707</v>
      </c>
      <c r="D49" s="85">
        <v>45561</v>
      </c>
      <c r="E49" s="86">
        <v>232.68</v>
      </c>
      <c r="F49" s="86">
        <v>34.9</v>
      </c>
      <c r="G49" s="94">
        <v>100</v>
      </c>
      <c r="H49" s="86">
        <v>29.67</v>
      </c>
      <c r="I49" s="106">
        <v>45593</v>
      </c>
      <c r="J49" s="50">
        <f>100/1.15</f>
        <v>86.956521739130437</v>
      </c>
      <c r="K49" s="47">
        <f t="shared" si="10"/>
        <v>32</v>
      </c>
      <c r="L49" s="5">
        <v>0.03</v>
      </c>
      <c r="M49" s="6">
        <f t="shared" si="11"/>
        <v>2.6086956521739131</v>
      </c>
      <c r="O49" s="78"/>
    </row>
    <row r="50" spans="1:15" ht="15" customHeight="1" x14ac:dyDescent="0.25">
      <c r="A50" s="83" t="s">
        <v>56</v>
      </c>
      <c r="B50" s="160" t="s">
        <v>57</v>
      </c>
      <c r="C50" s="95" t="s">
        <v>757</v>
      </c>
      <c r="D50" s="85">
        <v>45561</v>
      </c>
      <c r="E50" s="86">
        <v>141.72</v>
      </c>
      <c r="F50" s="86">
        <v>21.25</v>
      </c>
      <c r="G50" s="94">
        <v>138.54</v>
      </c>
      <c r="H50" s="86">
        <v>18.07</v>
      </c>
      <c r="I50" s="106">
        <v>45597</v>
      </c>
      <c r="J50" s="50">
        <f t="shared" ref="J50:J59" si="12">+E50-F50</f>
        <v>120.47</v>
      </c>
      <c r="K50" s="47">
        <f t="shared" si="10"/>
        <v>36</v>
      </c>
      <c r="L50" s="5">
        <v>0.03</v>
      </c>
      <c r="M50" s="6">
        <f t="shared" si="11"/>
        <v>3.6140999999999996</v>
      </c>
      <c r="O50" s="78"/>
    </row>
    <row r="51" spans="1:15" ht="15" customHeight="1" x14ac:dyDescent="0.25">
      <c r="A51" s="83" t="s">
        <v>741</v>
      </c>
      <c r="B51" s="160" t="s">
        <v>30</v>
      </c>
      <c r="C51" s="95" t="s">
        <v>758</v>
      </c>
      <c r="D51" s="85">
        <v>45562</v>
      </c>
      <c r="E51" s="86">
        <v>225.48</v>
      </c>
      <c r="F51" s="86">
        <v>29.29</v>
      </c>
      <c r="G51" s="94">
        <v>225.62</v>
      </c>
      <c r="H51" s="86">
        <v>29.43</v>
      </c>
      <c r="I51" s="106">
        <v>45617</v>
      </c>
      <c r="J51" s="50">
        <f t="shared" si="12"/>
        <v>196.19</v>
      </c>
      <c r="K51" s="47">
        <f t="shared" si="10"/>
        <v>55</v>
      </c>
      <c r="L51" s="5">
        <v>0.03</v>
      </c>
      <c r="M51" s="6">
        <f t="shared" si="11"/>
        <v>5.8856999999999999</v>
      </c>
      <c r="O51" s="78"/>
    </row>
    <row r="52" spans="1:15" ht="15" customHeight="1" x14ac:dyDescent="0.25">
      <c r="A52" s="83" t="s">
        <v>54</v>
      </c>
      <c r="B52" s="113" t="s">
        <v>32</v>
      </c>
      <c r="C52" s="95" t="s">
        <v>759</v>
      </c>
      <c r="D52" s="85">
        <v>45565</v>
      </c>
      <c r="E52" s="86">
        <v>365.52</v>
      </c>
      <c r="F52" s="86">
        <v>62.15</v>
      </c>
      <c r="G52" s="94">
        <v>332.20000000000005</v>
      </c>
      <c r="H52" s="86">
        <v>45.51</v>
      </c>
      <c r="I52" s="106">
        <v>45597</v>
      </c>
      <c r="J52" s="50">
        <f t="shared" si="12"/>
        <v>303.37</v>
      </c>
      <c r="K52" s="47">
        <f t="shared" si="10"/>
        <v>32</v>
      </c>
      <c r="L52" s="5">
        <v>0.03</v>
      </c>
      <c r="M52" s="6">
        <f t="shared" si="11"/>
        <v>9.1011000000000006</v>
      </c>
      <c r="O52" s="78"/>
    </row>
    <row r="53" spans="1:15" ht="15" customHeight="1" x14ac:dyDescent="0.25">
      <c r="A53" s="83" t="s">
        <v>54</v>
      </c>
      <c r="B53" s="113" t="s">
        <v>32</v>
      </c>
      <c r="C53" s="95" t="s">
        <v>760</v>
      </c>
      <c r="D53" s="85">
        <v>45565</v>
      </c>
      <c r="E53" s="86">
        <v>70.2</v>
      </c>
      <c r="F53" s="86">
        <v>11.94</v>
      </c>
      <c r="G53" s="94">
        <v>63.800000000000004</v>
      </c>
      <c r="H53" s="86">
        <v>8.74</v>
      </c>
      <c r="I53" s="106">
        <v>45597</v>
      </c>
      <c r="J53" s="50">
        <f t="shared" si="12"/>
        <v>58.260000000000005</v>
      </c>
      <c r="K53" s="47">
        <f t="shared" si="10"/>
        <v>32</v>
      </c>
      <c r="L53" s="5">
        <v>0.03</v>
      </c>
      <c r="M53" s="6">
        <f t="shared" si="11"/>
        <v>1.7478</v>
      </c>
      <c r="O53" s="78"/>
    </row>
    <row r="54" spans="1:15" ht="15" customHeight="1" x14ac:dyDescent="0.25">
      <c r="A54" s="83" t="s">
        <v>71</v>
      </c>
      <c r="B54" s="107" t="s">
        <v>24</v>
      </c>
      <c r="C54" s="95" t="s">
        <v>761</v>
      </c>
      <c r="D54" s="85">
        <v>45582</v>
      </c>
      <c r="E54" s="86">
        <v>839.4</v>
      </c>
      <c r="F54" s="86">
        <v>209.85</v>
      </c>
      <c r="G54" s="94">
        <v>723.98</v>
      </c>
      <c r="H54" s="86">
        <v>94.43</v>
      </c>
      <c r="I54" s="106">
        <v>45597</v>
      </c>
      <c r="J54" s="50">
        <f t="shared" si="12"/>
        <v>629.54999999999995</v>
      </c>
      <c r="K54" s="47">
        <f t="shared" si="10"/>
        <v>15</v>
      </c>
      <c r="L54" s="5">
        <v>3.5000000000000003E-2</v>
      </c>
      <c r="M54" s="6">
        <f t="shared" si="11"/>
        <v>22.03425</v>
      </c>
      <c r="O54" s="78"/>
    </row>
    <row r="55" spans="1:15" ht="15" customHeight="1" x14ac:dyDescent="0.25">
      <c r="A55" s="83" t="s">
        <v>55</v>
      </c>
      <c r="B55" s="160" t="s">
        <v>30</v>
      </c>
      <c r="C55" s="95" t="s">
        <v>762</v>
      </c>
      <c r="D55" s="85">
        <v>45586</v>
      </c>
      <c r="E55" s="86">
        <v>25.08</v>
      </c>
      <c r="F55" s="86">
        <v>5.0199999999999996</v>
      </c>
      <c r="G55" s="94">
        <v>23.07</v>
      </c>
      <c r="H55" s="86">
        <v>3.01</v>
      </c>
      <c r="I55" s="106">
        <v>45604</v>
      </c>
      <c r="J55" s="50">
        <f t="shared" si="12"/>
        <v>20.059999999999999</v>
      </c>
      <c r="K55" s="47">
        <f t="shared" si="10"/>
        <v>18</v>
      </c>
      <c r="L55" s="5">
        <v>3.5000000000000003E-2</v>
      </c>
      <c r="M55" s="6">
        <f t="shared" si="11"/>
        <v>0.70210000000000006</v>
      </c>
      <c r="O55" s="78"/>
    </row>
    <row r="56" spans="1:15" ht="15" customHeight="1" x14ac:dyDescent="0.25">
      <c r="A56" s="83" t="s">
        <v>55</v>
      </c>
      <c r="B56" s="160" t="s">
        <v>30</v>
      </c>
      <c r="C56" s="95" t="s">
        <v>763</v>
      </c>
      <c r="D56" s="85">
        <v>45586</v>
      </c>
      <c r="E56" s="86">
        <v>322.2</v>
      </c>
      <c r="F56" s="86">
        <v>64.44</v>
      </c>
      <c r="G56" s="94">
        <v>296.42</v>
      </c>
      <c r="H56" s="86">
        <v>38.659999999999997</v>
      </c>
      <c r="I56" s="106">
        <v>45604</v>
      </c>
      <c r="J56" s="50">
        <f t="shared" si="12"/>
        <v>257.76</v>
      </c>
      <c r="K56" s="47">
        <f t="shared" si="10"/>
        <v>18</v>
      </c>
      <c r="L56" s="5">
        <v>3.5000000000000003E-2</v>
      </c>
      <c r="M56" s="6">
        <f t="shared" si="11"/>
        <v>9.0216000000000012</v>
      </c>
      <c r="O56" s="78"/>
    </row>
    <row r="57" spans="1:15" ht="15" customHeight="1" x14ac:dyDescent="0.25">
      <c r="A57" s="83" t="s">
        <v>71</v>
      </c>
      <c r="B57" s="107" t="s">
        <v>24</v>
      </c>
      <c r="C57" s="95" t="s">
        <v>764</v>
      </c>
      <c r="D57" s="85">
        <v>45587</v>
      </c>
      <c r="E57" s="86">
        <v>969.6</v>
      </c>
      <c r="F57" s="86">
        <v>242.4</v>
      </c>
      <c r="G57" s="94">
        <v>836.28</v>
      </c>
      <c r="H57" s="86">
        <v>109.08</v>
      </c>
      <c r="I57" s="106">
        <v>45597</v>
      </c>
      <c r="J57" s="50">
        <f t="shared" si="12"/>
        <v>727.2</v>
      </c>
      <c r="K57" s="47">
        <f t="shared" si="10"/>
        <v>10</v>
      </c>
      <c r="L57" s="5">
        <v>3.5000000000000003E-2</v>
      </c>
      <c r="M57" s="6">
        <f t="shared" si="11"/>
        <v>25.452000000000005</v>
      </c>
      <c r="O57" s="78"/>
    </row>
    <row r="58" spans="1:15" ht="15" customHeight="1" x14ac:dyDescent="0.25">
      <c r="A58" s="83" t="s">
        <v>44</v>
      </c>
      <c r="B58" s="55" t="s">
        <v>18</v>
      </c>
      <c r="C58" s="95" t="s">
        <v>765</v>
      </c>
      <c r="D58" s="85">
        <v>45595</v>
      </c>
      <c r="E58" s="86">
        <v>40.799999999999997</v>
      </c>
      <c r="F58" s="86">
        <v>6.12</v>
      </c>
      <c r="G58" s="94">
        <v>37.97</v>
      </c>
      <c r="H58" s="86">
        <v>5.2</v>
      </c>
      <c r="I58" s="85">
        <v>45597</v>
      </c>
      <c r="J58" s="50">
        <f t="shared" si="12"/>
        <v>34.68</v>
      </c>
      <c r="K58" s="47">
        <f t="shared" si="10"/>
        <v>2</v>
      </c>
      <c r="L58" s="5">
        <v>0.04</v>
      </c>
      <c r="M58" s="6">
        <f t="shared" si="11"/>
        <v>1.3872</v>
      </c>
      <c r="O58" s="78"/>
    </row>
    <row r="59" spans="1:15" s="52" customFormat="1" ht="15" customHeight="1" x14ac:dyDescent="0.25">
      <c r="A59" s="91" t="s">
        <v>704</v>
      </c>
      <c r="B59" s="160" t="s">
        <v>30</v>
      </c>
      <c r="C59" s="93" t="s">
        <v>766</v>
      </c>
      <c r="D59" s="88">
        <v>45602</v>
      </c>
      <c r="E59" s="92">
        <v>90</v>
      </c>
      <c r="F59" s="92">
        <v>13.5</v>
      </c>
      <c r="G59" s="96">
        <v>87.98</v>
      </c>
      <c r="H59" s="92">
        <v>11.48</v>
      </c>
      <c r="I59" s="106">
        <v>45624</v>
      </c>
      <c r="J59" s="50">
        <f t="shared" si="12"/>
        <v>76.5</v>
      </c>
      <c r="K59" s="47">
        <f t="shared" si="10"/>
        <v>22</v>
      </c>
      <c r="L59" s="5">
        <v>3.5000000000000003E-2</v>
      </c>
      <c r="M59" s="49">
        <f t="shared" si="11"/>
        <v>2.6775000000000002</v>
      </c>
      <c r="N59" s="60"/>
      <c r="O59" s="78"/>
    </row>
    <row r="60" spans="1:15" ht="15" customHeight="1" x14ac:dyDescent="0.25">
      <c r="A60" s="171" t="s">
        <v>43</v>
      </c>
      <c r="B60" s="113" t="s">
        <v>18</v>
      </c>
      <c r="C60" s="171" t="s">
        <v>767</v>
      </c>
      <c r="D60" s="172">
        <v>45617</v>
      </c>
      <c r="E60" s="87">
        <v>36.96</v>
      </c>
      <c r="F60" s="87">
        <v>0</v>
      </c>
      <c r="G60" s="94">
        <v>42.5</v>
      </c>
      <c r="H60" s="87">
        <v>5.54</v>
      </c>
      <c r="I60" s="106">
        <v>45618</v>
      </c>
      <c r="J60" s="50">
        <f t="shared" ref="J60" si="13">+E60-F60</f>
        <v>36.96</v>
      </c>
      <c r="K60" s="47">
        <f t="shared" ref="K60" si="14">+I60-D60</f>
        <v>1</v>
      </c>
      <c r="L60" s="5">
        <v>0.04</v>
      </c>
      <c r="M60" s="6">
        <f t="shared" ref="M60" si="15">+J60*L60</f>
        <v>1.4784000000000002</v>
      </c>
      <c r="O60" s="78"/>
    </row>
    <row r="61" spans="1:15" ht="15" customHeight="1" x14ac:dyDescent="0.25">
      <c r="A61" s="115"/>
      <c r="B61" s="136"/>
      <c r="C61" s="117"/>
      <c r="D61" s="118"/>
      <c r="E61" s="119"/>
      <c r="F61" s="119"/>
      <c r="G61" s="120"/>
      <c r="H61" s="119"/>
      <c r="I61" s="121"/>
      <c r="J61" s="50"/>
      <c r="K61" s="47"/>
      <c r="L61" s="5"/>
      <c r="M61" s="6"/>
      <c r="O61" s="78"/>
    </row>
    <row r="62" spans="1:15" ht="15" customHeight="1" x14ac:dyDescent="0.3">
      <c r="G62" s="16">
        <f>SUM(G34:G61)</f>
        <v>4727.3200000000006</v>
      </c>
      <c r="J62" s="16">
        <f>SUM(J34:J61)</f>
        <v>4209.116521739129</v>
      </c>
      <c r="M62" s="16">
        <f>SUM(M34:M61)</f>
        <v>135.54524565217392</v>
      </c>
    </row>
    <row r="63" spans="1:15" ht="15" customHeight="1" x14ac:dyDescent="0.25">
      <c r="G63" s="8"/>
      <c r="H63" s="8"/>
    </row>
    <row r="64" spans="1:15" ht="15" customHeight="1" x14ac:dyDescent="0.25">
      <c r="A64" s="17" t="s">
        <v>19</v>
      </c>
      <c r="B64" s="17" t="s">
        <v>20</v>
      </c>
      <c r="C64" s="18" t="s">
        <v>21</v>
      </c>
      <c r="I64" s="8"/>
      <c r="J64" s="8"/>
    </row>
    <row r="65" spans="1:15" s="52" customFormat="1" ht="15" customHeight="1" x14ac:dyDescent="0.25">
      <c r="A65" s="91" t="s">
        <v>99</v>
      </c>
      <c r="B65" s="101" t="s">
        <v>768</v>
      </c>
      <c r="C65" s="93" t="s">
        <v>769</v>
      </c>
      <c r="D65" s="88">
        <v>45442</v>
      </c>
      <c r="E65" s="92">
        <v>525.96</v>
      </c>
      <c r="F65" s="92">
        <v>78.89</v>
      </c>
      <c r="G65" s="90">
        <f>514.13-4.47-20.12</f>
        <v>489.53999999999996</v>
      </c>
      <c r="H65" s="92">
        <v>67.06</v>
      </c>
      <c r="I65" s="105">
        <v>45628</v>
      </c>
      <c r="J65" s="50">
        <f t="shared" ref="J65" si="16">+E65-F65</f>
        <v>447.07000000000005</v>
      </c>
      <c r="K65" s="47">
        <f t="shared" ref="K65" si="17">+I65-D65</f>
        <v>186</v>
      </c>
      <c r="L65" s="48">
        <v>0.03</v>
      </c>
      <c r="M65" s="49">
        <f t="shared" ref="M65" si="18">+J65*L65</f>
        <v>13.412100000000001</v>
      </c>
      <c r="N65" s="60"/>
      <c r="O65" s="78"/>
    </row>
    <row r="66" spans="1:15" s="52" customFormat="1" ht="15" customHeight="1" x14ac:dyDescent="0.25">
      <c r="A66" s="91" t="s">
        <v>102</v>
      </c>
      <c r="B66" s="101" t="s">
        <v>770</v>
      </c>
      <c r="C66" s="93" t="s">
        <v>771</v>
      </c>
      <c r="D66" s="88">
        <v>45610</v>
      </c>
      <c r="E66" s="92">
        <v>127.8</v>
      </c>
      <c r="F66" s="92">
        <v>19.170000000000002</v>
      </c>
      <c r="G66" s="96">
        <f>124.92-1.09-4.89</f>
        <v>118.94</v>
      </c>
      <c r="H66" s="92">
        <v>16.29</v>
      </c>
      <c r="I66" s="106">
        <v>45639</v>
      </c>
      <c r="J66" s="50">
        <f t="shared" ref="J66" si="19">+E66-F66</f>
        <v>108.63</v>
      </c>
      <c r="K66" s="47">
        <f t="shared" ref="K66" si="20">+I66-D66</f>
        <v>29</v>
      </c>
      <c r="L66" s="48">
        <v>0.03</v>
      </c>
      <c r="M66" s="49">
        <f t="shared" ref="M66" si="21">+J66*L66</f>
        <v>3.2588999999999997</v>
      </c>
      <c r="N66" s="60"/>
      <c r="O66" s="78"/>
    </row>
    <row r="67" spans="1:15" s="1" customFormat="1" ht="15" customHeight="1" thickBot="1" x14ac:dyDescent="0.3">
      <c r="A67" s="152"/>
      <c r="B67" s="153"/>
      <c r="C67" s="154"/>
      <c r="D67" s="155"/>
      <c r="E67" s="156"/>
      <c r="F67" s="156"/>
      <c r="G67" s="90"/>
      <c r="H67" s="92"/>
      <c r="I67" s="105"/>
      <c r="J67" s="50"/>
      <c r="K67" s="47"/>
      <c r="L67" s="48"/>
      <c r="M67" s="53"/>
      <c r="N67" s="74"/>
      <c r="O67" s="78"/>
    </row>
    <row r="68" spans="1:15" ht="15" customHeight="1" thickBot="1" x14ac:dyDescent="0.35">
      <c r="A68" s="332" t="s">
        <v>29</v>
      </c>
      <c r="B68" s="332"/>
      <c r="C68" s="332"/>
      <c r="D68" s="332"/>
      <c r="E68" s="332"/>
      <c r="F68" s="332"/>
      <c r="G68" s="16">
        <f>SUM(G62:G67)</f>
        <v>5335.8</v>
      </c>
      <c r="J68" s="16">
        <f>SUM(J62:J67)</f>
        <v>4764.8165217391288</v>
      </c>
      <c r="L68" s="20"/>
      <c r="M68" s="21">
        <f>SUM(M62:M67)</f>
        <v>152.21624565217394</v>
      </c>
    </row>
    <row r="69" spans="1:15" ht="15" customHeight="1" x14ac:dyDescent="0.3">
      <c r="A69" s="22"/>
      <c r="G69" s="8"/>
    </row>
    <row r="70" spans="1:15" ht="15" customHeight="1" x14ac:dyDescent="0.3">
      <c r="A70" s="39"/>
      <c r="G70" s="8"/>
      <c r="J70" s="8"/>
    </row>
    <row r="71" spans="1:15" ht="15" customHeight="1" x14ac:dyDescent="0.3">
      <c r="A71" s="39"/>
      <c r="G71" s="8"/>
      <c r="J71" s="8"/>
    </row>
    <row r="72" spans="1:15" ht="15" customHeight="1" x14ac:dyDescent="0.3">
      <c r="A72" s="39"/>
      <c r="G72" s="8"/>
      <c r="J72" s="8"/>
    </row>
    <row r="73" spans="1:15" ht="15" customHeight="1" x14ac:dyDescent="0.3">
      <c r="A73" s="39"/>
      <c r="G73" s="8"/>
      <c r="J73" s="8"/>
    </row>
    <row r="74" spans="1:15" ht="15" customHeight="1" x14ac:dyDescent="0.3">
      <c r="A74" s="39"/>
      <c r="G74" s="8"/>
      <c r="J74" s="8"/>
    </row>
    <row r="75" spans="1:15" ht="15" customHeight="1" x14ac:dyDescent="0.3">
      <c r="A75" s="39"/>
      <c r="G75" s="8"/>
      <c r="J75" s="8">
        <f>(J22+J68)*2%</f>
        <v>159.49507826086952</v>
      </c>
      <c r="M75" s="8">
        <f>M22/12</f>
        <v>8.1655434782608705</v>
      </c>
      <c r="N75" s="59" t="s">
        <v>342</v>
      </c>
    </row>
    <row r="76" spans="1:15" ht="15" customHeight="1" x14ac:dyDescent="0.3">
      <c r="A76" s="39"/>
      <c r="G76" s="8"/>
      <c r="J76" s="185">
        <f>J75/12</f>
        <v>13.291256521739127</v>
      </c>
      <c r="M76" s="8">
        <f>M22/24</f>
        <v>4.0827717391304352</v>
      </c>
      <c r="N76" s="59" t="s">
        <v>342</v>
      </c>
    </row>
    <row r="77" spans="1:15" ht="15" customHeight="1" x14ac:dyDescent="0.3">
      <c r="A77" s="39"/>
      <c r="G77" s="8"/>
      <c r="J77" s="185">
        <f>J75/24</f>
        <v>6.6456282608695636</v>
      </c>
      <c r="M77" s="8">
        <f>M68/12</f>
        <v>12.684687137681161</v>
      </c>
      <c r="N77" s="59" t="s">
        <v>341</v>
      </c>
      <c r="O77" s="8"/>
    </row>
    <row r="78" spans="1:15" ht="15" customHeight="1" x14ac:dyDescent="0.3">
      <c r="A78" s="39"/>
      <c r="G78" s="8"/>
      <c r="J78" s="8"/>
      <c r="M78" s="8">
        <f>M68/24</f>
        <v>6.3423435688405805</v>
      </c>
      <c r="N78" s="59" t="s">
        <v>341</v>
      </c>
      <c r="O78" s="8"/>
    </row>
    <row r="79" spans="1:15" ht="15" customHeight="1" x14ac:dyDescent="0.3">
      <c r="A79" s="39"/>
      <c r="G79" s="8"/>
      <c r="J79" s="8"/>
      <c r="M79" s="8"/>
    </row>
    <row r="80" spans="1:15" ht="15" customHeight="1" x14ac:dyDescent="0.3">
      <c r="A80" s="39"/>
      <c r="G80" s="8"/>
      <c r="J80" s="8"/>
      <c r="M80" s="8">
        <f>M75+M77</f>
        <v>20.850230615942031</v>
      </c>
      <c r="N80" s="186" t="s">
        <v>877</v>
      </c>
    </row>
    <row r="81" spans="1:14" ht="15" customHeight="1" x14ac:dyDescent="0.3">
      <c r="A81" s="39"/>
      <c r="G81" s="8"/>
      <c r="J81" s="8"/>
      <c r="M81" s="8">
        <f>M76+M78</f>
        <v>10.425115307971016</v>
      </c>
      <c r="N81" s="186" t="s">
        <v>878</v>
      </c>
    </row>
    <row r="82" spans="1:14" ht="15" customHeight="1" x14ac:dyDescent="0.3">
      <c r="A82" s="39"/>
      <c r="G82" s="8"/>
      <c r="J82" s="8"/>
    </row>
    <row r="83" spans="1:14" ht="15" customHeight="1" x14ac:dyDescent="0.3">
      <c r="A83" s="39"/>
      <c r="G83" s="8"/>
      <c r="J83" s="8"/>
    </row>
    <row r="84" spans="1:14" ht="15" customHeight="1" x14ac:dyDescent="0.3">
      <c r="A84" s="39"/>
      <c r="G84" s="8"/>
      <c r="J84" s="8"/>
    </row>
    <row r="85" spans="1:14" ht="15" customHeight="1" x14ac:dyDescent="0.3">
      <c r="A85" s="22"/>
      <c r="J85" s="15"/>
      <c r="K85" s="15"/>
    </row>
  </sheetData>
  <sortState xmlns:xlrd2="http://schemas.microsoft.com/office/spreadsheetml/2017/richdata2" ref="A34:AD59">
    <sortCondition ref="C34:C59"/>
  </sortState>
  <mergeCells count="7">
    <mergeCell ref="A68:F68"/>
    <mergeCell ref="A2:F2"/>
    <mergeCell ref="A3:F3"/>
    <mergeCell ref="A16:F16"/>
    <mergeCell ref="A22:F22"/>
    <mergeCell ref="A26:F26"/>
    <mergeCell ref="A29:F29"/>
  </mergeCells>
  <pageMargins left="0.39370078740157483" right="0" top="0.39370078740157483" bottom="0" header="0" footer="0"/>
  <pageSetup paperSize="9" scale="90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75"/>
  <sheetViews>
    <sheetView topLeftCell="G56" workbookViewId="0">
      <selection activeCell="J67" sqref="J67"/>
    </sheetView>
  </sheetViews>
  <sheetFormatPr baseColWidth="10" defaultColWidth="11.44140625" defaultRowHeight="13.2" x14ac:dyDescent="0.25"/>
  <cols>
    <col min="1" max="1" width="37.33203125" style="7" customWidth="1"/>
    <col min="2" max="2" width="30" style="7" customWidth="1"/>
    <col min="3" max="3" width="25.5546875" style="19" customWidth="1"/>
    <col min="4" max="4" width="12.109375" style="63" customWidth="1"/>
    <col min="5" max="5" width="12.6640625" style="7" customWidth="1"/>
    <col min="6" max="6" width="9.44140625" style="7" customWidth="1"/>
    <col min="7" max="7" width="11.88671875" style="7" customWidth="1"/>
    <col min="8" max="8" width="8.88671875" style="7" customWidth="1"/>
    <col min="9" max="9" width="11.88671875" style="63" customWidth="1"/>
    <col min="10" max="10" width="12.5546875" style="7" customWidth="1"/>
    <col min="11" max="11" width="8" style="7" customWidth="1"/>
    <col min="12" max="12" width="6.44140625" style="7" customWidth="1"/>
    <col min="13" max="13" width="10.33203125" style="7" customWidth="1"/>
    <col min="14" max="14" width="24.33203125" style="59" customWidth="1"/>
    <col min="15" max="16" width="8" style="7" customWidth="1"/>
    <col min="17" max="16384" width="11.44140625" style="7"/>
  </cols>
  <sheetData>
    <row r="1" spans="1:15" ht="15" customHeight="1" x14ac:dyDescent="0.25">
      <c r="B1" s="8"/>
      <c r="C1" s="181"/>
      <c r="G1" s="8"/>
    </row>
    <row r="2" spans="1:15" ht="15" customHeight="1" x14ac:dyDescent="0.25">
      <c r="A2" s="30"/>
      <c r="B2" s="30"/>
      <c r="C2" s="30"/>
      <c r="D2" s="30"/>
      <c r="E2" s="30"/>
      <c r="F2" s="30"/>
      <c r="G2" s="24"/>
      <c r="H2" s="24"/>
      <c r="I2" s="65"/>
      <c r="J2" s="26"/>
      <c r="K2" s="27"/>
      <c r="L2" s="28"/>
      <c r="M2" s="29"/>
    </row>
    <row r="3" spans="1:15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65"/>
      <c r="J3" s="27"/>
      <c r="K3" s="27"/>
      <c r="L3" s="28"/>
      <c r="M3" s="29"/>
    </row>
    <row r="4" spans="1:15" ht="15" customHeight="1" x14ac:dyDescent="0.25">
      <c r="A4" s="30"/>
      <c r="B4" s="31" t="s">
        <v>773</v>
      </c>
      <c r="C4" s="30"/>
      <c r="D4" s="64"/>
      <c r="E4" s="30"/>
      <c r="F4" s="30"/>
      <c r="G4" s="24"/>
      <c r="H4" s="25"/>
      <c r="I4" s="65"/>
      <c r="J4" s="27"/>
      <c r="K4" s="27"/>
      <c r="L4" s="28"/>
      <c r="M4" s="29"/>
    </row>
    <row r="5" spans="1:15" ht="15" customHeight="1" thickBot="1" x14ac:dyDescent="0.3">
      <c r="A5" s="30"/>
      <c r="B5" s="31" t="s">
        <v>22</v>
      </c>
      <c r="C5" s="30"/>
      <c r="D5" s="64"/>
      <c r="E5" s="30"/>
      <c r="F5" s="30"/>
      <c r="G5" s="32"/>
      <c r="H5" s="24"/>
      <c r="I5" s="69"/>
      <c r="J5" s="33"/>
      <c r="K5" s="27"/>
      <c r="L5" s="28"/>
      <c r="M5" s="29"/>
    </row>
    <row r="6" spans="1:15" ht="15" customHeight="1" x14ac:dyDescent="0.25">
      <c r="A6" s="34"/>
      <c r="B6" s="33"/>
      <c r="C6" s="182"/>
      <c r="D6" s="65"/>
      <c r="E6" s="33"/>
      <c r="F6" s="33"/>
      <c r="G6" s="35" t="s">
        <v>3</v>
      </c>
      <c r="H6" s="27"/>
      <c r="I6" s="65"/>
      <c r="J6" s="36" t="s">
        <v>4</v>
      </c>
      <c r="K6" s="56" t="s">
        <v>5</v>
      </c>
      <c r="L6" s="40" t="s">
        <v>6</v>
      </c>
      <c r="M6" s="36" t="s">
        <v>7</v>
      </c>
    </row>
    <row r="7" spans="1:15" ht="15" customHeight="1" x14ac:dyDescent="0.25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62" t="s">
        <v>13</v>
      </c>
      <c r="H7" s="13" t="s">
        <v>14</v>
      </c>
      <c r="I7" s="70" t="s">
        <v>15</v>
      </c>
      <c r="J7" s="14" t="s">
        <v>16</v>
      </c>
      <c r="K7" s="57"/>
      <c r="L7" s="58" t="s">
        <v>17</v>
      </c>
      <c r="M7" s="14" t="s">
        <v>39</v>
      </c>
    </row>
    <row r="8" spans="1:15" ht="15" customHeight="1" x14ac:dyDescent="0.25">
      <c r="A8" s="83" t="s">
        <v>62</v>
      </c>
      <c r="B8" s="55" t="s">
        <v>26</v>
      </c>
      <c r="C8" s="95" t="s">
        <v>490</v>
      </c>
      <c r="D8" s="85">
        <v>45442</v>
      </c>
      <c r="E8" s="86">
        <v>62.04</v>
      </c>
      <c r="F8" s="86">
        <v>9.2899999999999991</v>
      </c>
      <c r="G8" s="94">
        <v>59.47</v>
      </c>
      <c r="H8" s="86">
        <v>7.91</v>
      </c>
      <c r="I8" s="106">
        <v>45642</v>
      </c>
      <c r="J8" s="50">
        <f>(+E8-F8)-1.06</f>
        <v>51.69</v>
      </c>
      <c r="K8" s="47">
        <f t="shared" ref="K8:K45" si="0">+I8-D8</f>
        <v>200</v>
      </c>
      <c r="L8" s="5">
        <v>0.03</v>
      </c>
      <c r="M8" s="6">
        <f t="shared" ref="M8:M45" si="1">+J8*L8</f>
        <v>1.5507</v>
      </c>
      <c r="O8" s="78"/>
    </row>
    <row r="9" spans="1:15" ht="15" customHeight="1" x14ac:dyDescent="0.25">
      <c r="A9" s="83" t="s">
        <v>76</v>
      </c>
      <c r="B9" s="113" t="s">
        <v>18</v>
      </c>
      <c r="C9" s="95" t="s">
        <v>775</v>
      </c>
      <c r="D9" s="85">
        <v>45468</v>
      </c>
      <c r="E9" s="86">
        <v>93.6</v>
      </c>
      <c r="F9" s="86">
        <v>14.04</v>
      </c>
      <c r="G9" s="94">
        <v>87.11</v>
      </c>
      <c r="H9" s="86">
        <v>11.93</v>
      </c>
      <c r="I9" s="106">
        <v>45639</v>
      </c>
      <c r="J9" s="50">
        <f>+E9-F9</f>
        <v>79.56</v>
      </c>
      <c r="K9" s="47">
        <f t="shared" si="0"/>
        <v>171</v>
      </c>
      <c r="L9" s="5">
        <v>0.03</v>
      </c>
      <c r="M9" s="6">
        <f t="shared" si="1"/>
        <v>2.3868</v>
      </c>
      <c r="O9" s="78"/>
    </row>
    <row r="10" spans="1:15" ht="15" customHeight="1" x14ac:dyDescent="0.25">
      <c r="A10" s="83" t="s">
        <v>77</v>
      </c>
      <c r="B10" s="107" t="s">
        <v>33</v>
      </c>
      <c r="C10" s="95" t="s">
        <v>684</v>
      </c>
      <c r="D10" s="85">
        <v>45482</v>
      </c>
      <c r="E10" s="86">
        <v>1327.32</v>
      </c>
      <c r="F10" s="86">
        <v>331.83</v>
      </c>
      <c r="G10" s="94">
        <v>400</v>
      </c>
      <c r="H10" s="86">
        <v>149.32</v>
      </c>
      <c r="I10" s="85">
        <v>45639</v>
      </c>
      <c r="J10" s="50">
        <f>(400)/1.15</f>
        <v>347.82608695652175</v>
      </c>
      <c r="K10" s="47">
        <f t="shared" si="0"/>
        <v>157</v>
      </c>
      <c r="L10" s="5">
        <v>0.03</v>
      </c>
      <c r="M10" s="6">
        <f t="shared" si="1"/>
        <v>10.434782608695652</v>
      </c>
      <c r="O10" s="78"/>
    </row>
    <row r="11" spans="1:15" ht="15" customHeight="1" x14ac:dyDescent="0.25">
      <c r="A11" s="83" t="s">
        <v>77</v>
      </c>
      <c r="B11" s="107" t="s">
        <v>33</v>
      </c>
      <c r="C11" s="95" t="s">
        <v>684</v>
      </c>
      <c r="D11" s="85">
        <v>45482</v>
      </c>
      <c r="E11" s="86">
        <v>1327.32</v>
      </c>
      <c r="F11" s="86">
        <v>331.83</v>
      </c>
      <c r="G11" s="94">
        <v>310.06</v>
      </c>
      <c r="H11" s="86">
        <v>149.32</v>
      </c>
      <c r="I11" s="85">
        <v>45649</v>
      </c>
      <c r="J11" s="50">
        <f>(310.06)/1.15</f>
        <v>269.61739130434785</v>
      </c>
      <c r="K11" s="47">
        <f t="shared" si="0"/>
        <v>167</v>
      </c>
      <c r="L11" s="5">
        <v>0.03</v>
      </c>
      <c r="M11" s="6">
        <f t="shared" si="1"/>
        <v>8.0885217391304352</v>
      </c>
      <c r="O11" s="78"/>
    </row>
    <row r="12" spans="1:15" ht="15" customHeight="1" x14ac:dyDescent="0.25">
      <c r="A12" s="83" t="s">
        <v>77</v>
      </c>
      <c r="B12" s="107" t="s">
        <v>33</v>
      </c>
      <c r="C12" s="95" t="s">
        <v>776</v>
      </c>
      <c r="D12" s="85">
        <v>45482</v>
      </c>
      <c r="E12" s="86">
        <v>1380</v>
      </c>
      <c r="F12" s="86">
        <v>345</v>
      </c>
      <c r="G12" s="94">
        <v>89.94</v>
      </c>
      <c r="H12" s="86">
        <v>155.25</v>
      </c>
      <c r="I12" s="85">
        <v>45649</v>
      </c>
      <c r="J12" s="50">
        <f>89.94/1.15</f>
        <v>78.208695652173915</v>
      </c>
      <c r="K12" s="47">
        <f t="shared" si="0"/>
        <v>167</v>
      </c>
      <c r="L12" s="5">
        <v>0.03</v>
      </c>
      <c r="M12" s="6">
        <f t="shared" si="1"/>
        <v>2.3462608695652172</v>
      </c>
      <c r="O12" s="78"/>
    </row>
    <row r="13" spans="1:15" ht="15" customHeight="1" x14ac:dyDescent="0.25">
      <c r="A13" s="83" t="s">
        <v>76</v>
      </c>
      <c r="B13" s="113" t="s">
        <v>18</v>
      </c>
      <c r="C13" s="95" t="s">
        <v>777</v>
      </c>
      <c r="D13" s="85">
        <v>45511</v>
      </c>
      <c r="E13" s="86">
        <v>187.2</v>
      </c>
      <c r="F13" s="86">
        <v>28.08</v>
      </c>
      <c r="G13" s="94">
        <v>174.24</v>
      </c>
      <c r="H13" s="86">
        <v>23.87</v>
      </c>
      <c r="I13" s="106">
        <v>45653</v>
      </c>
      <c r="J13" s="50">
        <f t="shared" ref="J13:J45" si="2">+E13-F13</f>
        <v>159.12</v>
      </c>
      <c r="K13" s="47">
        <f t="shared" si="0"/>
        <v>142</v>
      </c>
      <c r="L13" s="5">
        <v>0.03</v>
      </c>
      <c r="M13" s="6">
        <f t="shared" si="1"/>
        <v>4.7736000000000001</v>
      </c>
      <c r="O13" s="78"/>
    </row>
    <row r="14" spans="1:15" ht="15" customHeight="1" x14ac:dyDescent="0.25">
      <c r="A14" s="83" t="s">
        <v>76</v>
      </c>
      <c r="B14" s="113" t="s">
        <v>18</v>
      </c>
      <c r="C14" s="95" t="s">
        <v>778</v>
      </c>
      <c r="D14" s="85">
        <v>45512</v>
      </c>
      <c r="E14" s="86">
        <v>306</v>
      </c>
      <c r="F14" s="86">
        <v>45.9</v>
      </c>
      <c r="G14" s="94">
        <v>284.81</v>
      </c>
      <c r="H14" s="86">
        <v>39.020000000000003</v>
      </c>
      <c r="I14" s="106">
        <v>45653</v>
      </c>
      <c r="J14" s="50">
        <f t="shared" si="2"/>
        <v>260.10000000000002</v>
      </c>
      <c r="K14" s="47">
        <f t="shared" si="0"/>
        <v>141</v>
      </c>
      <c r="L14" s="5">
        <v>0.03</v>
      </c>
      <c r="M14" s="6">
        <f t="shared" si="1"/>
        <v>7.8030000000000008</v>
      </c>
      <c r="O14" s="78"/>
    </row>
    <row r="15" spans="1:15" ht="15" customHeight="1" x14ac:dyDescent="0.25">
      <c r="A15" s="83" t="s">
        <v>76</v>
      </c>
      <c r="B15" s="113" t="s">
        <v>18</v>
      </c>
      <c r="C15" s="95" t="s">
        <v>779</v>
      </c>
      <c r="D15" s="85">
        <v>45517</v>
      </c>
      <c r="E15" s="86">
        <v>163.80000000000001</v>
      </c>
      <c r="F15" s="86">
        <v>24.57</v>
      </c>
      <c r="G15" s="94">
        <v>152.46000000000004</v>
      </c>
      <c r="H15" s="86">
        <v>20.88</v>
      </c>
      <c r="I15" s="106">
        <v>45653</v>
      </c>
      <c r="J15" s="50">
        <f t="shared" si="2"/>
        <v>139.23000000000002</v>
      </c>
      <c r="K15" s="47">
        <f t="shared" si="0"/>
        <v>136</v>
      </c>
      <c r="L15" s="5">
        <v>0.03</v>
      </c>
      <c r="M15" s="6">
        <f t="shared" si="1"/>
        <v>4.1769000000000007</v>
      </c>
      <c r="O15" s="78"/>
    </row>
    <row r="16" spans="1:15" ht="15" customHeight="1" x14ac:dyDescent="0.25">
      <c r="A16" s="83" t="s">
        <v>79</v>
      </c>
      <c r="B16" s="55" t="s">
        <v>30</v>
      </c>
      <c r="C16" s="95" t="s">
        <v>780</v>
      </c>
      <c r="D16" s="85">
        <v>45524</v>
      </c>
      <c r="E16" s="86">
        <v>244.2</v>
      </c>
      <c r="F16" s="86">
        <v>36.630000000000003</v>
      </c>
      <c r="G16" s="94">
        <v>227.29</v>
      </c>
      <c r="H16" s="86">
        <v>31.14</v>
      </c>
      <c r="I16" s="106">
        <v>45632</v>
      </c>
      <c r="J16" s="50">
        <f t="shared" si="2"/>
        <v>207.57</v>
      </c>
      <c r="K16" s="47">
        <f t="shared" si="0"/>
        <v>108</v>
      </c>
      <c r="L16" s="5">
        <v>0.03</v>
      </c>
      <c r="M16" s="6">
        <f t="shared" si="1"/>
        <v>6.2270999999999992</v>
      </c>
      <c r="O16" s="78"/>
    </row>
    <row r="17" spans="1:15" ht="15" customHeight="1" x14ac:dyDescent="0.25">
      <c r="A17" s="83" t="s">
        <v>79</v>
      </c>
      <c r="B17" s="55" t="s">
        <v>30</v>
      </c>
      <c r="C17" s="95" t="s">
        <v>781</v>
      </c>
      <c r="D17" s="85">
        <v>45524</v>
      </c>
      <c r="E17" s="86">
        <v>112.8</v>
      </c>
      <c r="F17" s="86">
        <v>16.920000000000002</v>
      </c>
      <c r="G17" s="94">
        <v>104.99000000000001</v>
      </c>
      <c r="H17" s="86">
        <v>14.38</v>
      </c>
      <c r="I17" s="106">
        <v>45632</v>
      </c>
      <c r="J17" s="50">
        <f t="shared" si="2"/>
        <v>95.88</v>
      </c>
      <c r="K17" s="47">
        <f t="shared" si="0"/>
        <v>108</v>
      </c>
      <c r="L17" s="5">
        <v>0.03</v>
      </c>
      <c r="M17" s="6">
        <f t="shared" si="1"/>
        <v>2.8763999999999998</v>
      </c>
      <c r="O17" s="78"/>
    </row>
    <row r="18" spans="1:15" ht="15" customHeight="1" x14ac:dyDescent="0.25">
      <c r="A18" s="83" t="s">
        <v>76</v>
      </c>
      <c r="B18" s="113" t="s">
        <v>18</v>
      </c>
      <c r="C18" s="95" t="s">
        <v>782</v>
      </c>
      <c r="D18" s="85">
        <v>45538</v>
      </c>
      <c r="E18" s="86">
        <v>234</v>
      </c>
      <c r="F18" s="86">
        <v>35.1</v>
      </c>
      <c r="G18" s="94">
        <v>217.8</v>
      </c>
      <c r="H18" s="86">
        <v>29.84</v>
      </c>
      <c r="I18" s="106">
        <v>45639</v>
      </c>
      <c r="J18" s="50">
        <f t="shared" si="2"/>
        <v>198.9</v>
      </c>
      <c r="K18" s="47">
        <f t="shared" si="0"/>
        <v>101</v>
      </c>
      <c r="L18" s="5">
        <v>0.03</v>
      </c>
      <c r="M18" s="6">
        <f t="shared" si="1"/>
        <v>5.9669999999999996</v>
      </c>
      <c r="O18" s="78"/>
    </row>
    <row r="19" spans="1:15" ht="15" customHeight="1" x14ac:dyDescent="0.25">
      <c r="A19" s="83" t="s">
        <v>115</v>
      </c>
      <c r="B19" s="55" t="s">
        <v>18</v>
      </c>
      <c r="C19" s="95" t="s">
        <v>783</v>
      </c>
      <c r="D19" s="85">
        <v>45545</v>
      </c>
      <c r="E19" s="86">
        <v>297.36</v>
      </c>
      <c r="F19" s="86">
        <v>59.46</v>
      </c>
      <c r="G19" s="94">
        <v>260.5</v>
      </c>
      <c r="H19" s="86">
        <v>35.69</v>
      </c>
      <c r="I19" s="106">
        <v>45656</v>
      </c>
      <c r="J19" s="50">
        <f t="shared" si="2"/>
        <v>237.9</v>
      </c>
      <c r="K19" s="47">
        <f t="shared" si="0"/>
        <v>111</v>
      </c>
      <c r="L19" s="5">
        <v>0.03</v>
      </c>
      <c r="M19" s="6">
        <f t="shared" si="1"/>
        <v>7.1369999999999996</v>
      </c>
      <c r="O19" s="78"/>
    </row>
    <row r="20" spans="1:15" ht="15" customHeight="1" x14ac:dyDescent="0.25">
      <c r="A20" s="83" t="s">
        <v>76</v>
      </c>
      <c r="B20" s="113" t="s">
        <v>18</v>
      </c>
      <c r="C20" s="95" t="s">
        <v>784</v>
      </c>
      <c r="D20" s="85">
        <v>45546</v>
      </c>
      <c r="E20" s="86">
        <v>70.2</v>
      </c>
      <c r="F20" s="86">
        <v>10.53</v>
      </c>
      <c r="G20" s="94">
        <v>65.330000000000013</v>
      </c>
      <c r="H20" s="86">
        <v>8.9499999999999993</v>
      </c>
      <c r="I20" s="106">
        <v>45639</v>
      </c>
      <c r="J20" s="50">
        <f t="shared" si="2"/>
        <v>59.67</v>
      </c>
      <c r="K20" s="47">
        <f t="shared" si="0"/>
        <v>93</v>
      </c>
      <c r="L20" s="5">
        <v>0.03</v>
      </c>
      <c r="M20" s="6">
        <f t="shared" si="1"/>
        <v>1.7901</v>
      </c>
      <c r="O20" s="78"/>
    </row>
    <row r="21" spans="1:15" ht="15" customHeight="1" x14ac:dyDescent="0.25">
      <c r="A21" s="83" t="s">
        <v>76</v>
      </c>
      <c r="B21" s="113" t="s">
        <v>18</v>
      </c>
      <c r="C21" s="95" t="s">
        <v>785</v>
      </c>
      <c r="D21" s="85">
        <v>45553</v>
      </c>
      <c r="E21" s="86">
        <v>46.8</v>
      </c>
      <c r="F21" s="86">
        <v>7.02</v>
      </c>
      <c r="G21" s="94">
        <v>43.56</v>
      </c>
      <c r="H21" s="86">
        <v>5.97</v>
      </c>
      <c r="I21" s="106">
        <v>45639</v>
      </c>
      <c r="J21" s="50">
        <f t="shared" si="2"/>
        <v>39.78</v>
      </c>
      <c r="K21" s="47">
        <f t="shared" si="0"/>
        <v>86</v>
      </c>
      <c r="L21" s="5">
        <v>0.03</v>
      </c>
      <c r="M21" s="6">
        <f t="shared" si="1"/>
        <v>1.1934</v>
      </c>
      <c r="O21" s="78"/>
    </row>
    <row r="22" spans="1:15" ht="15" customHeight="1" x14ac:dyDescent="0.25">
      <c r="A22" s="83" t="s">
        <v>89</v>
      </c>
      <c r="B22" s="113" t="s">
        <v>18</v>
      </c>
      <c r="C22" s="95" t="s">
        <v>786</v>
      </c>
      <c r="D22" s="85">
        <v>45555</v>
      </c>
      <c r="E22" s="86">
        <v>460.2</v>
      </c>
      <c r="F22" s="86">
        <v>92.04</v>
      </c>
      <c r="G22" s="94">
        <v>403.13</v>
      </c>
      <c r="H22" s="86">
        <v>55.22</v>
      </c>
      <c r="I22" s="106">
        <v>45643</v>
      </c>
      <c r="J22" s="50">
        <f t="shared" si="2"/>
        <v>368.15999999999997</v>
      </c>
      <c r="K22" s="47">
        <f t="shared" si="0"/>
        <v>88</v>
      </c>
      <c r="L22" s="5">
        <v>0.03</v>
      </c>
      <c r="M22" s="6">
        <f t="shared" si="1"/>
        <v>11.044799999999999</v>
      </c>
      <c r="O22" s="78"/>
    </row>
    <row r="23" spans="1:15" ht="15" customHeight="1" x14ac:dyDescent="0.25">
      <c r="A23" s="83" t="s">
        <v>134</v>
      </c>
      <c r="B23" s="160" t="s">
        <v>95</v>
      </c>
      <c r="C23" s="95" t="s">
        <v>787</v>
      </c>
      <c r="D23" s="85">
        <v>45561</v>
      </c>
      <c r="E23" s="86">
        <v>86.04</v>
      </c>
      <c r="F23" s="86">
        <v>12.9</v>
      </c>
      <c r="G23" s="94">
        <v>80.089999999999989</v>
      </c>
      <c r="H23" s="86">
        <v>10.97</v>
      </c>
      <c r="I23" s="106">
        <v>45635</v>
      </c>
      <c r="J23" s="50">
        <f t="shared" si="2"/>
        <v>73.14</v>
      </c>
      <c r="K23" s="47">
        <f t="shared" si="0"/>
        <v>74</v>
      </c>
      <c r="L23" s="5">
        <v>0.03</v>
      </c>
      <c r="M23" s="6">
        <f t="shared" si="1"/>
        <v>2.1941999999999999</v>
      </c>
      <c r="O23" s="78"/>
    </row>
    <row r="24" spans="1:15" ht="15" customHeight="1" x14ac:dyDescent="0.25">
      <c r="A24" s="83" t="s">
        <v>104</v>
      </c>
      <c r="B24" s="160" t="s">
        <v>30</v>
      </c>
      <c r="C24" s="95" t="s">
        <v>788</v>
      </c>
      <c r="D24" s="85">
        <v>45562</v>
      </c>
      <c r="E24" s="86">
        <v>189.6</v>
      </c>
      <c r="F24" s="86">
        <v>28.44</v>
      </c>
      <c r="G24" s="94">
        <v>185.33</v>
      </c>
      <c r="H24" s="86">
        <v>24.17</v>
      </c>
      <c r="I24" s="106">
        <v>45643</v>
      </c>
      <c r="J24" s="50">
        <f t="shared" si="2"/>
        <v>161.16</v>
      </c>
      <c r="K24" s="47">
        <f t="shared" si="0"/>
        <v>81</v>
      </c>
      <c r="L24" s="5">
        <v>0.03</v>
      </c>
      <c r="M24" s="6">
        <f t="shared" si="1"/>
        <v>4.8347999999999995</v>
      </c>
      <c r="O24" s="78"/>
    </row>
    <row r="25" spans="1:15" ht="15" customHeight="1" x14ac:dyDescent="0.25">
      <c r="A25" s="83" t="s">
        <v>741</v>
      </c>
      <c r="B25" s="160" t="s">
        <v>30</v>
      </c>
      <c r="C25" s="95" t="s">
        <v>789</v>
      </c>
      <c r="D25" s="85">
        <v>45562</v>
      </c>
      <c r="E25" s="86">
        <v>15.84</v>
      </c>
      <c r="F25" s="86">
        <v>2.0699999999999998</v>
      </c>
      <c r="G25" s="94">
        <v>15.84</v>
      </c>
      <c r="H25" s="86">
        <v>2.0699999999999998</v>
      </c>
      <c r="I25" s="106">
        <v>45642</v>
      </c>
      <c r="J25" s="50">
        <f t="shared" si="2"/>
        <v>13.77</v>
      </c>
      <c r="K25" s="47">
        <f t="shared" si="0"/>
        <v>80</v>
      </c>
      <c r="L25" s="5">
        <v>0.03</v>
      </c>
      <c r="M25" s="6">
        <f t="shared" si="1"/>
        <v>0.41309999999999997</v>
      </c>
      <c r="O25" s="78"/>
    </row>
    <row r="26" spans="1:15" ht="15" customHeight="1" x14ac:dyDescent="0.25">
      <c r="A26" s="83" t="s">
        <v>110</v>
      </c>
      <c r="B26" s="160" t="s">
        <v>95</v>
      </c>
      <c r="C26" s="95" t="s">
        <v>790</v>
      </c>
      <c r="D26" s="85">
        <v>45565</v>
      </c>
      <c r="E26" s="86">
        <v>207.84</v>
      </c>
      <c r="F26" s="86">
        <v>31.18</v>
      </c>
      <c r="G26" s="94">
        <v>193.44</v>
      </c>
      <c r="H26" s="86">
        <v>26.5</v>
      </c>
      <c r="I26" s="106">
        <v>45629</v>
      </c>
      <c r="J26" s="50">
        <f t="shared" si="2"/>
        <v>176.66</v>
      </c>
      <c r="K26" s="47">
        <f t="shared" si="0"/>
        <v>64</v>
      </c>
      <c r="L26" s="5">
        <v>0.03</v>
      </c>
      <c r="M26" s="6">
        <f t="shared" si="1"/>
        <v>5.2997999999999994</v>
      </c>
      <c r="O26" s="78"/>
    </row>
    <row r="27" spans="1:15" ht="15" customHeight="1" x14ac:dyDescent="0.25">
      <c r="A27" s="83" t="s">
        <v>54</v>
      </c>
      <c r="B27" s="113" t="s">
        <v>32</v>
      </c>
      <c r="C27" s="95" t="s">
        <v>791</v>
      </c>
      <c r="D27" s="85">
        <v>45566</v>
      </c>
      <c r="E27" s="86">
        <v>10.56</v>
      </c>
      <c r="F27" s="86">
        <v>1.8</v>
      </c>
      <c r="G27" s="94">
        <v>9.59</v>
      </c>
      <c r="H27" s="86">
        <v>1.31</v>
      </c>
      <c r="I27" s="88">
        <v>45633</v>
      </c>
      <c r="J27" s="50">
        <f t="shared" si="2"/>
        <v>8.76</v>
      </c>
      <c r="K27" s="47">
        <f t="shared" si="0"/>
        <v>67</v>
      </c>
      <c r="L27" s="5">
        <v>0.03</v>
      </c>
      <c r="M27" s="6">
        <f t="shared" si="1"/>
        <v>0.26279999999999998</v>
      </c>
      <c r="O27" s="78"/>
    </row>
    <row r="28" spans="1:15" ht="15" customHeight="1" x14ac:dyDescent="0.25">
      <c r="A28" s="83" t="s">
        <v>115</v>
      </c>
      <c r="B28" s="160" t="s">
        <v>18</v>
      </c>
      <c r="C28" s="95" t="s">
        <v>792</v>
      </c>
      <c r="D28" s="85">
        <v>45573</v>
      </c>
      <c r="E28" s="86">
        <v>255</v>
      </c>
      <c r="F28" s="86">
        <v>51.01</v>
      </c>
      <c r="G28" s="94">
        <v>223.37</v>
      </c>
      <c r="H28" s="86">
        <v>30.6</v>
      </c>
      <c r="I28" s="106">
        <v>45656</v>
      </c>
      <c r="J28" s="50">
        <f t="shared" si="2"/>
        <v>203.99</v>
      </c>
      <c r="K28" s="47">
        <f t="shared" si="0"/>
        <v>83</v>
      </c>
      <c r="L28" s="5">
        <v>0.03</v>
      </c>
      <c r="M28" s="6">
        <f t="shared" si="1"/>
        <v>6.1196999999999999</v>
      </c>
      <c r="O28" s="78"/>
    </row>
    <row r="29" spans="1:15" ht="15" customHeight="1" x14ac:dyDescent="0.25">
      <c r="A29" s="83" t="s">
        <v>105</v>
      </c>
      <c r="B29" s="160" t="s">
        <v>108</v>
      </c>
      <c r="C29" s="95" t="s">
        <v>793</v>
      </c>
      <c r="D29" s="85">
        <v>45575</v>
      </c>
      <c r="E29" s="86">
        <v>103.2</v>
      </c>
      <c r="F29" s="86">
        <v>15.47</v>
      </c>
      <c r="G29" s="94">
        <v>100.89</v>
      </c>
      <c r="H29" s="86">
        <v>13.16</v>
      </c>
      <c r="I29" s="106">
        <v>45642</v>
      </c>
      <c r="J29" s="50">
        <f t="shared" si="2"/>
        <v>87.73</v>
      </c>
      <c r="K29" s="47">
        <f t="shared" si="0"/>
        <v>67</v>
      </c>
      <c r="L29" s="5">
        <v>0.03</v>
      </c>
      <c r="M29" s="6">
        <f t="shared" si="1"/>
        <v>2.6318999999999999</v>
      </c>
      <c r="O29" s="78"/>
    </row>
    <row r="30" spans="1:15" ht="15" customHeight="1" x14ac:dyDescent="0.25">
      <c r="A30" s="83" t="s">
        <v>115</v>
      </c>
      <c r="B30" s="113" t="s">
        <v>18</v>
      </c>
      <c r="C30" s="95" t="s">
        <v>794</v>
      </c>
      <c r="D30" s="85">
        <v>45593</v>
      </c>
      <c r="E30" s="86">
        <v>293.52</v>
      </c>
      <c r="F30" s="86">
        <v>58.7</v>
      </c>
      <c r="G30" s="94">
        <v>257.12</v>
      </c>
      <c r="H30" s="86">
        <v>35.22</v>
      </c>
      <c r="I30" s="106">
        <v>45656</v>
      </c>
      <c r="J30" s="50">
        <f t="shared" si="2"/>
        <v>234.82</v>
      </c>
      <c r="K30" s="47">
        <f t="shared" si="0"/>
        <v>63</v>
      </c>
      <c r="L30" s="5">
        <v>0.03</v>
      </c>
      <c r="M30" s="6">
        <f t="shared" si="1"/>
        <v>7.0446</v>
      </c>
      <c r="O30" s="78"/>
    </row>
    <row r="31" spans="1:15" ht="15" customHeight="1" x14ac:dyDescent="0.25">
      <c r="A31" s="83" t="s">
        <v>94</v>
      </c>
      <c r="B31" s="113" t="s">
        <v>18</v>
      </c>
      <c r="C31" s="95" t="s">
        <v>795</v>
      </c>
      <c r="D31" s="85">
        <v>45595</v>
      </c>
      <c r="E31" s="86">
        <v>188.16</v>
      </c>
      <c r="F31" s="86">
        <v>28.23</v>
      </c>
      <c r="G31" s="94">
        <v>183.92</v>
      </c>
      <c r="H31" s="86">
        <v>23.99</v>
      </c>
      <c r="I31" s="106">
        <v>45642</v>
      </c>
      <c r="J31" s="50">
        <f t="shared" si="2"/>
        <v>159.93</v>
      </c>
      <c r="K31" s="47">
        <f t="shared" si="0"/>
        <v>47</v>
      </c>
      <c r="L31" s="5">
        <v>0.03</v>
      </c>
      <c r="M31" s="6">
        <f t="shared" si="1"/>
        <v>4.7979000000000003</v>
      </c>
      <c r="O31" s="78"/>
    </row>
    <row r="32" spans="1:15" ht="15" customHeight="1" x14ac:dyDescent="0.25">
      <c r="A32" s="83" t="s">
        <v>65</v>
      </c>
      <c r="B32" s="160" t="s">
        <v>32</v>
      </c>
      <c r="C32" s="95" t="s">
        <v>796</v>
      </c>
      <c r="D32" s="85">
        <v>45610</v>
      </c>
      <c r="E32" s="86">
        <v>81.599999999999994</v>
      </c>
      <c r="F32" s="86">
        <v>12.24</v>
      </c>
      <c r="G32" s="94">
        <v>79.760000000000005</v>
      </c>
      <c r="H32" s="86">
        <v>10.4</v>
      </c>
      <c r="I32" s="106">
        <v>45646</v>
      </c>
      <c r="J32" s="50">
        <f t="shared" si="2"/>
        <v>69.36</v>
      </c>
      <c r="K32" s="47">
        <f t="shared" si="0"/>
        <v>36</v>
      </c>
      <c r="L32" s="5">
        <v>0.03</v>
      </c>
      <c r="M32" s="6">
        <f t="shared" si="1"/>
        <v>2.0808</v>
      </c>
      <c r="O32" s="78"/>
    </row>
    <row r="33" spans="1:15" ht="15" customHeight="1" x14ac:dyDescent="0.25">
      <c r="A33" s="83" t="s">
        <v>88</v>
      </c>
      <c r="B33" s="113" t="s">
        <v>18</v>
      </c>
      <c r="C33" s="95" t="s">
        <v>797</v>
      </c>
      <c r="D33" s="85">
        <v>45611</v>
      </c>
      <c r="E33" s="86">
        <v>234</v>
      </c>
      <c r="F33" s="86">
        <v>46.8</v>
      </c>
      <c r="G33" s="94">
        <v>215.28</v>
      </c>
      <c r="H33" s="86">
        <v>28.08</v>
      </c>
      <c r="I33" s="106">
        <v>45644</v>
      </c>
      <c r="J33" s="50">
        <f t="shared" si="2"/>
        <v>187.2</v>
      </c>
      <c r="K33" s="47">
        <f t="shared" si="0"/>
        <v>33</v>
      </c>
      <c r="L33" s="5">
        <v>0.03</v>
      </c>
      <c r="M33" s="6">
        <f t="shared" si="1"/>
        <v>5.6159999999999997</v>
      </c>
      <c r="O33" s="78"/>
    </row>
    <row r="34" spans="1:15" ht="15" customHeight="1" x14ac:dyDescent="0.25">
      <c r="A34" s="173" t="s">
        <v>38</v>
      </c>
      <c r="B34" s="113" t="s">
        <v>18</v>
      </c>
      <c r="C34" s="183" t="s">
        <v>798</v>
      </c>
      <c r="D34" s="174">
        <v>45617</v>
      </c>
      <c r="E34" s="104">
        <v>1972.796</v>
      </c>
      <c r="F34" s="104">
        <v>434.01600000000002</v>
      </c>
      <c r="G34" s="96">
        <v>1684.9599999999998</v>
      </c>
      <c r="H34" s="104">
        <v>230.82</v>
      </c>
      <c r="I34" s="106">
        <v>45647</v>
      </c>
      <c r="J34" s="50">
        <f t="shared" si="2"/>
        <v>1538.78</v>
      </c>
      <c r="K34" s="47">
        <f t="shared" si="0"/>
        <v>30</v>
      </c>
      <c r="L34" s="5">
        <v>3.5000000000000003E-2</v>
      </c>
      <c r="M34" s="6">
        <f t="shared" si="1"/>
        <v>53.857300000000002</v>
      </c>
      <c r="O34" s="78"/>
    </row>
    <row r="35" spans="1:15" ht="15" customHeight="1" x14ac:dyDescent="0.25">
      <c r="A35" s="171" t="s">
        <v>71</v>
      </c>
      <c r="B35" s="107" t="s">
        <v>24</v>
      </c>
      <c r="C35" s="184" t="s">
        <v>799</v>
      </c>
      <c r="D35" s="172">
        <v>45624</v>
      </c>
      <c r="E35" s="87">
        <v>625.32000000000005</v>
      </c>
      <c r="F35" s="87">
        <v>156.33000000000001</v>
      </c>
      <c r="G35" s="94">
        <v>539.33000000000004</v>
      </c>
      <c r="H35" s="87">
        <v>70.349999999999994</v>
      </c>
      <c r="I35" s="106">
        <v>45652</v>
      </c>
      <c r="J35" s="50">
        <f t="shared" si="2"/>
        <v>468.99</v>
      </c>
      <c r="K35" s="47">
        <f t="shared" si="0"/>
        <v>28</v>
      </c>
      <c r="L35" s="5">
        <v>3.5000000000000003E-2</v>
      </c>
      <c r="M35" s="6">
        <f t="shared" si="1"/>
        <v>16.414650000000002</v>
      </c>
      <c r="O35" s="78"/>
    </row>
    <row r="36" spans="1:15" ht="15" customHeight="1" x14ac:dyDescent="0.25">
      <c r="A36" s="171" t="s">
        <v>116</v>
      </c>
      <c r="B36" s="160" t="s">
        <v>120</v>
      </c>
      <c r="C36" s="184" t="s">
        <v>800</v>
      </c>
      <c r="D36" s="172">
        <v>45628</v>
      </c>
      <c r="E36" s="87">
        <v>210.6</v>
      </c>
      <c r="F36" s="87">
        <v>31.59</v>
      </c>
      <c r="G36" s="94">
        <v>196.01000000000002</v>
      </c>
      <c r="H36" s="87">
        <v>26.85</v>
      </c>
      <c r="I36" s="106">
        <v>45652</v>
      </c>
      <c r="J36" s="50">
        <f t="shared" si="2"/>
        <v>179.01</v>
      </c>
      <c r="K36" s="47">
        <f t="shared" si="0"/>
        <v>24</v>
      </c>
      <c r="L36" s="5">
        <v>3.5000000000000003E-2</v>
      </c>
      <c r="M36" s="6">
        <f t="shared" si="1"/>
        <v>6.2653500000000006</v>
      </c>
      <c r="O36" s="78"/>
    </row>
    <row r="37" spans="1:15" ht="15" customHeight="1" x14ac:dyDescent="0.25">
      <c r="A37" s="171" t="s">
        <v>25</v>
      </c>
      <c r="B37" s="160" t="s">
        <v>30</v>
      </c>
      <c r="C37" s="184" t="s">
        <v>801</v>
      </c>
      <c r="D37" s="172">
        <v>45631</v>
      </c>
      <c r="E37" s="87">
        <v>924.24</v>
      </c>
      <c r="F37" s="87">
        <v>231.06</v>
      </c>
      <c r="G37" s="94">
        <v>759.04</v>
      </c>
      <c r="H37" s="87">
        <v>103.98</v>
      </c>
      <c r="I37" s="106">
        <v>45637</v>
      </c>
      <c r="J37" s="50">
        <f t="shared" si="2"/>
        <v>693.18000000000006</v>
      </c>
      <c r="K37" s="47">
        <f t="shared" si="0"/>
        <v>6</v>
      </c>
      <c r="L37" s="5">
        <v>0.04</v>
      </c>
      <c r="M37" s="6">
        <f t="shared" si="1"/>
        <v>27.727200000000003</v>
      </c>
      <c r="O37" s="78"/>
    </row>
    <row r="38" spans="1:15" ht="15" customHeight="1" x14ac:dyDescent="0.25">
      <c r="A38" s="171" t="s">
        <v>55</v>
      </c>
      <c r="B38" s="160" t="s">
        <v>30</v>
      </c>
      <c r="C38" s="184" t="s">
        <v>804</v>
      </c>
      <c r="D38" s="172">
        <v>45632</v>
      </c>
      <c r="E38" s="87">
        <v>180.12</v>
      </c>
      <c r="F38" s="87">
        <v>36.020000000000003</v>
      </c>
      <c r="G38" s="94">
        <v>165.71</v>
      </c>
      <c r="H38" s="87">
        <v>21.61</v>
      </c>
      <c r="I38" s="106">
        <v>45649</v>
      </c>
      <c r="J38" s="50">
        <f t="shared" si="2"/>
        <v>144.1</v>
      </c>
      <c r="K38" s="47">
        <f t="shared" si="0"/>
        <v>17</v>
      </c>
      <c r="L38" s="5">
        <v>3.5000000000000003E-2</v>
      </c>
      <c r="M38" s="6">
        <f t="shared" si="1"/>
        <v>5.0434999999999999</v>
      </c>
      <c r="O38" s="78"/>
    </row>
    <row r="39" spans="1:15" ht="15" customHeight="1" x14ac:dyDescent="0.25">
      <c r="A39" s="171" t="s">
        <v>125</v>
      </c>
      <c r="B39" s="160" t="s">
        <v>18</v>
      </c>
      <c r="C39" s="184" t="s">
        <v>805</v>
      </c>
      <c r="D39" s="172">
        <v>45635</v>
      </c>
      <c r="E39" s="87">
        <v>63.6</v>
      </c>
      <c r="F39" s="87">
        <v>0</v>
      </c>
      <c r="G39" s="94">
        <v>73.14</v>
      </c>
      <c r="H39" s="87">
        <v>9.5399999999999991</v>
      </c>
      <c r="I39" s="106">
        <v>45635</v>
      </c>
      <c r="J39" s="50">
        <f t="shared" si="2"/>
        <v>63.6</v>
      </c>
      <c r="K39" s="47">
        <f t="shared" si="0"/>
        <v>0</v>
      </c>
      <c r="L39" s="5">
        <v>0.04</v>
      </c>
      <c r="M39" s="6">
        <f t="shared" si="1"/>
        <v>2.544</v>
      </c>
      <c r="O39" s="78"/>
    </row>
    <row r="40" spans="1:15" ht="15" customHeight="1" x14ac:dyDescent="0.25">
      <c r="A40" s="171" t="s">
        <v>802</v>
      </c>
      <c r="B40" s="160" t="s">
        <v>27</v>
      </c>
      <c r="C40" s="184" t="s">
        <v>806</v>
      </c>
      <c r="D40" s="172">
        <v>45635</v>
      </c>
      <c r="E40" s="87">
        <v>205.8</v>
      </c>
      <c r="F40" s="87">
        <v>30.87</v>
      </c>
      <c r="G40" s="94">
        <v>201.17</v>
      </c>
      <c r="H40" s="87">
        <v>26.24</v>
      </c>
      <c r="I40" s="106">
        <v>45635</v>
      </c>
      <c r="J40" s="50">
        <f t="shared" si="2"/>
        <v>174.93</v>
      </c>
      <c r="K40" s="47">
        <f t="shared" si="0"/>
        <v>0</v>
      </c>
      <c r="L40" s="5">
        <v>0.04</v>
      </c>
      <c r="M40" s="6">
        <f t="shared" si="1"/>
        <v>6.9972000000000003</v>
      </c>
      <c r="O40" s="78"/>
    </row>
    <row r="41" spans="1:15" ht="15" customHeight="1" x14ac:dyDescent="0.25">
      <c r="A41" s="171" t="s">
        <v>94</v>
      </c>
      <c r="B41" s="160" t="s">
        <v>18</v>
      </c>
      <c r="C41" s="184" t="s">
        <v>807</v>
      </c>
      <c r="D41" s="172">
        <v>45636</v>
      </c>
      <c r="E41" s="87">
        <v>67.2</v>
      </c>
      <c r="F41" s="87">
        <v>10.08</v>
      </c>
      <c r="G41" s="94">
        <v>65.69</v>
      </c>
      <c r="H41" s="87">
        <v>8.57</v>
      </c>
      <c r="I41" s="106">
        <v>45642</v>
      </c>
      <c r="J41" s="50">
        <f t="shared" si="2"/>
        <v>57.120000000000005</v>
      </c>
      <c r="K41" s="47">
        <f t="shared" si="0"/>
        <v>6</v>
      </c>
      <c r="L41" s="5">
        <v>3.5000000000000003E-2</v>
      </c>
      <c r="M41" s="6">
        <f t="shared" si="1"/>
        <v>1.9992000000000003</v>
      </c>
      <c r="O41" s="78"/>
    </row>
    <row r="42" spans="1:15" ht="15" customHeight="1" x14ac:dyDescent="0.25">
      <c r="A42" s="171" t="s">
        <v>625</v>
      </c>
      <c r="B42" s="160" t="s">
        <v>18</v>
      </c>
      <c r="C42" s="184" t="s">
        <v>808</v>
      </c>
      <c r="D42" s="172">
        <v>45636</v>
      </c>
      <c r="E42" s="87">
        <v>153</v>
      </c>
      <c r="F42" s="87">
        <v>22.95</v>
      </c>
      <c r="G42" s="94">
        <v>149.56</v>
      </c>
      <c r="H42" s="87">
        <v>19.510000000000002</v>
      </c>
      <c r="I42" s="106">
        <v>45638</v>
      </c>
      <c r="J42" s="50">
        <f t="shared" si="2"/>
        <v>130.05000000000001</v>
      </c>
      <c r="K42" s="47">
        <f t="shared" si="0"/>
        <v>2</v>
      </c>
      <c r="L42" s="5">
        <v>3.5000000000000003E-2</v>
      </c>
      <c r="M42" s="6">
        <f t="shared" si="1"/>
        <v>4.5517500000000011</v>
      </c>
      <c r="O42" s="78"/>
    </row>
    <row r="43" spans="1:15" ht="15" customHeight="1" x14ac:dyDescent="0.25">
      <c r="A43" s="171" t="s">
        <v>803</v>
      </c>
      <c r="B43" s="160" t="s">
        <v>27</v>
      </c>
      <c r="C43" s="184" t="s">
        <v>809</v>
      </c>
      <c r="D43" s="172">
        <v>45637</v>
      </c>
      <c r="E43" s="87">
        <v>25.08</v>
      </c>
      <c r="F43" s="87">
        <v>3.26</v>
      </c>
      <c r="G43" s="94">
        <v>25.09</v>
      </c>
      <c r="H43" s="87">
        <v>3.27</v>
      </c>
      <c r="I43" s="106">
        <v>45637</v>
      </c>
      <c r="J43" s="50">
        <f t="shared" si="2"/>
        <v>21.82</v>
      </c>
      <c r="K43" s="47">
        <f t="shared" si="0"/>
        <v>0</v>
      </c>
      <c r="L43" s="5">
        <v>0.04</v>
      </c>
      <c r="M43" s="6">
        <f t="shared" si="1"/>
        <v>0.87280000000000002</v>
      </c>
      <c r="O43" s="78"/>
    </row>
    <row r="44" spans="1:15" ht="15" customHeight="1" x14ac:dyDescent="0.25">
      <c r="A44" s="171" t="s">
        <v>803</v>
      </c>
      <c r="B44" s="160" t="s">
        <v>27</v>
      </c>
      <c r="C44" s="184" t="s">
        <v>810</v>
      </c>
      <c r="D44" s="172">
        <v>45638</v>
      </c>
      <c r="E44" s="87">
        <v>10.199999999999999</v>
      </c>
      <c r="F44" s="87">
        <v>1.33</v>
      </c>
      <c r="G44" s="94">
        <v>10.199999999999999</v>
      </c>
      <c r="H44" s="87">
        <v>1.33</v>
      </c>
      <c r="I44" s="106">
        <v>45638</v>
      </c>
      <c r="J44" s="50">
        <f t="shared" si="2"/>
        <v>8.8699999999999992</v>
      </c>
      <c r="K44" s="47">
        <f t="shared" si="0"/>
        <v>0</v>
      </c>
      <c r="L44" s="5">
        <v>0.04</v>
      </c>
      <c r="M44" s="6">
        <f t="shared" si="1"/>
        <v>0.35479999999999995</v>
      </c>
      <c r="O44" s="78"/>
    </row>
    <row r="45" spans="1:15" ht="15" customHeight="1" x14ac:dyDescent="0.25">
      <c r="A45" s="171" t="s">
        <v>478</v>
      </c>
      <c r="B45" s="160" t="s">
        <v>120</v>
      </c>
      <c r="C45" s="184" t="s">
        <v>811</v>
      </c>
      <c r="D45" s="172">
        <v>45649</v>
      </c>
      <c r="E45" s="87">
        <v>57.12</v>
      </c>
      <c r="F45" s="87">
        <v>0</v>
      </c>
      <c r="G45" s="94">
        <v>65.69</v>
      </c>
      <c r="H45" s="87">
        <v>8.57</v>
      </c>
      <c r="I45" s="106">
        <v>45652</v>
      </c>
      <c r="J45" s="50">
        <f t="shared" si="2"/>
        <v>57.12</v>
      </c>
      <c r="K45" s="47">
        <f t="shared" si="0"/>
        <v>3</v>
      </c>
      <c r="L45" s="5">
        <v>0.04</v>
      </c>
      <c r="M45" s="6">
        <f t="shared" si="1"/>
        <v>2.2848000000000002</v>
      </c>
      <c r="O45" s="78"/>
    </row>
    <row r="46" spans="1:15" ht="15" customHeight="1" x14ac:dyDescent="0.25">
      <c r="A46" s="115"/>
      <c r="B46" s="136"/>
      <c r="C46" s="117"/>
      <c r="D46" s="118"/>
      <c r="E46" s="119"/>
      <c r="F46" s="119"/>
      <c r="G46" s="120"/>
      <c r="H46" s="119"/>
      <c r="I46" s="121"/>
      <c r="J46" s="50"/>
      <c r="K46" s="47"/>
      <c r="L46" s="5"/>
      <c r="M46" s="6"/>
      <c r="O46" s="78"/>
    </row>
    <row r="47" spans="1:15" ht="15" customHeight="1" x14ac:dyDescent="0.3">
      <c r="G47" s="16">
        <f>SUM(G8:G46)</f>
        <v>8360.9100000000017</v>
      </c>
      <c r="J47" s="16">
        <f>SUM(J8:J46)</f>
        <v>7507.3021739130445</v>
      </c>
      <c r="M47" s="16">
        <f>SUM(M8:M46)</f>
        <v>248.00451521739132</v>
      </c>
    </row>
    <row r="48" spans="1:15" ht="15" customHeight="1" x14ac:dyDescent="0.25">
      <c r="G48" s="8"/>
      <c r="H48" s="8"/>
    </row>
    <row r="49" spans="1:15" ht="15" customHeight="1" x14ac:dyDescent="0.25">
      <c r="A49" s="17" t="s">
        <v>19</v>
      </c>
      <c r="B49" s="17" t="s">
        <v>20</v>
      </c>
      <c r="C49" s="18" t="s">
        <v>21</v>
      </c>
      <c r="I49" s="8"/>
      <c r="J49" s="8"/>
    </row>
    <row r="50" spans="1:15" s="52" customFormat="1" ht="15" customHeight="1" x14ac:dyDescent="0.25">
      <c r="A50" s="91" t="s">
        <v>49</v>
      </c>
      <c r="B50" s="101" t="s">
        <v>848</v>
      </c>
      <c r="C50" s="93" t="s">
        <v>859</v>
      </c>
      <c r="D50" s="88">
        <v>45601</v>
      </c>
      <c r="E50" s="175">
        <v>234</v>
      </c>
      <c r="F50" s="175">
        <v>35.1</v>
      </c>
      <c r="G50" s="176">
        <f>228.74-1.99-8.95</f>
        <v>217.8</v>
      </c>
      <c r="H50" s="175">
        <v>29.84</v>
      </c>
      <c r="I50" s="105">
        <v>45723</v>
      </c>
      <c r="J50" s="177">
        <f t="shared" ref="J50" si="3">+E50-F50</f>
        <v>198.9</v>
      </c>
      <c r="K50" s="47">
        <f t="shared" ref="K50:K53" si="4">+I50-D50</f>
        <v>122</v>
      </c>
      <c r="L50" s="48">
        <v>0.03</v>
      </c>
      <c r="M50" s="178">
        <f t="shared" ref="M50" si="5">+J50*L50</f>
        <v>5.9669999999999996</v>
      </c>
      <c r="N50" s="60"/>
      <c r="O50" s="78"/>
    </row>
    <row r="51" spans="1:15" s="52" customFormat="1" ht="15" customHeight="1" x14ac:dyDescent="0.25">
      <c r="A51" s="91" t="s">
        <v>76</v>
      </c>
      <c r="B51" s="101" t="s">
        <v>872</v>
      </c>
      <c r="C51" s="93" t="s">
        <v>875</v>
      </c>
      <c r="D51" s="88">
        <v>45588</v>
      </c>
      <c r="E51" s="92">
        <v>93.6</v>
      </c>
      <c r="F51" s="92">
        <v>14.04</v>
      </c>
      <c r="G51" s="96">
        <f>91.49-0.8-3.58</f>
        <v>87.11</v>
      </c>
      <c r="H51" s="92">
        <v>11.93</v>
      </c>
      <c r="I51" s="106">
        <v>45688</v>
      </c>
      <c r="J51" s="177">
        <f t="shared" ref="J51:J53" si="6">+E51-F51</f>
        <v>79.56</v>
      </c>
      <c r="K51" s="47">
        <f t="shared" si="4"/>
        <v>100</v>
      </c>
      <c r="L51" s="48">
        <v>0.03</v>
      </c>
      <c r="M51" s="178">
        <f t="shared" ref="M51:M53" si="7">+J51*L51</f>
        <v>2.3868</v>
      </c>
      <c r="N51" s="60"/>
      <c r="O51" s="78"/>
    </row>
    <row r="52" spans="1:15" s="52" customFormat="1" ht="15" customHeight="1" x14ac:dyDescent="0.25">
      <c r="A52" s="91" t="s">
        <v>76</v>
      </c>
      <c r="B52" s="101" t="s">
        <v>872</v>
      </c>
      <c r="C52" s="93" t="s">
        <v>873</v>
      </c>
      <c r="D52" s="88">
        <v>45601</v>
      </c>
      <c r="E52" s="92">
        <v>93.6</v>
      </c>
      <c r="F52" s="92">
        <v>14.04</v>
      </c>
      <c r="G52" s="96">
        <f>91.49-0.8-3.58</f>
        <v>87.11</v>
      </c>
      <c r="H52" s="92">
        <v>11.93</v>
      </c>
      <c r="I52" s="106">
        <v>45688</v>
      </c>
      <c r="J52" s="177">
        <f t="shared" si="6"/>
        <v>79.56</v>
      </c>
      <c r="K52" s="47">
        <f t="shared" si="4"/>
        <v>87</v>
      </c>
      <c r="L52" s="48">
        <v>0.03</v>
      </c>
      <c r="M52" s="178">
        <f t="shared" si="7"/>
        <v>2.3868</v>
      </c>
      <c r="N52" s="60"/>
      <c r="O52" s="78"/>
    </row>
    <row r="53" spans="1:15" s="52" customFormat="1" ht="15" customHeight="1" x14ac:dyDescent="0.25">
      <c r="A53" s="91" t="s">
        <v>76</v>
      </c>
      <c r="B53" s="101" t="s">
        <v>872</v>
      </c>
      <c r="C53" s="93" t="s">
        <v>874</v>
      </c>
      <c r="D53" s="88">
        <v>45610</v>
      </c>
      <c r="E53" s="92">
        <v>165.75</v>
      </c>
      <c r="F53" s="92">
        <v>24.86</v>
      </c>
      <c r="G53" s="96">
        <f>162.02-1.41-6.34</f>
        <v>154.27000000000001</v>
      </c>
      <c r="H53" s="92">
        <v>21.13</v>
      </c>
      <c r="I53" s="106">
        <v>45688</v>
      </c>
      <c r="J53" s="177">
        <f t="shared" si="6"/>
        <v>140.88999999999999</v>
      </c>
      <c r="K53" s="47">
        <f t="shared" si="4"/>
        <v>78</v>
      </c>
      <c r="L53" s="48">
        <v>0.03</v>
      </c>
      <c r="M53" s="178">
        <f t="shared" si="7"/>
        <v>4.2266999999999992</v>
      </c>
      <c r="N53" s="60"/>
      <c r="O53" s="78"/>
    </row>
    <row r="54" spans="1:15" s="52" customFormat="1" ht="15" customHeight="1" x14ac:dyDescent="0.25">
      <c r="A54" s="91" t="s">
        <v>74</v>
      </c>
      <c r="B54" s="101" t="s">
        <v>871</v>
      </c>
      <c r="C54" s="93" t="s">
        <v>826</v>
      </c>
      <c r="D54" s="88">
        <v>45607</v>
      </c>
      <c r="E54" s="92">
        <v>181.92</v>
      </c>
      <c r="F54" s="92">
        <v>27.28</v>
      </c>
      <c r="G54" s="96">
        <v>169.32999999999998</v>
      </c>
      <c r="H54" s="92">
        <v>23.2</v>
      </c>
      <c r="I54" s="106">
        <v>45677</v>
      </c>
      <c r="J54" s="50">
        <f>+E54-F54</f>
        <v>154.63999999999999</v>
      </c>
      <c r="K54" s="47">
        <f>+I54-D54</f>
        <v>70</v>
      </c>
      <c r="L54" s="48">
        <v>0.03</v>
      </c>
      <c r="M54" s="49">
        <f>+J54*L54</f>
        <v>4.6391999999999998</v>
      </c>
      <c r="N54" s="60"/>
      <c r="O54" s="78"/>
    </row>
    <row r="55" spans="1:15" s="52" customFormat="1" ht="15" customHeight="1" x14ac:dyDescent="0.25">
      <c r="A55" s="101" t="s">
        <v>847</v>
      </c>
      <c r="B55" s="101" t="s">
        <v>849</v>
      </c>
      <c r="C55" s="102" t="s">
        <v>860</v>
      </c>
      <c r="D55" s="105">
        <v>45644</v>
      </c>
      <c r="E55" s="92">
        <v>261.24</v>
      </c>
      <c r="F55" s="92">
        <v>39.19</v>
      </c>
      <c r="G55" s="90">
        <v>243.15</v>
      </c>
      <c r="H55" s="92">
        <v>33.31</v>
      </c>
      <c r="I55" s="105">
        <v>45706</v>
      </c>
      <c r="J55" s="50">
        <f>+E55-F55</f>
        <v>222.05</v>
      </c>
      <c r="K55" s="47">
        <f>+I55-D55</f>
        <v>62</v>
      </c>
      <c r="L55" s="48">
        <v>0.03</v>
      </c>
      <c r="M55" s="49">
        <f>+J55*L55</f>
        <v>6.6615000000000002</v>
      </c>
      <c r="N55" s="60"/>
      <c r="O55" s="78"/>
    </row>
    <row r="56" spans="1:15" s="52" customFormat="1" ht="15" customHeight="1" x14ac:dyDescent="0.25">
      <c r="A56" s="101" t="s">
        <v>40</v>
      </c>
      <c r="B56" s="101" t="s">
        <v>812</v>
      </c>
      <c r="C56" s="102" t="s">
        <v>813</v>
      </c>
      <c r="D56" s="105">
        <v>45631</v>
      </c>
      <c r="E56" s="104">
        <v>1208.4000000000001</v>
      </c>
      <c r="F56" s="104">
        <v>302.10000000000002</v>
      </c>
      <c r="G56" s="96">
        <f>1042.25-9.06-40.79</f>
        <v>992.40000000000009</v>
      </c>
      <c r="H56" s="104">
        <v>135.94999999999999</v>
      </c>
      <c r="I56" s="106">
        <v>45662</v>
      </c>
      <c r="J56" s="50">
        <f t="shared" ref="J56" si="8">+E56-F56</f>
        <v>906.30000000000007</v>
      </c>
      <c r="K56" s="47">
        <f t="shared" ref="K56" si="9">+I56-D56</f>
        <v>31</v>
      </c>
      <c r="L56" s="48">
        <v>0.03</v>
      </c>
      <c r="M56" s="49">
        <f t="shared" ref="M56" si="10">+J56*L56</f>
        <v>27.189</v>
      </c>
      <c r="N56" s="60"/>
      <c r="O56" s="78"/>
    </row>
    <row r="57" spans="1:15" s="1" customFormat="1" ht="15" customHeight="1" thickBot="1" x14ac:dyDescent="0.3">
      <c r="A57" s="152"/>
      <c r="B57" s="153"/>
      <c r="C57" s="154"/>
      <c r="D57" s="155"/>
      <c r="E57" s="156"/>
      <c r="F57" s="156"/>
      <c r="G57" s="90"/>
      <c r="H57" s="92"/>
      <c r="I57" s="105"/>
      <c r="J57" s="50"/>
      <c r="K57" s="47"/>
      <c r="L57" s="48"/>
      <c r="M57" s="53"/>
      <c r="N57" s="74"/>
      <c r="O57" s="78"/>
    </row>
    <row r="58" spans="1:15" ht="15" customHeight="1" thickBot="1" x14ac:dyDescent="0.35">
      <c r="A58" s="332" t="s">
        <v>29</v>
      </c>
      <c r="B58" s="332"/>
      <c r="C58" s="332"/>
      <c r="D58" s="332"/>
      <c r="E58" s="332"/>
      <c r="F58" s="332"/>
      <c r="G58" s="16">
        <f>SUM(G47:G57)</f>
        <v>10312.080000000002</v>
      </c>
      <c r="J58" s="16">
        <f>SUM(J47:J57)</f>
        <v>9289.202173913045</v>
      </c>
      <c r="L58" s="20"/>
      <c r="M58" s="21">
        <f>SUM(M47:M57)</f>
        <v>301.46151521739137</v>
      </c>
    </row>
    <row r="59" spans="1:15" ht="15" customHeight="1" x14ac:dyDescent="0.3">
      <c r="A59" s="22"/>
      <c r="G59" s="8"/>
    </row>
    <row r="60" spans="1:15" ht="15" customHeight="1" x14ac:dyDescent="0.3">
      <c r="A60" s="39"/>
      <c r="G60" s="8"/>
      <c r="J60" s="8"/>
    </row>
    <row r="61" spans="1:15" ht="15" customHeight="1" x14ac:dyDescent="0.3">
      <c r="A61" s="39"/>
      <c r="G61" s="8"/>
      <c r="J61" s="8"/>
    </row>
    <row r="62" spans="1:15" ht="15" customHeight="1" x14ac:dyDescent="0.3">
      <c r="A62" s="39"/>
      <c r="G62" s="8"/>
      <c r="J62" s="8"/>
    </row>
    <row r="63" spans="1:15" ht="15" customHeight="1" x14ac:dyDescent="0.3">
      <c r="A63" s="39"/>
      <c r="G63" s="8"/>
      <c r="J63" s="8"/>
    </row>
    <row r="64" spans="1:15" ht="15" customHeight="1" x14ac:dyDescent="0.3">
      <c r="A64" s="39"/>
      <c r="G64" s="8"/>
      <c r="J64" s="8"/>
    </row>
    <row r="65" spans="1:15" ht="15" customHeight="1" x14ac:dyDescent="0.3">
      <c r="A65" s="39"/>
      <c r="G65" s="8"/>
      <c r="J65" s="8"/>
      <c r="M65" s="8"/>
    </row>
    <row r="66" spans="1:15" ht="15" customHeight="1" x14ac:dyDescent="0.3">
      <c r="A66" s="39"/>
      <c r="G66" s="8"/>
      <c r="J66" s="8"/>
      <c r="M66" s="8"/>
    </row>
    <row r="67" spans="1:15" ht="15" customHeight="1" x14ac:dyDescent="0.3">
      <c r="A67" s="39"/>
      <c r="G67" s="8"/>
      <c r="J67" s="8">
        <f>J58*2%</f>
        <v>185.78404347826091</v>
      </c>
      <c r="M67" s="185">
        <f>M58/12</f>
        <v>25.121792934782615</v>
      </c>
      <c r="N67" s="59" t="s">
        <v>341</v>
      </c>
      <c r="O67" s="8"/>
    </row>
    <row r="68" spans="1:15" ht="15" customHeight="1" x14ac:dyDescent="0.3">
      <c r="A68" s="39"/>
      <c r="G68" s="8"/>
      <c r="J68" s="185">
        <f>J67/12</f>
        <v>15.48200362318841</v>
      </c>
      <c r="M68" s="185">
        <f>M58/24</f>
        <v>12.560896467391307</v>
      </c>
      <c r="N68" s="59" t="s">
        <v>341</v>
      </c>
      <c r="O68" s="8"/>
    </row>
    <row r="69" spans="1:15" ht="15" customHeight="1" x14ac:dyDescent="0.3">
      <c r="A69" s="39"/>
      <c r="G69" s="8"/>
      <c r="J69" s="185">
        <f>J67/24</f>
        <v>7.741001811594205</v>
      </c>
      <c r="M69" s="8"/>
    </row>
    <row r="70" spans="1:15" ht="15" customHeight="1" x14ac:dyDescent="0.3">
      <c r="A70" s="39"/>
      <c r="G70" s="8"/>
      <c r="J70" s="8"/>
      <c r="M70" s="8"/>
    </row>
    <row r="71" spans="1:15" ht="15" customHeight="1" x14ac:dyDescent="0.3">
      <c r="A71" s="39"/>
      <c r="G71" s="8"/>
      <c r="J71" s="8"/>
    </row>
    <row r="72" spans="1:15" ht="15" customHeight="1" x14ac:dyDescent="0.3">
      <c r="A72" s="39"/>
      <c r="G72" s="8"/>
      <c r="J72" s="8"/>
    </row>
    <row r="73" spans="1:15" ht="15" customHeight="1" x14ac:dyDescent="0.3">
      <c r="A73" s="39"/>
      <c r="G73" s="8"/>
      <c r="J73" s="8"/>
    </row>
    <row r="74" spans="1:15" ht="15" customHeight="1" x14ac:dyDescent="0.3">
      <c r="A74" s="39"/>
      <c r="G74" s="8"/>
      <c r="J74" s="8" t="e">
        <f>#REF!+J58</f>
        <v>#REF!</v>
      </c>
      <c r="N74" s="59" t="s">
        <v>663</v>
      </c>
    </row>
    <row r="75" spans="1:15" ht="15" customHeight="1" x14ac:dyDescent="0.3">
      <c r="A75" s="22"/>
      <c r="J75" s="15" t="e">
        <f>J74*2%</f>
        <v>#REF!</v>
      </c>
      <c r="K75" s="15"/>
    </row>
  </sheetData>
  <sortState xmlns:xlrd2="http://schemas.microsoft.com/office/spreadsheetml/2017/richdata2" ref="A8:O48">
    <sortCondition ref="C8:C48"/>
  </sortState>
  <mergeCells count="2">
    <mergeCell ref="A58:F58"/>
    <mergeCell ref="A3:F3"/>
  </mergeCells>
  <pageMargins left="0.39370078740157483" right="0" top="0.19685039370078741" bottom="0" header="0" footer="0"/>
  <pageSetup paperSize="9" scale="70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74"/>
  <sheetViews>
    <sheetView topLeftCell="J52" workbookViewId="0">
      <selection activeCell="J61" sqref="J61"/>
    </sheetView>
  </sheetViews>
  <sheetFormatPr baseColWidth="10" defaultColWidth="11.44140625" defaultRowHeight="13.2" x14ac:dyDescent="0.25"/>
  <cols>
    <col min="1" max="1" width="43.6640625" style="7" customWidth="1"/>
    <col min="2" max="2" width="27.33203125" style="7" customWidth="1"/>
    <col min="3" max="3" width="26" style="19" customWidth="1"/>
    <col min="4" max="4" width="12.109375" style="63" customWidth="1"/>
    <col min="5" max="5" width="12.6640625" style="7" customWidth="1"/>
    <col min="6" max="6" width="9.44140625" style="7" customWidth="1"/>
    <col min="7" max="7" width="11.88671875" style="7" customWidth="1"/>
    <col min="8" max="8" width="8.88671875" style="7" customWidth="1"/>
    <col min="9" max="9" width="11.88671875" style="63" customWidth="1"/>
    <col min="10" max="10" width="12.5546875" style="7" customWidth="1"/>
    <col min="11" max="11" width="8.88671875" style="7" customWidth="1"/>
    <col min="12" max="12" width="6.44140625" style="7" customWidth="1"/>
    <col min="13" max="13" width="10.33203125" style="7" customWidth="1"/>
    <col min="14" max="14" width="24.33203125" style="59" customWidth="1"/>
    <col min="15" max="16" width="8" style="7" customWidth="1"/>
    <col min="17" max="16384" width="11.44140625" style="7"/>
  </cols>
  <sheetData>
    <row r="1" spans="1:15" ht="15" customHeight="1" x14ac:dyDescent="0.25">
      <c r="B1" s="8"/>
      <c r="C1" s="181"/>
      <c r="G1" s="8"/>
    </row>
    <row r="2" spans="1:15" ht="15" customHeight="1" x14ac:dyDescent="0.25">
      <c r="A2" s="30"/>
      <c r="B2" s="30"/>
      <c r="C2" s="30"/>
      <c r="D2" s="30"/>
      <c r="E2" s="30"/>
      <c r="F2" s="30"/>
      <c r="G2" s="24"/>
      <c r="H2" s="24"/>
      <c r="I2" s="65"/>
      <c r="J2" s="26"/>
      <c r="K2" s="27"/>
      <c r="L2" s="28"/>
      <c r="M2" s="29"/>
    </row>
    <row r="3" spans="1:15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65"/>
      <c r="J3" s="27"/>
      <c r="K3" s="27"/>
      <c r="L3" s="28"/>
      <c r="M3" s="29"/>
    </row>
    <row r="4" spans="1:15" ht="15" customHeight="1" x14ac:dyDescent="0.25">
      <c r="A4" s="30"/>
      <c r="B4" s="31" t="s">
        <v>774</v>
      </c>
      <c r="C4" s="30"/>
      <c r="D4" s="64"/>
      <c r="E4" s="30"/>
      <c r="F4" s="30"/>
      <c r="G4" s="24"/>
      <c r="H4" s="25"/>
      <c r="I4" s="65"/>
      <c r="J4" s="27"/>
      <c r="K4" s="27"/>
      <c r="L4" s="28"/>
      <c r="M4" s="29"/>
    </row>
    <row r="5" spans="1:15" ht="15" customHeight="1" thickBot="1" x14ac:dyDescent="0.3">
      <c r="A5" s="30"/>
      <c r="B5" s="31" t="s">
        <v>22</v>
      </c>
      <c r="C5" s="30"/>
      <c r="D5" s="64"/>
      <c r="E5" s="30"/>
      <c r="F5" s="30"/>
      <c r="G5" s="32"/>
      <c r="H5" s="24"/>
      <c r="I5" s="69"/>
      <c r="J5" s="33"/>
      <c r="K5" s="27"/>
      <c r="L5" s="28"/>
      <c r="M5" s="29"/>
    </row>
    <row r="6" spans="1:15" ht="15" customHeight="1" x14ac:dyDescent="0.25">
      <c r="A6" s="34"/>
      <c r="B6" s="33"/>
      <c r="C6" s="182"/>
      <c r="D6" s="65"/>
      <c r="E6" s="33"/>
      <c r="F6" s="33"/>
      <c r="G6" s="35" t="s">
        <v>3</v>
      </c>
      <c r="H6" s="27"/>
      <c r="I6" s="65"/>
      <c r="J6" s="36" t="s">
        <v>4</v>
      </c>
      <c r="K6" s="56" t="s">
        <v>5</v>
      </c>
      <c r="L6" s="40" t="s">
        <v>6</v>
      </c>
      <c r="M6" s="36" t="s">
        <v>7</v>
      </c>
    </row>
    <row r="7" spans="1:15" ht="15" customHeight="1" x14ac:dyDescent="0.25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62" t="s">
        <v>13</v>
      </c>
      <c r="H7" s="13" t="s">
        <v>14</v>
      </c>
      <c r="I7" s="70" t="s">
        <v>15</v>
      </c>
      <c r="J7" s="14" t="s">
        <v>16</v>
      </c>
      <c r="K7" s="57"/>
      <c r="L7" s="58" t="s">
        <v>17</v>
      </c>
      <c r="M7" s="14" t="s">
        <v>39</v>
      </c>
    </row>
    <row r="8" spans="1:15" ht="15" customHeight="1" x14ac:dyDescent="0.25">
      <c r="A8" s="83" t="s">
        <v>77</v>
      </c>
      <c r="B8" s="107" t="s">
        <v>33</v>
      </c>
      <c r="C8" s="95" t="s">
        <v>776</v>
      </c>
      <c r="D8" s="85">
        <v>45482</v>
      </c>
      <c r="E8" s="86">
        <v>1380</v>
      </c>
      <c r="F8" s="86">
        <v>345</v>
      </c>
      <c r="G8" s="94">
        <f>333.32</f>
        <v>333.32</v>
      </c>
      <c r="H8" s="86">
        <v>155.25</v>
      </c>
      <c r="I8" s="85">
        <v>45666</v>
      </c>
      <c r="J8" s="50">
        <f>(333.32)/1.15</f>
        <v>289.84347826086957</v>
      </c>
      <c r="K8" s="47">
        <f t="shared" ref="K8:K41" si="0">+I8-D8</f>
        <v>184</v>
      </c>
      <c r="L8" s="5">
        <v>0.03</v>
      </c>
      <c r="M8" s="6">
        <f t="shared" ref="M8:M41" si="1">+J8*L8</f>
        <v>8.6953043478260863</v>
      </c>
      <c r="O8" s="78"/>
    </row>
    <row r="9" spans="1:15" ht="15" customHeight="1" x14ac:dyDescent="0.25">
      <c r="A9" s="83" t="s">
        <v>77</v>
      </c>
      <c r="B9" s="107" t="s">
        <v>33</v>
      </c>
      <c r="C9" s="95" t="s">
        <v>776</v>
      </c>
      <c r="D9" s="85">
        <v>45482</v>
      </c>
      <c r="E9" s="86">
        <v>1380</v>
      </c>
      <c r="F9" s="86">
        <v>345</v>
      </c>
      <c r="G9" s="94">
        <v>365</v>
      </c>
      <c r="H9" s="86">
        <v>155.25</v>
      </c>
      <c r="I9" s="85">
        <v>45680</v>
      </c>
      <c r="J9" s="50">
        <f>(365)/1.15</f>
        <v>317.39130434782612</v>
      </c>
      <c r="K9" s="47">
        <f t="shared" si="0"/>
        <v>198</v>
      </c>
      <c r="L9" s="5">
        <v>0.03</v>
      </c>
      <c r="M9" s="6">
        <f t="shared" si="1"/>
        <v>9.5217391304347831</v>
      </c>
      <c r="O9" s="78"/>
    </row>
    <row r="10" spans="1:15" ht="15" customHeight="1" x14ac:dyDescent="0.25">
      <c r="A10" s="83" t="s">
        <v>76</v>
      </c>
      <c r="B10" s="113" t="s">
        <v>18</v>
      </c>
      <c r="C10" s="95" t="s">
        <v>814</v>
      </c>
      <c r="D10" s="85">
        <v>45546</v>
      </c>
      <c r="E10" s="86">
        <v>26.4</v>
      </c>
      <c r="F10" s="86">
        <v>3.96</v>
      </c>
      <c r="G10" s="94">
        <v>24.58</v>
      </c>
      <c r="H10" s="86">
        <v>3.37</v>
      </c>
      <c r="I10" s="106">
        <v>45671</v>
      </c>
      <c r="J10" s="50">
        <f t="shared" ref="J10:J41" si="2">+E10-F10</f>
        <v>22.439999999999998</v>
      </c>
      <c r="K10" s="47">
        <f t="shared" si="0"/>
        <v>125</v>
      </c>
      <c r="L10" s="5">
        <v>0.03</v>
      </c>
      <c r="M10" s="6">
        <f t="shared" si="1"/>
        <v>0.67319999999999991</v>
      </c>
      <c r="O10" s="78"/>
    </row>
    <row r="11" spans="1:15" ht="15" customHeight="1" x14ac:dyDescent="0.25">
      <c r="A11" s="83" t="s">
        <v>76</v>
      </c>
      <c r="B11" s="113" t="s">
        <v>18</v>
      </c>
      <c r="C11" s="95" t="s">
        <v>815</v>
      </c>
      <c r="D11" s="85">
        <v>45553</v>
      </c>
      <c r="E11" s="86">
        <v>178.2</v>
      </c>
      <c r="F11" s="86">
        <v>26.73</v>
      </c>
      <c r="G11" s="94">
        <v>165.86</v>
      </c>
      <c r="H11" s="86">
        <v>22.72</v>
      </c>
      <c r="I11" s="106">
        <v>45671</v>
      </c>
      <c r="J11" s="50">
        <f t="shared" si="2"/>
        <v>151.47</v>
      </c>
      <c r="K11" s="47">
        <f t="shared" si="0"/>
        <v>118</v>
      </c>
      <c r="L11" s="5">
        <v>0.03</v>
      </c>
      <c r="M11" s="6">
        <f t="shared" si="1"/>
        <v>4.5440999999999994</v>
      </c>
      <c r="O11" s="78"/>
    </row>
    <row r="12" spans="1:15" ht="15" customHeight="1" x14ac:dyDescent="0.25">
      <c r="A12" s="83" t="s">
        <v>76</v>
      </c>
      <c r="B12" s="113" t="s">
        <v>18</v>
      </c>
      <c r="C12" s="93" t="s">
        <v>816</v>
      </c>
      <c r="D12" s="88">
        <v>45560</v>
      </c>
      <c r="E12" s="92">
        <v>117</v>
      </c>
      <c r="F12" s="92">
        <v>17.55</v>
      </c>
      <c r="G12" s="96">
        <v>108.9</v>
      </c>
      <c r="H12" s="92">
        <v>14.92</v>
      </c>
      <c r="I12" s="106">
        <v>45671</v>
      </c>
      <c r="J12" s="50">
        <f t="shared" si="2"/>
        <v>99.45</v>
      </c>
      <c r="K12" s="47">
        <f t="shared" si="0"/>
        <v>111</v>
      </c>
      <c r="L12" s="5">
        <v>0.03</v>
      </c>
      <c r="M12" s="6">
        <f t="shared" si="1"/>
        <v>2.9834999999999998</v>
      </c>
      <c r="O12" s="78"/>
    </row>
    <row r="13" spans="1:15" ht="15" customHeight="1" x14ac:dyDescent="0.25">
      <c r="A13" s="83" t="s">
        <v>76</v>
      </c>
      <c r="B13" s="113" t="s">
        <v>18</v>
      </c>
      <c r="C13" s="95" t="s">
        <v>817</v>
      </c>
      <c r="D13" s="85">
        <v>45566</v>
      </c>
      <c r="E13" s="86">
        <v>56.4</v>
      </c>
      <c r="F13" s="86">
        <v>8.4600000000000009</v>
      </c>
      <c r="G13" s="94">
        <v>52.490000000000009</v>
      </c>
      <c r="H13" s="86">
        <v>7.19</v>
      </c>
      <c r="I13" s="106">
        <v>45671</v>
      </c>
      <c r="J13" s="50">
        <f t="shared" si="2"/>
        <v>47.94</v>
      </c>
      <c r="K13" s="47">
        <f t="shared" si="0"/>
        <v>105</v>
      </c>
      <c r="L13" s="5">
        <v>0.03</v>
      </c>
      <c r="M13" s="6">
        <f t="shared" si="1"/>
        <v>1.4381999999999999</v>
      </c>
      <c r="O13" s="78"/>
    </row>
    <row r="14" spans="1:15" ht="15" customHeight="1" x14ac:dyDescent="0.25">
      <c r="A14" s="83" t="s">
        <v>76</v>
      </c>
      <c r="B14" s="113" t="s">
        <v>18</v>
      </c>
      <c r="C14" s="95" t="s">
        <v>818</v>
      </c>
      <c r="D14" s="85">
        <v>45566</v>
      </c>
      <c r="E14" s="86">
        <v>163.80000000000001</v>
      </c>
      <c r="F14" s="86">
        <v>24.57</v>
      </c>
      <c r="G14" s="94">
        <v>152.46000000000004</v>
      </c>
      <c r="H14" s="86">
        <v>20.88</v>
      </c>
      <c r="I14" s="88">
        <v>45671</v>
      </c>
      <c r="J14" s="50">
        <f t="shared" si="2"/>
        <v>139.23000000000002</v>
      </c>
      <c r="K14" s="47">
        <f t="shared" si="0"/>
        <v>105</v>
      </c>
      <c r="L14" s="5">
        <v>0.03</v>
      </c>
      <c r="M14" s="6">
        <f t="shared" si="1"/>
        <v>4.1769000000000007</v>
      </c>
      <c r="O14" s="78"/>
    </row>
    <row r="15" spans="1:15" ht="15" customHeight="1" x14ac:dyDescent="0.25">
      <c r="A15" s="83" t="s">
        <v>76</v>
      </c>
      <c r="B15" s="113" t="s">
        <v>18</v>
      </c>
      <c r="C15" s="95" t="s">
        <v>819</v>
      </c>
      <c r="D15" s="85">
        <v>45574</v>
      </c>
      <c r="E15" s="86">
        <v>23.4</v>
      </c>
      <c r="F15" s="86">
        <v>3.51</v>
      </c>
      <c r="G15" s="94">
        <v>21.78</v>
      </c>
      <c r="H15" s="86">
        <v>2.98</v>
      </c>
      <c r="I15" s="106">
        <v>45671</v>
      </c>
      <c r="J15" s="50">
        <f t="shared" si="2"/>
        <v>19.89</v>
      </c>
      <c r="K15" s="47">
        <f t="shared" si="0"/>
        <v>97</v>
      </c>
      <c r="L15" s="5">
        <v>0.03</v>
      </c>
      <c r="M15" s="6">
        <f t="shared" si="1"/>
        <v>0.59670000000000001</v>
      </c>
      <c r="O15" s="78"/>
    </row>
    <row r="16" spans="1:15" ht="15" customHeight="1" x14ac:dyDescent="0.25">
      <c r="A16" s="83" t="s">
        <v>76</v>
      </c>
      <c r="B16" s="113" t="s">
        <v>18</v>
      </c>
      <c r="C16" s="95" t="s">
        <v>820</v>
      </c>
      <c r="D16" s="85">
        <v>45580</v>
      </c>
      <c r="E16" s="86">
        <v>46.8</v>
      </c>
      <c r="F16" s="86">
        <v>7.02</v>
      </c>
      <c r="G16" s="94">
        <v>43.56</v>
      </c>
      <c r="H16" s="86">
        <v>5.97</v>
      </c>
      <c r="I16" s="106">
        <v>45671</v>
      </c>
      <c r="J16" s="50">
        <f t="shared" si="2"/>
        <v>39.78</v>
      </c>
      <c r="K16" s="47">
        <f t="shared" si="0"/>
        <v>91</v>
      </c>
      <c r="L16" s="5">
        <v>0.03</v>
      </c>
      <c r="M16" s="6">
        <f t="shared" si="1"/>
        <v>1.1934</v>
      </c>
      <c r="O16" s="78"/>
    </row>
    <row r="17" spans="1:15" ht="15" customHeight="1" x14ac:dyDescent="0.25">
      <c r="A17" s="83" t="s">
        <v>76</v>
      </c>
      <c r="B17" s="113" t="s">
        <v>18</v>
      </c>
      <c r="C17" s="95" t="s">
        <v>821</v>
      </c>
      <c r="D17" s="85">
        <v>45581</v>
      </c>
      <c r="E17" s="86">
        <v>21.6</v>
      </c>
      <c r="F17" s="86">
        <v>3.24</v>
      </c>
      <c r="G17" s="94">
        <v>20.100000000000001</v>
      </c>
      <c r="H17" s="86">
        <v>2.75</v>
      </c>
      <c r="I17" s="106">
        <v>45671</v>
      </c>
      <c r="J17" s="50">
        <f t="shared" si="2"/>
        <v>18.36</v>
      </c>
      <c r="K17" s="47">
        <f t="shared" si="0"/>
        <v>90</v>
      </c>
      <c r="L17" s="5">
        <v>0.03</v>
      </c>
      <c r="M17" s="6">
        <f t="shared" si="1"/>
        <v>0.55079999999999996</v>
      </c>
      <c r="O17" s="78"/>
    </row>
    <row r="18" spans="1:15" ht="15" customHeight="1" x14ac:dyDescent="0.25">
      <c r="A18" s="83" t="s">
        <v>76</v>
      </c>
      <c r="B18" s="113" t="s">
        <v>18</v>
      </c>
      <c r="C18" s="95" t="s">
        <v>822</v>
      </c>
      <c r="D18" s="85">
        <v>45581</v>
      </c>
      <c r="E18" s="86">
        <v>70.2</v>
      </c>
      <c r="F18" s="86">
        <v>10.53</v>
      </c>
      <c r="G18" s="94">
        <v>65.330000000000013</v>
      </c>
      <c r="H18" s="86">
        <v>8.9499999999999993</v>
      </c>
      <c r="I18" s="106">
        <v>45671</v>
      </c>
      <c r="J18" s="50">
        <f t="shared" si="2"/>
        <v>59.67</v>
      </c>
      <c r="K18" s="47">
        <f t="shared" si="0"/>
        <v>90</v>
      </c>
      <c r="L18" s="5">
        <v>0.03</v>
      </c>
      <c r="M18" s="6">
        <f t="shared" si="1"/>
        <v>1.7901</v>
      </c>
      <c r="O18" s="78"/>
    </row>
    <row r="19" spans="1:15" ht="15" customHeight="1" x14ac:dyDescent="0.25">
      <c r="A19" s="83" t="s">
        <v>76</v>
      </c>
      <c r="B19" s="113" t="s">
        <v>18</v>
      </c>
      <c r="C19" s="95" t="s">
        <v>823</v>
      </c>
      <c r="D19" s="85">
        <v>45588</v>
      </c>
      <c r="E19" s="86">
        <v>21.6</v>
      </c>
      <c r="F19" s="86">
        <v>3.24</v>
      </c>
      <c r="G19" s="94">
        <v>20.100000000000001</v>
      </c>
      <c r="H19" s="86">
        <v>2.75</v>
      </c>
      <c r="I19" s="106">
        <v>45671</v>
      </c>
      <c r="J19" s="50">
        <f t="shared" si="2"/>
        <v>18.36</v>
      </c>
      <c r="K19" s="47">
        <f t="shared" si="0"/>
        <v>83</v>
      </c>
      <c r="L19" s="5">
        <v>0.03</v>
      </c>
      <c r="M19" s="6">
        <f t="shared" si="1"/>
        <v>0.55079999999999996</v>
      </c>
      <c r="O19" s="78"/>
    </row>
    <row r="20" spans="1:15" ht="15" customHeight="1" x14ac:dyDescent="0.25">
      <c r="A20" s="83" t="s">
        <v>103</v>
      </c>
      <c r="B20" s="160" t="s">
        <v>31</v>
      </c>
      <c r="C20" s="95" t="s">
        <v>824</v>
      </c>
      <c r="D20" s="85">
        <v>45593</v>
      </c>
      <c r="E20" s="86">
        <v>158.4</v>
      </c>
      <c r="F20" s="86">
        <v>23.76</v>
      </c>
      <c r="G20" s="94">
        <v>154.84</v>
      </c>
      <c r="H20" s="86">
        <v>20.2</v>
      </c>
      <c r="I20" s="106">
        <v>45667</v>
      </c>
      <c r="J20" s="50">
        <f t="shared" si="2"/>
        <v>134.64000000000001</v>
      </c>
      <c r="K20" s="47">
        <f t="shared" si="0"/>
        <v>74</v>
      </c>
      <c r="L20" s="5">
        <v>0.03</v>
      </c>
      <c r="M20" s="6">
        <f t="shared" si="1"/>
        <v>4.0392000000000001</v>
      </c>
      <c r="O20" s="78"/>
    </row>
    <row r="21" spans="1:15" ht="15" customHeight="1" x14ac:dyDescent="0.25">
      <c r="A21" s="83" t="s">
        <v>76</v>
      </c>
      <c r="B21" s="113" t="s">
        <v>18</v>
      </c>
      <c r="C21" s="95" t="s">
        <v>825</v>
      </c>
      <c r="D21" s="85">
        <v>45601</v>
      </c>
      <c r="E21" s="86">
        <v>73.92</v>
      </c>
      <c r="F21" s="86">
        <v>11.09</v>
      </c>
      <c r="G21" s="94">
        <v>68.790000000000006</v>
      </c>
      <c r="H21" s="86">
        <v>9.42</v>
      </c>
      <c r="I21" s="106">
        <v>45671</v>
      </c>
      <c r="J21" s="50">
        <f t="shared" si="2"/>
        <v>62.83</v>
      </c>
      <c r="K21" s="47">
        <f t="shared" si="0"/>
        <v>70</v>
      </c>
      <c r="L21" s="5">
        <v>0.03</v>
      </c>
      <c r="M21" s="6">
        <f t="shared" si="1"/>
        <v>1.8848999999999998</v>
      </c>
      <c r="O21" s="78"/>
    </row>
    <row r="22" spans="1:15" ht="15" customHeight="1" x14ac:dyDescent="0.25">
      <c r="A22" s="83" t="s">
        <v>85</v>
      </c>
      <c r="B22" s="160" t="s">
        <v>23</v>
      </c>
      <c r="C22" s="95" t="s">
        <v>827</v>
      </c>
      <c r="D22" s="85">
        <v>45608</v>
      </c>
      <c r="E22" s="86">
        <v>212.16</v>
      </c>
      <c r="F22" s="86">
        <v>42.42</v>
      </c>
      <c r="G22" s="94">
        <v>195.2</v>
      </c>
      <c r="H22" s="86">
        <v>25.46</v>
      </c>
      <c r="I22" s="106">
        <v>45679</v>
      </c>
      <c r="J22" s="50">
        <f t="shared" si="2"/>
        <v>169.74</v>
      </c>
      <c r="K22" s="47">
        <f t="shared" si="0"/>
        <v>71</v>
      </c>
      <c r="L22" s="5">
        <v>0.03</v>
      </c>
      <c r="M22" s="6">
        <f t="shared" si="1"/>
        <v>5.0922000000000001</v>
      </c>
      <c r="O22" s="78"/>
    </row>
    <row r="23" spans="1:15" ht="15" customHeight="1" x14ac:dyDescent="0.25">
      <c r="A23" s="83" t="s">
        <v>89</v>
      </c>
      <c r="B23" s="113" t="s">
        <v>18</v>
      </c>
      <c r="C23" s="95" t="s">
        <v>828</v>
      </c>
      <c r="D23" s="85">
        <v>45610</v>
      </c>
      <c r="E23" s="86">
        <v>196.2</v>
      </c>
      <c r="F23" s="86">
        <v>39.24</v>
      </c>
      <c r="G23" s="94">
        <v>171.87</v>
      </c>
      <c r="H23" s="86">
        <v>23.54</v>
      </c>
      <c r="I23" s="106">
        <v>45665</v>
      </c>
      <c r="J23" s="50">
        <f t="shared" si="2"/>
        <v>156.95999999999998</v>
      </c>
      <c r="K23" s="47">
        <f t="shared" si="0"/>
        <v>55</v>
      </c>
      <c r="L23" s="5">
        <v>0.03</v>
      </c>
      <c r="M23" s="6">
        <f t="shared" si="1"/>
        <v>4.7087999999999992</v>
      </c>
      <c r="O23" s="78"/>
    </row>
    <row r="24" spans="1:15" ht="15" customHeight="1" x14ac:dyDescent="0.25">
      <c r="A24" s="83" t="s">
        <v>76</v>
      </c>
      <c r="B24" s="113" t="s">
        <v>18</v>
      </c>
      <c r="C24" s="95" t="s">
        <v>829</v>
      </c>
      <c r="D24" s="85">
        <v>45610</v>
      </c>
      <c r="E24" s="86">
        <v>21.6</v>
      </c>
      <c r="F24" s="86">
        <v>3.24</v>
      </c>
      <c r="G24" s="94">
        <v>20.100000000000001</v>
      </c>
      <c r="H24" s="86">
        <v>2.75</v>
      </c>
      <c r="I24" s="106">
        <v>45671</v>
      </c>
      <c r="J24" s="50">
        <f t="shared" si="2"/>
        <v>18.36</v>
      </c>
      <c r="K24" s="47">
        <f t="shared" si="0"/>
        <v>61</v>
      </c>
      <c r="L24" s="5">
        <v>0.03</v>
      </c>
      <c r="M24" s="6">
        <f t="shared" si="1"/>
        <v>0.55079999999999996</v>
      </c>
      <c r="O24" s="78"/>
    </row>
    <row r="25" spans="1:15" ht="15" customHeight="1" x14ac:dyDescent="0.25">
      <c r="A25" s="171" t="s">
        <v>89</v>
      </c>
      <c r="B25" s="113" t="s">
        <v>18</v>
      </c>
      <c r="C25" s="184" t="s">
        <v>830</v>
      </c>
      <c r="D25" s="172">
        <v>45617</v>
      </c>
      <c r="E25" s="87">
        <v>549.476</v>
      </c>
      <c r="F25" s="87">
        <v>109.896</v>
      </c>
      <c r="G25" s="94">
        <v>481.34000000000003</v>
      </c>
      <c r="H25" s="87">
        <v>65.94</v>
      </c>
      <c r="I25" s="106">
        <v>45665</v>
      </c>
      <c r="J25" s="50">
        <f t="shared" si="2"/>
        <v>439.58</v>
      </c>
      <c r="K25" s="47">
        <f t="shared" si="0"/>
        <v>48</v>
      </c>
      <c r="L25" s="5">
        <v>0.03</v>
      </c>
      <c r="M25" s="6">
        <f t="shared" si="1"/>
        <v>13.187399999999998</v>
      </c>
      <c r="O25" s="78"/>
    </row>
    <row r="26" spans="1:15" ht="15" customHeight="1" x14ac:dyDescent="0.25">
      <c r="A26" s="171" t="s">
        <v>113</v>
      </c>
      <c r="B26" s="55" t="s">
        <v>18</v>
      </c>
      <c r="C26" s="184" t="s">
        <v>831</v>
      </c>
      <c r="D26" s="172">
        <v>45621</v>
      </c>
      <c r="E26" s="87">
        <v>1069.2</v>
      </c>
      <c r="F26" s="87">
        <v>267.3</v>
      </c>
      <c r="G26" s="94">
        <v>878.08</v>
      </c>
      <c r="H26" s="87">
        <v>120.29</v>
      </c>
      <c r="I26" s="106">
        <v>45685</v>
      </c>
      <c r="J26" s="50">
        <f t="shared" si="2"/>
        <v>801.90000000000009</v>
      </c>
      <c r="K26" s="47">
        <f t="shared" si="0"/>
        <v>64</v>
      </c>
      <c r="L26" s="5">
        <v>0.03</v>
      </c>
      <c r="M26" s="6">
        <f t="shared" si="1"/>
        <v>24.057000000000002</v>
      </c>
      <c r="O26" s="78"/>
    </row>
    <row r="27" spans="1:15" ht="15" customHeight="1" x14ac:dyDescent="0.25">
      <c r="A27" s="171" t="s">
        <v>80</v>
      </c>
      <c r="B27" s="113" t="s">
        <v>18</v>
      </c>
      <c r="C27" s="184" t="s">
        <v>832</v>
      </c>
      <c r="D27" s="172">
        <v>45622</v>
      </c>
      <c r="E27" s="87">
        <v>612</v>
      </c>
      <c r="F27" s="87">
        <v>122.4</v>
      </c>
      <c r="G27" s="94">
        <v>536.11</v>
      </c>
      <c r="H27" s="87">
        <v>73.44</v>
      </c>
      <c r="I27" s="106">
        <v>45671</v>
      </c>
      <c r="J27" s="50">
        <f t="shared" si="2"/>
        <v>489.6</v>
      </c>
      <c r="K27" s="47">
        <f t="shared" si="0"/>
        <v>49</v>
      </c>
      <c r="L27" s="5">
        <v>0.03</v>
      </c>
      <c r="M27" s="6">
        <f t="shared" si="1"/>
        <v>14.688000000000001</v>
      </c>
      <c r="O27" s="78"/>
    </row>
    <row r="28" spans="1:15" ht="15" customHeight="1" x14ac:dyDescent="0.25">
      <c r="A28" s="171" t="s">
        <v>80</v>
      </c>
      <c r="B28" s="113" t="s">
        <v>18</v>
      </c>
      <c r="C28" s="184" t="s">
        <v>833</v>
      </c>
      <c r="D28" s="172">
        <v>45623</v>
      </c>
      <c r="E28" s="87">
        <v>102</v>
      </c>
      <c r="F28" s="87">
        <v>20.399999999999999</v>
      </c>
      <c r="G28" s="94">
        <v>89.350000000000009</v>
      </c>
      <c r="H28" s="87">
        <v>12.24</v>
      </c>
      <c r="I28" s="106">
        <v>45671</v>
      </c>
      <c r="J28" s="50">
        <f t="shared" si="2"/>
        <v>81.599999999999994</v>
      </c>
      <c r="K28" s="47">
        <f t="shared" si="0"/>
        <v>48</v>
      </c>
      <c r="L28" s="5">
        <v>0.03</v>
      </c>
      <c r="M28" s="6">
        <f t="shared" si="1"/>
        <v>2.448</v>
      </c>
      <c r="O28" s="78"/>
    </row>
    <row r="29" spans="1:15" ht="15" customHeight="1" x14ac:dyDescent="0.25">
      <c r="A29" s="171" t="s">
        <v>47</v>
      </c>
      <c r="B29" s="107" t="s">
        <v>18</v>
      </c>
      <c r="C29" s="184" t="s">
        <v>834</v>
      </c>
      <c r="D29" s="172">
        <v>45624</v>
      </c>
      <c r="E29" s="87">
        <v>615.476</v>
      </c>
      <c r="F29" s="87">
        <v>123.096</v>
      </c>
      <c r="G29" s="94">
        <v>566.24</v>
      </c>
      <c r="H29" s="87">
        <v>73.86</v>
      </c>
      <c r="I29" s="106">
        <v>45687</v>
      </c>
      <c r="J29" s="50">
        <f t="shared" si="2"/>
        <v>492.38</v>
      </c>
      <c r="K29" s="47">
        <f t="shared" si="0"/>
        <v>63</v>
      </c>
      <c r="L29" s="5">
        <v>0.03</v>
      </c>
      <c r="M29" s="6">
        <f t="shared" si="1"/>
        <v>14.7714</v>
      </c>
      <c r="O29" s="78"/>
    </row>
    <row r="30" spans="1:15" ht="15" customHeight="1" x14ac:dyDescent="0.25">
      <c r="A30" s="171" t="s">
        <v>130</v>
      </c>
      <c r="B30" s="160" t="s">
        <v>84</v>
      </c>
      <c r="C30" s="184" t="s">
        <v>846</v>
      </c>
      <c r="D30" s="172">
        <v>45663</v>
      </c>
      <c r="E30" s="87">
        <v>102</v>
      </c>
      <c r="F30" s="87">
        <v>15.3</v>
      </c>
      <c r="G30" s="94">
        <f>99.71</f>
        <v>99.71</v>
      </c>
      <c r="H30" s="87">
        <v>13.01</v>
      </c>
      <c r="I30" s="172">
        <v>45664</v>
      </c>
      <c r="J30" s="50">
        <f t="shared" si="2"/>
        <v>86.7</v>
      </c>
      <c r="K30" s="47">
        <f t="shared" si="0"/>
        <v>1</v>
      </c>
      <c r="L30" s="5">
        <v>0.04</v>
      </c>
      <c r="M30" s="6">
        <f t="shared" si="1"/>
        <v>3.468</v>
      </c>
      <c r="O30" s="78"/>
    </row>
    <row r="31" spans="1:15" ht="15" customHeight="1" x14ac:dyDescent="0.25">
      <c r="A31" s="171" t="s">
        <v>71</v>
      </c>
      <c r="B31" s="160" t="s">
        <v>24</v>
      </c>
      <c r="C31" s="184" t="s">
        <v>845</v>
      </c>
      <c r="D31" s="172">
        <v>45665</v>
      </c>
      <c r="E31" s="87">
        <v>95.04</v>
      </c>
      <c r="F31" s="87">
        <v>19.010000000000002</v>
      </c>
      <c r="G31" s="94">
        <f>87.43</f>
        <v>87.43</v>
      </c>
      <c r="H31" s="87">
        <v>11.4</v>
      </c>
      <c r="I31" s="172">
        <v>45671</v>
      </c>
      <c r="J31" s="50">
        <f t="shared" si="2"/>
        <v>76.03</v>
      </c>
      <c r="K31" s="47">
        <f t="shared" si="0"/>
        <v>6</v>
      </c>
      <c r="L31" s="5">
        <v>0.04</v>
      </c>
      <c r="M31" s="6">
        <f t="shared" si="1"/>
        <v>3.0411999999999999</v>
      </c>
      <c r="O31" s="78"/>
    </row>
    <row r="32" spans="1:15" ht="15" customHeight="1" x14ac:dyDescent="0.25">
      <c r="A32" s="173" t="s">
        <v>102</v>
      </c>
      <c r="B32" s="160" t="s">
        <v>18</v>
      </c>
      <c r="C32" s="183" t="s">
        <v>844</v>
      </c>
      <c r="D32" s="174">
        <v>45667</v>
      </c>
      <c r="E32" s="104">
        <v>70.2</v>
      </c>
      <c r="F32" s="104">
        <v>10.53</v>
      </c>
      <c r="G32" s="96">
        <f>68.62</f>
        <v>68.62</v>
      </c>
      <c r="H32" s="104">
        <v>8.9499999999999993</v>
      </c>
      <c r="I32" s="106">
        <v>45688</v>
      </c>
      <c r="J32" s="50">
        <f t="shared" si="2"/>
        <v>59.67</v>
      </c>
      <c r="K32" s="47">
        <f t="shared" si="0"/>
        <v>21</v>
      </c>
      <c r="L32" s="5">
        <v>3.5000000000000003E-2</v>
      </c>
      <c r="M32" s="6">
        <f t="shared" si="1"/>
        <v>2.0884500000000004</v>
      </c>
      <c r="O32" s="78"/>
    </row>
    <row r="33" spans="1:15" ht="15" customHeight="1" x14ac:dyDescent="0.25">
      <c r="A33" s="171" t="s">
        <v>40</v>
      </c>
      <c r="B33" s="160" t="s">
        <v>18</v>
      </c>
      <c r="C33" s="184" t="s">
        <v>842</v>
      </c>
      <c r="D33" s="172">
        <v>45671</v>
      </c>
      <c r="E33" s="87">
        <v>210.12</v>
      </c>
      <c r="F33" s="87">
        <v>46.23</v>
      </c>
      <c r="G33" s="94">
        <v>179.46</v>
      </c>
      <c r="H33" s="87">
        <v>24.58</v>
      </c>
      <c r="I33" s="172">
        <v>45686</v>
      </c>
      <c r="J33" s="50">
        <f t="shared" si="2"/>
        <v>163.89000000000001</v>
      </c>
      <c r="K33" s="47">
        <f t="shared" si="0"/>
        <v>15</v>
      </c>
      <c r="L33" s="5">
        <v>3.5000000000000003E-2</v>
      </c>
      <c r="M33" s="6">
        <f t="shared" si="1"/>
        <v>5.7361500000000012</v>
      </c>
      <c r="O33" s="78"/>
    </row>
    <row r="34" spans="1:15" ht="15" customHeight="1" x14ac:dyDescent="0.25">
      <c r="A34" s="171" t="s">
        <v>44</v>
      </c>
      <c r="B34" s="160" t="s">
        <v>18</v>
      </c>
      <c r="C34" s="184" t="s">
        <v>843</v>
      </c>
      <c r="D34" s="172">
        <v>45671</v>
      </c>
      <c r="E34" s="87">
        <v>40.799999999999997</v>
      </c>
      <c r="F34" s="87">
        <v>8.16</v>
      </c>
      <c r="G34" s="94">
        <v>35.74</v>
      </c>
      <c r="H34" s="87">
        <v>4.9000000000000004</v>
      </c>
      <c r="I34" s="106">
        <v>45672</v>
      </c>
      <c r="J34" s="50">
        <f t="shared" si="2"/>
        <v>32.64</v>
      </c>
      <c r="K34" s="47">
        <f t="shared" si="0"/>
        <v>1</v>
      </c>
      <c r="L34" s="5">
        <v>0.04</v>
      </c>
      <c r="M34" s="6">
        <f t="shared" si="1"/>
        <v>1.3056000000000001</v>
      </c>
      <c r="O34" s="78"/>
    </row>
    <row r="35" spans="1:15" ht="15" customHeight="1" x14ac:dyDescent="0.25">
      <c r="A35" s="171" t="s">
        <v>71</v>
      </c>
      <c r="B35" s="160" t="s">
        <v>24</v>
      </c>
      <c r="C35" s="184" t="s">
        <v>840</v>
      </c>
      <c r="D35" s="172">
        <v>45673</v>
      </c>
      <c r="E35" s="87">
        <v>629.52</v>
      </c>
      <c r="F35" s="87">
        <v>157.38</v>
      </c>
      <c r="G35" s="94">
        <f>542.96</f>
        <v>542.96</v>
      </c>
      <c r="H35" s="179">
        <v>70.819999999999993</v>
      </c>
      <c r="I35" s="172">
        <v>45686</v>
      </c>
      <c r="J35" s="50">
        <f t="shared" si="2"/>
        <v>472.14</v>
      </c>
      <c r="K35" s="47">
        <f t="shared" si="0"/>
        <v>13</v>
      </c>
      <c r="L35" s="5">
        <v>3.5000000000000003E-2</v>
      </c>
      <c r="M35" s="6">
        <f t="shared" si="1"/>
        <v>16.524900000000002</v>
      </c>
      <c r="O35" s="78"/>
    </row>
    <row r="36" spans="1:15" ht="15" customHeight="1" x14ac:dyDescent="0.25">
      <c r="A36" s="171" t="s">
        <v>625</v>
      </c>
      <c r="B36" s="160" t="s">
        <v>18</v>
      </c>
      <c r="C36" s="184" t="s">
        <v>841</v>
      </c>
      <c r="D36" s="172">
        <v>45674</v>
      </c>
      <c r="E36" s="87">
        <v>61.2</v>
      </c>
      <c r="F36" s="87">
        <v>9.18</v>
      </c>
      <c r="G36" s="94">
        <v>59.82</v>
      </c>
      <c r="H36" s="179">
        <v>7.8</v>
      </c>
      <c r="I36" s="172">
        <v>45680</v>
      </c>
      <c r="J36" s="50">
        <f t="shared" si="2"/>
        <v>52.02</v>
      </c>
      <c r="K36" s="47">
        <f t="shared" si="0"/>
        <v>6</v>
      </c>
      <c r="L36" s="5">
        <v>3.5000000000000003E-2</v>
      </c>
      <c r="M36" s="6">
        <f t="shared" si="1"/>
        <v>1.8207000000000002</v>
      </c>
      <c r="O36" s="78"/>
    </row>
    <row r="37" spans="1:15" ht="15" customHeight="1" x14ac:dyDescent="0.25">
      <c r="A37" s="171" t="s">
        <v>44</v>
      </c>
      <c r="B37" s="160" t="s">
        <v>18</v>
      </c>
      <c r="C37" s="184" t="s">
        <v>839</v>
      </c>
      <c r="D37" s="172">
        <v>45677</v>
      </c>
      <c r="E37" s="87">
        <v>36.96</v>
      </c>
      <c r="F37" s="87">
        <v>5.54</v>
      </c>
      <c r="G37" s="94">
        <f>36.13-0.31-1.41-0.01</f>
        <v>34.400000000000006</v>
      </c>
      <c r="H37" s="179">
        <v>4.71</v>
      </c>
      <c r="I37" s="172">
        <v>45678</v>
      </c>
      <c r="J37" s="50">
        <f t="shared" si="2"/>
        <v>31.42</v>
      </c>
      <c r="K37" s="47">
        <f t="shared" si="0"/>
        <v>1</v>
      </c>
      <c r="L37" s="5">
        <v>0.04</v>
      </c>
      <c r="M37" s="6">
        <f t="shared" si="1"/>
        <v>1.2568000000000001</v>
      </c>
      <c r="O37" s="78"/>
    </row>
    <row r="38" spans="1:15" ht="15" customHeight="1" x14ac:dyDescent="0.25">
      <c r="A38" s="171" t="s">
        <v>478</v>
      </c>
      <c r="B38" s="160" t="s">
        <v>120</v>
      </c>
      <c r="C38" s="184" t="s">
        <v>838</v>
      </c>
      <c r="D38" s="172">
        <v>45677</v>
      </c>
      <c r="E38" s="87">
        <v>28.56</v>
      </c>
      <c r="F38" s="87">
        <v>0</v>
      </c>
      <c r="G38" s="94">
        <v>32.840000000000003</v>
      </c>
      <c r="H38" s="179">
        <v>4.28</v>
      </c>
      <c r="I38" s="172">
        <v>45678</v>
      </c>
      <c r="J38" s="50">
        <f t="shared" si="2"/>
        <v>28.56</v>
      </c>
      <c r="K38" s="47">
        <f t="shared" si="0"/>
        <v>1</v>
      </c>
      <c r="L38" s="5">
        <v>0.04</v>
      </c>
      <c r="M38" s="6">
        <f t="shared" si="1"/>
        <v>1.1424000000000001</v>
      </c>
      <c r="O38" s="78"/>
    </row>
    <row r="39" spans="1:15" ht="15" customHeight="1" x14ac:dyDescent="0.25">
      <c r="A39" s="171" t="s">
        <v>89</v>
      </c>
      <c r="B39" s="160" t="s">
        <v>18</v>
      </c>
      <c r="C39" s="184" t="s">
        <v>835</v>
      </c>
      <c r="D39" s="172">
        <v>45677</v>
      </c>
      <c r="E39" s="87">
        <v>60.72</v>
      </c>
      <c r="F39" s="87">
        <v>9.11</v>
      </c>
      <c r="G39" s="94">
        <f>59.35-0.52-2.32</f>
        <v>56.51</v>
      </c>
      <c r="H39" s="179">
        <v>7.74</v>
      </c>
      <c r="I39" s="172">
        <v>45678</v>
      </c>
      <c r="J39" s="50">
        <f t="shared" si="2"/>
        <v>51.61</v>
      </c>
      <c r="K39" s="47">
        <f t="shared" si="0"/>
        <v>1</v>
      </c>
      <c r="L39" s="5">
        <v>0.04</v>
      </c>
      <c r="M39" s="6">
        <f t="shared" si="1"/>
        <v>2.0644</v>
      </c>
      <c r="O39" s="78"/>
    </row>
    <row r="40" spans="1:15" ht="15" customHeight="1" x14ac:dyDescent="0.25">
      <c r="A40" s="171" t="s">
        <v>78</v>
      </c>
      <c r="B40" s="160" t="s">
        <v>18</v>
      </c>
      <c r="C40" s="184" t="s">
        <v>836</v>
      </c>
      <c r="D40" s="172">
        <v>45678</v>
      </c>
      <c r="E40" s="87">
        <v>25.08</v>
      </c>
      <c r="F40" s="87">
        <v>1.25</v>
      </c>
      <c r="G40" s="94">
        <f>27.4</f>
        <v>27.4</v>
      </c>
      <c r="H40" s="179">
        <v>3.57</v>
      </c>
      <c r="I40" s="172">
        <v>45680</v>
      </c>
      <c r="J40" s="50">
        <f t="shared" si="2"/>
        <v>23.83</v>
      </c>
      <c r="K40" s="47">
        <f t="shared" si="0"/>
        <v>2</v>
      </c>
      <c r="L40" s="5">
        <v>3.5000000000000003E-2</v>
      </c>
      <c r="M40" s="6">
        <f t="shared" si="1"/>
        <v>0.83405000000000007</v>
      </c>
      <c r="O40" s="78"/>
    </row>
    <row r="41" spans="1:15" ht="15" customHeight="1" x14ac:dyDescent="0.25">
      <c r="A41" s="171" t="s">
        <v>41</v>
      </c>
      <c r="B41" s="160" t="s">
        <v>18</v>
      </c>
      <c r="C41" s="184" t="s">
        <v>837</v>
      </c>
      <c r="D41" s="172">
        <v>45679</v>
      </c>
      <c r="E41" s="87">
        <v>40.799999999999997</v>
      </c>
      <c r="F41" s="87">
        <v>2.04</v>
      </c>
      <c r="G41" s="94">
        <f>44.57</f>
        <v>44.57</v>
      </c>
      <c r="H41" s="179">
        <v>5.81</v>
      </c>
      <c r="I41" s="172">
        <v>45680</v>
      </c>
      <c r="J41" s="50">
        <f t="shared" si="2"/>
        <v>38.76</v>
      </c>
      <c r="K41" s="47">
        <f t="shared" si="0"/>
        <v>1</v>
      </c>
      <c r="L41" s="5">
        <v>0.04</v>
      </c>
      <c r="M41" s="6">
        <f t="shared" si="1"/>
        <v>1.5504</v>
      </c>
      <c r="O41" s="78"/>
    </row>
    <row r="42" spans="1:15" ht="15" customHeight="1" x14ac:dyDescent="0.25">
      <c r="A42" s="115"/>
      <c r="B42" s="136"/>
      <c r="C42" s="117"/>
      <c r="D42" s="118"/>
      <c r="E42" s="119"/>
      <c r="F42" s="119"/>
      <c r="G42" s="120"/>
      <c r="H42" s="119"/>
      <c r="I42" s="121"/>
      <c r="J42" s="50"/>
      <c r="K42" s="47"/>
      <c r="L42" s="5"/>
      <c r="M42" s="6"/>
      <c r="O42" s="78"/>
    </row>
    <row r="43" spans="1:15" ht="15" customHeight="1" x14ac:dyDescent="0.3">
      <c r="G43" s="16">
        <f>SUM(G8:G42)</f>
        <v>5804.8599999999988</v>
      </c>
      <c r="J43" s="16">
        <f>SUM(J8:J42)</f>
        <v>5188.6847826086978</v>
      </c>
      <c r="M43" s="16">
        <f>SUM(M8:M42)</f>
        <v>162.97549347826086</v>
      </c>
    </row>
    <row r="44" spans="1:15" ht="15" customHeight="1" x14ac:dyDescent="0.25">
      <c r="G44" s="8"/>
      <c r="H44" s="8"/>
    </row>
    <row r="45" spans="1:15" ht="15" customHeight="1" x14ac:dyDescent="0.25">
      <c r="A45" s="17" t="s">
        <v>19</v>
      </c>
      <c r="B45" s="17" t="s">
        <v>20</v>
      </c>
      <c r="C45" s="18" t="s">
        <v>21</v>
      </c>
      <c r="I45" s="8"/>
      <c r="J45" s="8"/>
    </row>
    <row r="46" spans="1:15" s="52" customFormat="1" ht="15" customHeight="1" x14ac:dyDescent="0.25">
      <c r="A46" s="101" t="s">
        <v>40</v>
      </c>
      <c r="B46" s="101" t="s">
        <v>850</v>
      </c>
      <c r="C46" s="102" t="s">
        <v>861</v>
      </c>
      <c r="D46" s="105">
        <v>45664</v>
      </c>
      <c r="E46" s="92">
        <v>912</v>
      </c>
      <c r="F46" s="92">
        <v>228</v>
      </c>
      <c r="G46" s="90">
        <v>748.98</v>
      </c>
      <c r="H46" s="92">
        <v>102.6</v>
      </c>
      <c r="I46" s="105">
        <v>45695</v>
      </c>
      <c r="J46" s="50">
        <f>+E46-F46</f>
        <v>684</v>
      </c>
      <c r="K46" s="47">
        <f>+I46-D46</f>
        <v>31</v>
      </c>
      <c r="L46" s="48">
        <v>0.03</v>
      </c>
      <c r="M46" s="49">
        <f>+J46*L46</f>
        <v>20.52</v>
      </c>
      <c r="N46" s="60"/>
      <c r="O46" s="78"/>
    </row>
    <row r="47" spans="1:15" s="52" customFormat="1" ht="15" customHeight="1" x14ac:dyDescent="0.25">
      <c r="A47" s="101" t="s">
        <v>52</v>
      </c>
      <c r="B47" s="101" t="s">
        <v>851</v>
      </c>
      <c r="C47" s="102" t="s">
        <v>862</v>
      </c>
      <c r="D47" s="105">
        <v>45665</v>
      </c>
      <c r="E47" s="92">
        <v>204</v>
      </c>
      <c r="F47" s="92">
        <v>51</v>
      </c>
      <c r="G47" s="90">
        <v>167.53</v>
      </c>
      <c r="H47" s="92">
        <v>22.95</v>
      </c>
      <c r="I47" s="105">
        <v>45724</v>
      </c>
      <c r="J47" s="50">
        <f>+E47-F47</f>
        <v>153</v>
      </c>
      <c r="K47" s="47">
        <f>+I47-D47</f>
        <v>59</v>
      </c>
      <c r="L47" s="48">
        <v>0.03</v>
      </c>
      <c r="M47" s="49">
        <f>+J47*L47</f>
        <v>4.59</v>
      </c>
      <c r="N47" s="60"/>
      <c r="O47" s="78"/>
    </row>
    <row r="48" spans="1:15" s="52" customFormat="1" ht="15" customHeight="1" x14ac:dyDescent="0.25">
      <c r="A48" s="101" t="s">
        <v>38</v>
      </c>
      <c r="B48" s="101" t="s">
        <v>852</v>
      </c>
      <c r="C48" s="102" t="s">
        <v>863</v>
      </c>
      <c r="D48" s="105">
        <v>45665</v>
      </c>
      <c r="E48" s="92">
        <v>727.32</v>
      </c>
      <c r="F48" s="92">
        <v>160.01</v>
      </c>
      <c r="G48" s="90">
        <v>621.21</v>
      </c>
      <c r="H48" s="92">
        <v>85.1</v>
      </c>
      <c r="I48" s="105">
        <v>45697</v>
      </c>
      <c r="J48" s="50">
        <f t="shared" ref="J48:J50" si="3">+E48-F48</f>
        <v>567.31000000000006</v>
      </c>
      <c r="K48" s="47">
        <f t="shared" ref="K48:K50" si="4">+I48-D48</f>
        <v>32</v>
      </c>
      <c r="L48" s="48">
        <v>0.03</v>
      </c>
      <c r="M48" s="49">
        <f t="shared" ref="M48:M50" si="5">+J48*L48</f>
        <v>17.019300000000001</v>
      </c>
      <c r="N48" s="60"/>
      <c r="O48" s="78"/>
    </row>
    <row r="49" spans="1:16" s="52" customFormat="1" ht="15" customHeight="1" x14ac:dyDescent="0.25">
      <c r="A49" s="101" t="s">
        <v>40</v>
      </c>
      <c r="B49" s="101" t="s">
        <v>853</v>
      </c>
      <c r="C49" s="102" t="s">
        <v>864</v>
      </c>
      <c r="D49" s="105">
        <v>45667</v>
      </c>
      <c r="E49" s="92">
        <v>489.6</v>
      </c>
      <c r="F49" s="92">
        <v>122.4</v>
      </c>
      <c r="G49" s="90">
        <v>402.09</v>
      </c>
      <c r="H49" s="92">
        <v>55.08</v>
      </c>
      <c r="I49" s="105">
        <v>45701</v>
      </c>
      <c r="J49" s="50">
        <f t="shared" si="3"/>
        <v>367.20000000000005</v>
      </c>
      <c r="K49" s="47">
        <f t="shared" si="4"/>
        <v>34</v>
      </c>
      <c r="L49" s="48">
        <v>0.03</v>
      </c>
      <c r="M49" s="49">
        <f t="shared" si="5"/>
        <v>11.016000000000002</v>
      </c>
      <c r="N49" s="60"/>
      <c r="O49" s="78"/>
    </row>
    <row r="50" spans="1:16" s="52" customFormat="1" ht="15" customHeight="1" x14ac:dyDescent="0.25">
      <c r="A50" s="101" t="s">
        <v>55</v>
      </c>
      <c r="B50" s="101" t="s">
        <v>854</v>
      </c>
      <c r="C50" s="102" t="s">
        <v>865</v>
      </c>
      <c r="D50" s="105">
        <v>45670</v>
      </c>
      <c r="E50" s="92">
        <v>1079</v>
      </c>
      <c r="F50" s="92">
        <v>215.8</v>
      </c>
      <c r="G50" s="90">
        <v>992.68</v>
      </c>
      <c r="H50" s="92">
        <v>129.47999999999999</v>
      </c>
      <c r="I50" s="105">
        <v>45703</v>
      </c>
      <c r="J50" s="50">
        <f t="shared" si="3"/>
        <v>863.2</v>
      </c>
      <c r="K50" s="47">
        <f t="shared" si="4"/>
        <v>33</v>
      </c>
      <c r="L50" s="48">
        <v>0.03</v>
      </c>
      <c r="M50" s="49">
        <f t="shared" si="5"/>
        <v>25.896000000000001</v>
      </c>
      <c r="N50" s="60"/>
      <c r="O50" s="78"/>
    </row>
    <row r="51" spans="1:16" s="52" customFormat="1" ht="15" customHeight="1" x14ac:dyDescent="0.25">
      <c r="A51" s="101" t="s">
        <v>52</v>
      </c>
      <c r="B51" s="101" t="s">
        <v>855</v>
      </c>
      <c r="C51" s="102" t="s">
        <v>866</v>
      </c>
      <c r="D51" s="105">
        <v>45673</v>
      </c>
      <c r="E51" s="92">
        <v>414</v>
      </c>
      <c r="F51" s="92">
        <v>103.5</v>
      </c>
      <c r="G51" s="90">
        <v>339.99999999999994</v>
      </c>
      <c r="H51" s="180">
        <v>46.58</v>
      </c>
      <c r="I51" s="105">
        <v>45735</v>
      </c>
      <c r="J51" s="50">
        <f>+E51-F51</f>
        <v>310.5</v>
      </c>
      <c r="K51" s="47">
        <f>+I51-D51</f>
        <v>62</v>
      </c>
      <c r="L51" s="48">
        <v>0.03</v>
      </c>
      <c r="M51" s="49">
        <f>+J51*L51</f>
        <v>9.3149999999999995</v>
      </c>
      <c r="N51" s="60"/>
      <c r="O51" s="78"/>
    </row>
    <row r="52" spans="1:16" s="52" customFormat="1" ht="15" customHeight="1" x14ac:dyDescent="0.25">
      <c r="A52" s="101" t="s">
        <v>52</v>
      </c>
      <c r="B52" s="101" t="s">
        <v>855</v>
      </c>
      <c r="C52" s="102" t="s">
        <v>867</v>
      </c>
      <c r="D52" s="105">
        <v>45674</v>
      </c>
      <c r="E52" s="92">
        <v>369.6</v>
      </c>
      <c r="F52" s="92">
        <v>92.4</v>
      </c>
      <c r="G52" s="90">
        <v>303.53999999999996</v>
      </c>
      <c r="H52" s="180">
        <v>41.58</v>
      </c>
      <c r="I52" s="105">
        <v>45735</v>
      </c>
      <c r="J52" s="50">
        <f>+E52-F52</f>
        <v>277.20000000000005</v>
      </c>
      <c r="K52" s="47">
        <f>+I52-D52</f>
        <v>61</v>
      </c>
      <c r="L52" s="48">
        <v>0.03</v>
      </c>
      <c r="M52" s="49">
        <f>+J52*L52</f>
        <v>8.3160000000000007</v>
      </c>
      <c r="N52" s="60"/>
      <c r="O52" s="78"/>
    </row>
    <row r="53" spans="1:16" s="52" customFormat="1" ht="15" customHeight="1" x14ac:dyDescent="0.25">
      <c r="A53" s="101" t="s">
        <v>46</v>
      </c>
      <c r="B53" s="101" t="s">
        <v>856</v>
      </c>
      <c r="C53" s="102" t="s">
        <v>868</v>
      </c>
      <c r="D53" s="105">
        <v>45677</v>
      </c>
      <c r="E53" s="92">
        <v>1491.72</v>
      </c>
      <c r="F53" s="92">
        <v>372.93</v>
      </c>
      <c r="G53" s="90">
        <v>1225.07</v>
      </c>
      <c r="H53" s="180">
        <v>167.82</v>
      </c>
      <c r="I53" s="105">
        <v>45728</v>
      </c>
      <c r="J53" s="50">
        <f>+E53-F53</f>
        <v>1118.79</v>
      </c>
      <c r="K53" s="47">
        <f>+I53-D53</f>
        <v>51</v>
      </c>
      <c r="L53" s="48">
        <v>0.03</v>
      </c>
      <c r="M53" s="49">
        <f>+J53*L53</f>
        <v>33.563699999999997</v>
      </c>
      <c r="N53" s="60"/>
      <c r="O53" s="78"/>
    </row>
    <row r="54" spans="1:16" s="52" customFormat="1" ht="15" customHeight="1" x14ac:dyDescent="0.25">
      <c r="A54" s="101" t="s">
        <v>52</v>
      </c>
      <c r="B54" s="101" t="s">
        <v>857</v>
      </c>
      <c r="C54" s="102" t="s">
        <v>869</v>
      </c>
      <c r="D54" s="105">
        <v>45685</v>
      </c>
      <c r="E54" s="92">
        <v>369.6</v>
      </c>
      <c r="F54" s="92">
        <v>92.4</v>
      </c>
      <c r="G54" s="90">
        <v>303.53999999999996</v>
      </c>
      <c r="H54" s="180">
        <v>41.58</v>
      </c>
      <c r="I54" s="105">
        <v>45746</v>
      </c>
      <c r="J54" s="50">
        <f>+E54-F54</f>
        <v>277.20000000000005</v>
      </c>
      <c r="K54" s="47">
        <f>+I54-D54</f>
        <v>61</v>
      </c>
      <c r="L54" s="48">
        <v>0.03</v>
      </c>
      <c r="M54" s="49">
        <f>+J54*L54</f>
        <v>8.3160000000000007</v>
      </c>
      <c r="N54" s="60"/>
      <c r="O54" s="78"/>
    </row>
    <row r="55" spans="1:16" s="52" customFormat="1" ht="15" customHeight="1" x14ac:dyDescent="0.25">
      <c r="A55" s="101" t="s">
        <v>102</v>
      </c>
      <c r="B55" s="101" t="s">
        <v>858</v>
      </c>
      <c r="C55" s="102" t="s">
        <v>870</v>
      </c>
      <c r="D55" s="105">
        <v>45687</v>
      </c>
      <c r="E55" s="92">
        <v>151.80000000000001</v>
      </c>
      <c r="F55" s="92">
        <v>22.77</v>
      </c>
      <c r="G55" s="90">
        <v>148.38</v>
      </c>
      <c r="H55" s="180">
        <v>19.350000000000001</v>
      </c>
      <c r="I55" s="105">
        <v>45721</v>
      </c>
      <c r="J55" s="50">
        <f>+E55-F55</f>
        <v>129.03</v>
      </c>
      <c r="K55" s="47">
        <f>+I55-D55</f>
        <v>34</v>
      </c>
      <c r="L55" s="48">
        <v>0.03</v>
      </c>
      <c r="M55" s="49">
        <f>+J55*L55</f>
        <v>3.8708999999999998</v>
      </c>
      <c r="N55" s="60"/>
      <c r="O55" s="78"/>
    </row>
    <row r="56" spans="1:16" s="1" customFormat="1" ht="15" customHeight="1" thickBot="1" x14ac:dyDescent="0.3">
      <c r="A56" s="152"/>
      <c r="B56" s="153"/>
      <c r="C56" s="154"/>
      <c r="D56" s="155"/>
      <c r="E56" s="156"/>
      <c r="F56" s="156"/>
      <c r="G56" s="90"/>
      <c r="H56" s="92"/>
      <c r="I56" s="105"/>
      <c r="J56" s="50"/>
      <c r="K56" s="47"/>
      <c r="L56" s="48"/>
      <c r="M56" s="53"/>
      <c r="N56" s="74"/>
      <c r="O56" s="78"/>
    </row>
    <row r="57" spans="1:16" ht="15" customHeight="1" thickBot="1" x14ac:dyDescent="0.35">
      <c r="A57" s="332" t="s">
        <v>29</v>
      </c>
      <c r="B57" s="332"/>
      <c r="C57" s="332"/>
      <c r="D57" s="332"/>
      <c r="E57" s="332"/>
      <c r="F57" s="332"/>
      <c r="G57" s="16">
        <f>SUM(G43:G56)</f>
        <v>11057.88</v>
      </c>
      <c r="J57" s="16">
        <f>SUM(J43:J56)</f>
        <v>9936.1147826086981</v>
      </c>
      <c r="L57" s="20"/>
      <c r="M57" s="21">
        <f>SUM(M43:M56)</f>
        <v>305.3983934782608</v>
      </c>
    </row>
    <row r="58" spans="1:16" ht="15" customHeight="1" x14ac:dyDescent="0.3">
      <c r="A58" s="22"/>
      <c r="G58" s="8"/>
      <c r="P58" s="8">
        <f>'COM.DIC.2024'!M58+'COM.ENE.2025'!M57</f>
        <v>606.85990869565217</v>
      </c>
    </row>
    <row r="59" spans="1:16" ht="15" customHeight="1" x14ac:dyDescent="0.3">
      <c r="A59" s="39"/>
      <c r="G59" s="8"/>
      <c r="J59" s="8"/>
    </row>
    <row r="60" spans="1:16" ht="15" customHeight="1" x14ac:dyDescent="0.3">
      <c r="A60" s="39"/>
      <c r="G60" s="8"/>
      <c r="J60" s="8"/>
    </row>
    <row r="61" spans="1:16" ht="15" customHeight="1" x14ac:dyDescent="0.3">
      <c r="A61" s="39"/>
      <c r="G61" s="8"/>
      <c r="J61" s="8">
        <f>J57*2%</f>
        <v>198.72229565217395</v>
      </c>
      <c r="M61" s="185">
        <f>M57/12</f>
        <v>25.4498661231884</v>
      </c>
      <c r="N61" s="59" t="s">
        <v>341</v>
      </c>
    </row>
    <row r="62" spans="1:16" ht="15" customHeight="1" x14ac:dyDescent="0.3">
      <c r="A62" s="39"/>
      <c r="G62" s="8"/>
      <c r="J62" s="185">
        <f>J61/12</f>
        <v>16.560191304347828</v>
      </c>
      <c r="K62" s="7" t="s">
        <v>876</v>
      </c>
      <c r="M62" s="185">
        <f>M57/24</f>
        <v>12.7249330615942</v>
      </c>
      <c r="N62" s="59" t="s">
        <v>341</v>
      </c>
    </row>
    <row r="63" spans="1:16" ht="15" customHeight="1" x14ac:dyDescent="0.3">
      <c r="A63" s="39"/>
      <c r="G63" s="8"/>
      <c r="J63" s="185">
        <f>J61/24</f>
        <v>8.2800956521739142</v>
      </c>
      <c r="K63" s="7" t="s">
        <v>876</v>
      </c>
    </row>
    <row r="64" spans="1:16" ht="15" customHeight="1" x14ac:dyDescent="0.3">
      <c r="A64" s="39"/>
      <c r="G64" s="8"/>
      <c r="J64" s="8"/>
      <c r="M64" s="8"/>
    </row>
    <row r="65" spans="1:15" ht="15" customHeight="1" x14ac:dyDescent="0.3">
      <c r="A65" s="39"/>
      <c r="G65" s="8"/>
      <c r="J65" s="8"/>
      <c r="M65" s="8"/>
    </row>
    <row r="66" spans="1:15" ht="15" customHeight="1" x14ac:dyDescent="0.3">
      <c r="A66" s="39"/>
      <c r="G66" s="8"/>
      <c r="J66" s="8"/>
      <c r="M66" s="8"/>
      <c r="O66" s="8"/>
    </row>
    <row r="67" spans="1:15" ht="15" customHeight="1" x14ac:dyDescent="0.3">
      <c r="A67" s="39"/>
      <c r="G67" s="8"/>
      <c r="J67" s="8"/>
      <c r="M67" s="8"/>
      <c r="O67" s="8"/>
    </row>
    <row r="68" spans="1:15" ht="15" customHeight="1" x14ac:dyDescent="0.3">
      <c r="A68" s="39"/>
      <c r="G68" s="8"/>
      <c r="J68" s="8"/>
      <c r="M68" s="8"/>
    </row>
    <row r="69" spans="1:15" ht="15" customHeight="1" x14ac:dyDescent="0.3">
      <c r="A69" s="39"/>
      <c r="G69" s="8"/>
      <c r="J69" s="8"/>
    </row>
    <row r="70" spans="1:15" ht="15" customHeight="1" x14ac:dyDescent="0.3">
      <c r="A70" s="39"/>
      <c r="G70" s="8"/>
      <c r="J70" s="8"/>
    </row>
    <row r="71" spans="1:15" ht="15" customHeight="1" x14ac:dyDescent="0.3">
      <c r="A71" s="39"/>
      <c r="G71" s="8"/>
      <c r="J71" s="8"/>
    </row>
    <row r="72" spans="1:15" ht="15" customHeight="1" x14ac:dyDescent="0.3">
      <c r="A72" s="39"/>
      <c r="G72" s="8"/>
      <c r="J72" s="8"/>
    </row>
    <row r="73" spans="1:15" ht="15" customHeight="1" x14ac:dyDescent="0.3">
      <c r="A73" s="39"/>
      <c r="G73" s="8"/>
      <c r="J73" s="8"/>
    </row>
    <row r="74" spans="1:15" ht="15" customHeight="1" x14ac:dyDescent="0.3">
      <c r="A74" s="22"/>
      <c r="J74" s="15"/>
      <c r="K74" s="15"/>
    </row>
  </sheetData>
  <sortState xmlns:xlrd2="http://schemas.microsoft.com/office/spreadsheetml/2017/richdata2" ref="A8:O44">
    <sortCondition ref="C8:C44"/>
  </sortState>
  <mergeCells count="2">
    <mergeCell ref="A3:F3"/>
    <mergeCell ref="A57:F57"/>
  </mergeCells>
  <pageMargins left="0.39370078740157483" right="0" top="0.19685039370078741" bottom="0" header="0" footer="0"/>
  <pageSetup paperSize="9" scale="68" orientation="landscape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65"/>
  <sheetViews>
    <sheetView topLeftCell="I41" workbookViewId="0">
      <selection activeCell="J49" sqref="J49:N54"/>
    </sheetView>
  </sheetViews>
  <sheetFormatPr baseColWidth="10" defaultColWidth="11.44140625" defaultRowHeight="13.2" x14ac:dyDescent="0.25"/>
  <cols>
    <col min="1" max="1" width="43.88671875" style="7" customWidth="1"/>
    <col min="2" max="2" width="15.44140625" style="7" customWidth="1"/>
    <col min="3" max="3" width="26" style="19" customWidth="1"/>
    <col min="4" max="4" width="12.109375" style="67" customWidth="1"/>
    <col min="5" max="5" width="12.6640625" style="7" customWidth="1"/>
    <col min="6" max="6" width="9.44140625" style="7" customWidth="1"/>
    <col min="7" max="7" width="11.88671875" style="7" customWidth="1"/>
    <col min="8" max="8" width="8.88671875" style="7" customWidth="1"/>
    <col min="9" max="9" width="11.88671875" style="63" customWidth="1"/>
    <col min="10" max="10" width="12.5546875" style="7" customWidth="1"/>
    <col min="11" max="11" width="8.88671875" style="7" customWidth="1"/>
    <col min="12" max="12" width="6.44140625" style="7" customWidth="1"/>
    <col min="13" max="13" width="10.33203125" style="7" customWidth="1"/>
    <col min="14" max="14" width="24.33203125" style="59" customWidth="1"/>
    <col min="15" max="16" width="8" style="7" customWidth="1"/>
    <col min="17" max="16384" width="11.44140625" style="7"/>
  </cols>
  <sheetData>
    <row r="1" spans="1:15" ht="15" customHeight="1" x14ac:dyDescent="0.25">
      <c r="B1" s="8"/>
      <c r="C1" s="181"/>
      <c r="G1" s="8"/>
    </row>
    <row r="2" spans="1:15" ht="15" customHeight="1" x14ac:dyDescent="0.25">
      <c r="A2" s="30"/>
      <c r="B2" s="30"/>
      <c r="C2" s="30"/>
      <c r="D2" s="30"/>
      <c r="E2" s="30"/>
      <c r="F2" s="30"/>
      <c r="G2" s="24"/>
      <c r="H2" s="24"/>
      <c r="I2" s="65"/>
      <c r="J2" s="26"/>
      <c r="K2" s="27"/>
      <c r="L2" s="28"/>
      <c r="M2" s="29"/>
    </row>
    <row r="3" spans="1:15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65"/>
      <c r="J3" s="27"/>
      <c r="K3" s="27"/>
      <c r="L3" s="28"/>
      <c r="M3" s="29"/>
    </row>
    <row r="4" spans="1:15" ht="15" customHeight="1" x14ac:dyDescent="0.25">
      <c r="A4" s="30"/>
      <c r="B4" s="31" t="s">
        <v>879</v>
      </c>
      <c r="C4" s="30"/>
      <c r="D4" s="64"/>
      <c r="E4" s="30"/>
      <c r="F4" s="30"/>
      <c r="G4" s="24"/>
      <c r="H4" s="25"/>
      <c r="I4" s="65"/>
      <c r="J4" s="27"/>
      <c r="K4" s="27"/>
      <c r="L4" s="28"/>
      <c r="M4" s="29"/>
    </row>
    <row r="5" spans="1:15" ht="15" customHeight="1" thickBot="1" x14ac:dyDescent="0.3">
      <c r="A5" s="30"/>
      <c r="B5" s="31" t="s">
        <v>22</v>
      </c>
      <c r="C5" s="30"/>
      <c r="D5" s="64"/>
      <c r="E5" s="30"/>
      <c r="F5" s="30"/>
      <c r="G5" s="32"/>
      <c r="H5" s="24"/>
      <c r="I5" s="69"/>
      <c r="J5" s="33"/>
      <c r="K5" s="27"/>
      <c r="L5" s="28"/>
      <c r="M5" s="29"/>
    </row>
    <row r="6" spans="1:15" ht="15" customHeight="1" x14ac:dyDescent="0.25">
      <c r="A6" s="34"/>
      <c r="B6" s="33"/>
      <c r="C6" s="182"/>
      <c r="D6" s="195"/>
      <c r="E6" s="33"/>
      <c r="F6" s="33"/>
      <c r="G6" s="35" t="s">
        <v>3</v>
      </c>
      <c r="H6" s="27"/>
      <c r="I6" s="65"/>
      <c r="J6" s="36" t="s">
        <v>4</v>
      </c>
      <c r="K6" s="56" t="s">
        <v>5</v>
      </c>
      <c r="L6" s="40" t="s">
        <v>6</v>
      </c>
      <c r="M6" s="36" t="s">
        <v>7</v>
      </c>
    </row>
    <row r="7" spans="1:15" ht="15" customHeight="1" x14ac:dyDescent="0.25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62" t="s">
        <v>13</v>
      </c>
      <c r="H7" s="13" t="s">
        <v>14</v>
      </c>
      <c r="I7" s="70" t="s">
        <v>15</v>
      </c>
      <c r="J7" s="14" t="s">
        <v>16</v>
      </c>
      <c r="K7" s="57"/>
      <c r="L7" s="58" t="s">
        <v>17</v>
      </c>
      <c r="M7" s="14" t="s">
        <v>39</v>
      </c>
    </row>
    <row r="8" spans="1:15" ht="15" customHeight="1" x14ac:dyDescent="0.25">
      <c r="A8" s="83" t="s">
        <v>420</v>
      </c>
      <c r="B8" s="55" t="s">
        <v>57</v>
      </c>
      <c r="C8" s="191" t="s">
        <v>426</v>
      </c>
      <c r="D8" s="85">
        <v>45374</v>
      </c>
      <c r="E8" s="86">
        <v>240</v>
      </c>
      <c r="F8" s="86">
        <v>36</v>
      </c>
      <c r="G8" s="94">
        <v>34.1</v>
      </c>
      <c r="H8" s="86">
        <v>24.48</v>
      </c>
      <c r="I8" s="192">
        <v>45706</v>
      </c>
      <c r="J8" s="50">
        <f>34.1/1.15</f>
        <v>29.65217391304348</v>
      </c>
      <c r="K8" s="47">
        <f t="shared" ref="K8:K32" si="0">+I8-D8</f>
        <v>332</v>
      </c>
      <c r="L8" s="5">
        <v>0.03</v>
      </c>
      <c r="M8" s="6">
        <f t="shared" ref="M8:M32" si="1">+J8*L8</f>
        <v>0.88956521739130434</v>
      </c>
      <c r="O8" s="78"/>
    </row>
    <row r="9" spans="1:15" ht="15" customHeight="1" x14ac:dyDescent="0.25">
      <c r="A9" s="83" t="s">
        <v>420</v>
      </c>
      <c r="B9" s="55" t="s">
        <v>57</v>
      </c>
      <c r="C9" s="191" t="s">
        <v>897</v>
      </c>
      <c r="D9" s="85">
        <v>45441</v>
      </c>
      <c r="E9" s="86">
        <v>79.2</v>
      </c>
      <c r="F9" s="86">
        <v>11.88</v>
      </c>
      <c r="G9" s="94">
        <v>77.42</v>
      </c>
      <c r="H9" s="86">
        <v>10.1</v>
      </c>
      <c r="I9" s="105">
        <v>45706</v>
      </c>
      <c r="J9" s="50">
        <f>+E9-F9</f>
        <v>67.320000000000007</v>
      </c>
      <c r="K9" s="47">
        <f t="shared" si="0"/>
        <v>265</v>
      </c>
      <c r="L9" s="5">
        <v>0.03</v>
      </c>
      <c r="M9" s="6">
        <f t="shared" si="1"/>
        <v>2.0196000000000001</v>
      </c>
      <c r="O9" s="78"/>
    </row>
    <row r="10" spans="1:15" ht="15" customHeight="1" x14ac:dyDescent="0.25">
      <c r="A10" s="83" t="s">
        <v>77</v>
      </c>
      <c r="B10" s="107" t="s">
        <v>33</v>
      </c>
      <c r="C10" s="191" t="s">
        <v>776</v>
      </c>
      <c r="D10" s="85">
        <v>45482</v>
      </c>
      <c r="E10" s="86">
        <v>1380</v>
      </c>
      <c r="F10" s="86">
        <v>345</v>
      </c>
      <c r="G10" s="94">
        <v>345.06</v>
      </c>
      <c r="H10" s="86">
        <v>155.25</v>
      </c>
      <c r="I10" s="194">
        <v>45542</v>
      </c>
      <c r="J10" s="50">
        <f>345.06/1.15</f>
        <v>300.05217391304348</v>
      </c>
      <c r="K10" s="47">
        <f t="shared" si="0"/>
        <v>60</v>
      </c>
      <c r="L10" s="5">
        <v>0.03</v>
      </c>
      <c r="M10" s="6">
        <f t="shared" si="1"/>
        <v>9.0015652173913043</v>
      </c>
      <c r="O10" s="78"/>
    </row>
    <row r="11" spans="1:15" ht="15" customHeight="1" x14ac:dyDescent="0.25">
      <c r="A11" s="83" t="s">
        <v>77</v>
      </c>
      <c r="B11" s="107" t="s">
        <v>33</v>
      </c>
      <c r="C11" s="191" t="s">
        <v>898</v>
      </c>
      <c r="D11" s="85">
        <v>45524</v>
      </c>
      <c r="E11" s="86">
        <v>102</v>
      </c>
      <c r="F11" s="86">
        <v>20.399999999999999</v>
      </c>
      <c r="G11" s="94">
        <v>54.94</v>
      </c>
      <c r="H11" s="86">
        <v>12.24</v>
      </c>
      <c r="I11" s="106">
        <v>45554</v>
      </c>
      <c r="J11" s="50">
        <f>54.94/1.15</f>
        <v>47.77391304347826</v>
      </c>
      <c r="K11" s="47">
        <f t="shared" si="0"/>
        <v>30</v>
      </c>
      <c r="L11" s="5">
        <v>3.5000000000000003E-2</v>
      </c>
      <c r="M11" s="6">
        <f t="shared" si="1"/>
        <v>1.6720869565217393</v>
      </c>
      <c r="O11" s="78"/>
    </row>
    <row r="12" spans="1:15" ht="15" customHeight="1" x14ac:dyDescent="0.25">
      <c r="A12" s="83" t="s">
        <v>93</v>
      </c>
      <c r="B12" s="160" t="s">
        <v>95</v>
      </c>
      <c r="C12" s="191" t="s">
        <v>899</v>
      </c>
      <c r="D12" s="85">
        <v>45561</v>
      </c>
      <c r="E12" s="86">
        <v>221.64</v>
      </c>
      <c r="F12" s="86">
        <v>33.25</v>
      </c>
      <c r="G12" s="94">
        <v>216.65</v>
      </c>
      <c r="H12" s="86">
        <v>28.26</v>
      </c>
      <c r="I12" s="106">
        <v>45706</v>
      </c>
      <c r="J12" s="50">
        <f t="shared" ref="J12:J32" si="2">+E12-F12</f>
        <v>188.39</v>
      </c>
      <c r="K12" s="47">
        <f t="shared" si="0"/>
        <v>145</v>
      </c>
      <c r="L12" s="5">
        <v>0.03</v>
      </c>
      <c r="M12" s="6">
        <f t="shared" si="1"/>
        <v>5.6516999999999991</v>
      </c>
      <c r="O12" s="78"/>
    </row>
    <row r="13" spans="1:15" ht="15" customHeight="1" x14ac:dyDescent="0.25">
      <c r="A13" s="171" t="s">
        <v>90</v>
      </c>
      <c r="B13" s="113" t="s">
        <v>18</v>
      </c>
      <c r="C13" s="184" t="s">
        <v>900</v>
      </c>
      <c r="D13" s="172">
        <v>45616</v>
      </c>
      <c r="E13" s="87">
        <v>53.4</v>
      </c>
      <c r="F13" s="87">
        <v>8.01</v>
      </c>
      <c r="G13" s="94">
        <v>52.2</v>
      </c>
      <c r="H13" s="87">
        <v>6.81</v>
      </c>
      <c r="I13" s="106">
        <v>45716</v>
      </c>
      <c r="J13" s="50">
        <f t="shared" si="2"/>
        <v>45.39</v>
      </c>
      <c r="K13" s="47">
        <f t="shared" si="0"/>
        <v>100</v>
      </c>
      <c r="L13" s="5">
        <v>0.03</v>
      </c>
      <c r="M13" s="6">
        <f t="shared" si="1"/>
        <v>1.3616999999999999</v>
      </c>
      <c r="O13" s="78"/>
    </row>
    <row r="14" spans="1:15" ht="15" customHeight="1" x14ac:dyDescent="0.25">
      <c r="A14" s="171" t="s">
        <v>76</v>
      </c>
      <c r="B14" s="113" t="s">
        <v>18</v>
      </c>
      <c r="C14" s="184" t="s">
        <v>901</v>
      </c>
      <c r="D14" s="172">
        <v>45617</v>
      </c>
      <c r="E14" s="87">
        <v>134.55250000000001</v>
      </c>
      <c r="F14" s="87">
        <v>20.182500000000001</v>
      </c>
      <c r="G14" s="94">
        <v>125.24000000000001</v>
      </c>
      <c r="H14" s="87">
        <v>17.16</v>
      </c>
      <c r="I14" s="106">
        <v>45702</v>
      </c>
      <c r="J14" s="50">
        <f t="shared" si="2"/>
        <v>114.37</v>
      </c>
      <c r="K14" s="47">
        <f t="shared" si="0"/>
        <v>85</v>
      </c>
      <c r="L14" s="5">
        <v>0.03</v>
      </c>
      <c r="M14" s="6">
        <f t="shared" si="1"/>
        <v>3.4310999999999998</v>
      </c>
      <c r="O14" s="78"/>
    </row>
    <row r="15" spans="1:15" ht="15" customHeight="1" x14ac:dyDescent="0.25">
      <c r="A15" s="171" t="s">
        <v>76</v>
      </c>
      <c r="B15" s="113" t="s">
        <v>18</v>
      </c>
      <c r="C15" s="184" t="s">
        <v>902</v>
      </c>
      <c r="D15" s="172">
        <v>45622</v>
      </c>
      <c r="E15" s="87">
        <v>374.4</v>
      </c>
      <c r="F15" s="87">
        <v>56.16</v>
      </c>
      <c r="G15" s="94">
        <v>348.48</v>
      </c>
      <c r="H15" s="87">
        <v>47.74</v>
      </c>
      <c r="I15" s="106">
        <v>45706</v>
      </c>
      <c r="J15" s="50">
        <f t="shared" si="2"/>
        <v>318.24</v>
      </c>
      <c r="K15" s="47">
        <f t="shared" si="0"/>
        <v>84</v>
      </c>
      <c r="L15" s="5">
        <v>0.03</v>
      </c>
      <c r="M15" s="6">
        <f t="shared" si="1"/>
        <v>9.5472000000000001</v>
      </c>
      <c r="O15" s="78"/>
    </row>
    <row r="16" spans="1:15" ht="15" customHeight="1" x14ac:dyDescent="0.25">
      <c r="A16" s="171" t="s">
        <v>76</v>
      </c>
      <c r="B16" s="113" t="s">
        <v>18</v>
      </c>
      <c r="C16" s="184" t="s">
        <v>903</v>
      </c>
      <c r="D16" s="172">
        <v>45622</v>
      </c>
      <c r="E16" s="87">
        <v>108.364</v>
      </c>
      <c r="F16" s="87">
        <v>16.254000000000001</v>
      </c>
      <c r="G16" s="94">
        <v>100.86</v>
      </c>
      <c r="H16" s="87">
        <v>13.82</v>
      </c>
      <c r="I16" s="106">
        <v>45702</v>
      </c>
      <c r="J16" s="50">
        <f t="shared" si="2"/>
        <v>92.11</v>
      </c>
      <c r="K16" s="47">
        <f t="shared" si="0"/>
        <v>80</v>
      </c>
      <c r="L16" s="5">
        <v>0.03</v>
      </c>
      <c r="M16" s="6">
        <f t="shared" si="1"/>
        <v>2.7633000000000001</v>
      </c>
      <c r="O16" s="78"/>
    </row>
    <row r="17" spans="1:15" ht="15" customHeight="1" x14ac:dyDescent="0.25">
      <c r="A17" s="171" t="s">
        <v>76</v>
      </c>
      <c r="B17" s="113" t="s">
        <v>18</v>
      </c>
      <c r="C17" s="184" t="s">
        <v>904</v>
      </c>
      <c r="D17" s="172">
        <v>45629</v>
      </c>
      <c r="E17" s="87">
        <v>89.64</v>
      </c>
      <c r="F17" s="87">
        <v>0</v>
      </c>
      <c r="G17" s="94">
        <v>98.149999999999991</v>
      </c>
      <c r="H17" s="87">
        <v>13.45</v>
      </c>
      <c r="I17" s="106">
        <v>45702</v>
      </c>
      <c r="J17" s="50">
        <f t="shared" si="2"/>
        <v>89.64</v>
      </c>
      <c r="K17" s="47">
        <f t="shared" si="0"/>
        <v>73</v>
      </c>
      <c r="L17" s="5">
        <v>0.03</v>
      </c>
      <c r="M17" s="6">
        <f t="shared" si="1"/>
        <v>2.6892</v>
      </c>
      <c r="O17" s="78"/>
    </row>
    <row r="18" spans="1:15" ht="15" customHeight="1" x14ac:dyDescent="0.25">
      <c r="A18" s="171" t="s">
        <v>76</v>
      </c>
      <c r="B18" s="160" t="s">
        <v>18</v>
      </c>
      <c r="C18" s="184" t="s">
        <v>905</v>
      </c>
      <c r="D18" s="172">
        <v>45632</v>
      </c>
      <c r="E18" s="87">
        <v>301.92</v>
      </c>
      <c r="F18" s="87">
        <v>45.29</v>
      </c>
      <c r="G18" s="94">
        <v>281</v>
      </c>
      <c r="H18" s="87">
        <v>38.49</v>
      </c>
      <c r="I18" s="106">
        <v>45702</v>
      </c>
      <c r="J18" s="50">
        <f t="shared" si="2"/>
        <v>256.63</v>
      </c>
      <c r="K18" s="47">
        <f t="shared" si="0"/>
        <v>70</v>
      </c>
      <c r="L18" s="5">
        <v>0.03</v>
      </c>
      <c r="M18" s="6">
        <f t="shared" si="1"/>
        <v>7.6988999999999992</v>
      </c>
      <c r="O18" s="78"/>
    </row>
    <row r="19" spans="1:15" ht="15" customHeight="1" x14ac:dyDescent="0.25">
      <c r="A19" s="171" t="s">
        <v>76</v>
      </c>
      <c r="B19" s="160" t="s">
        <v>18</v>
      </c>
      <c r="C19" s="184" t="s">
        <v>906</v>
      </c>
      <c r="D19" s="172">
        <v>45638</v>
      </c>
      <c r="E19" s="87">
        <v>59.04</v>
      </c>
      <c r="F19" s="87">
        <v>0</v>
      </c>
      <c r="G19" s="94">
        <v>64.650000000000006</v>
      </c>
      <c r="H19" s="87">
        <v>8.86</v>
      </c>
      <c r="I19" s="106">
        <v>45702</v>
      </c>
      <c r="J19" s="50">
        <f t="shared" si="2"/>
        <v>59.04</v>
      </c>
      <c r="K19" s="47">
        <f t="shared" si="0"/>
        <v>64</v>
      </c>
      <c r="L19" s="5">
        <v>0.03</v>
      </c>
      <c r="M19" s="6">
        <f t="shared" si="1"/>
        <v>1.7711999999999999</v>
      </c>
      <c r="O19" s="78"/>
    </row>
    <row r="20" spans="1:15" ht="15" customHeight="1" x14ac:dyDescent="0.25">
      <c r="A20" s="171" t="s">
        <v>89</v>
      </c>
      <c r="B20" s="160" t="s">
        <v>18</v>
      </c>
      <c r="C20" s="184" t="s">
        <v>907</v>
      </c>
      <c r="D20" s="172">
        <v>45638</v>
      </c>
      <c r="E20" s="87">
        <v>206.16</v>
      </c>
      <c r="F20" s="87">
        <v>41.23</v>
      </c>
      <c r="G20" s="94">
        <v>180.6</v>
      </c>
      <c r="H20" s="87">
        <v>24.74</v>
      </c>
      <c r="I20" s="106">
        <v>45693</v>
      </c>
      <c r="J20" s="50">
        <f t="shared" si="2"/>
        <v>164.93</v>
      </c>
      <c r="K20" s="47">
        <f t="shared" si="0"/>
        <v>55</v>
      </c>
      <c r="L20" s="5">
        <v>0.03</v>
      </c>
      <c r="M20" s="6">
        <f t="shared" si="1"/>
        <v>4.9478999999999997</v>
      </c>
      <c r="O20" s="78"/>
    </row>
    <row r="21" spans="1:15" ht="15" customHeight="1" x14ac:dyDescent="0.25">
      <c r="A21" s="171" t="s">
        <v>90</v>
      </c>
      <c r="B21" s="160" t="s">
        <v>18</v>
      </c>
      <c r="C21" s="184" t="s">
        <v>908</v>
      </c>
      <c r="D21" s="172">
        <v>45643</v>
      </c>
      <c r="E21" s="87">
        <v>114</v>
      </c>
      <c r="F21" s="87">
        <v>17.100000000000001</v>
      </c>
      <c r="G21" s="94">
        <v>111.44</v>
      </c>
      <c r="H21" s="87">
        <v>14.54</v>
      </c>
      <c r="I21" s="106">
        <v>45716</v>
      </c>
      <c r="J21" s="50">
        <f t="shared" si="2"/>
        <v>96.9</v>
      </c>
      <c r="K21" s="47">
        <f t="shared" si="0"/>
        <v>73</v>
      </c>
      <c r="L21" s="5">
        <v>0.03</v>
      </c>
      <c r="M21" s="6">
        <f t="shared" si="1"/>
        <v>2.907</v>
      </c>
      <c r="O21" s="78"/>
    </row>
    <row r="22" spans="1:15" ht="15" customHeight="1" x14ac:dyDescent="0.25">
      <c r="A22" s="171" t="s">
        <v>89</v>
      </c>
      <c r="B22" s="160" t="s">
        <v>18</v>
      </c>
      <c r="C22" s="184" t="s">
        <v>909</v>
      </c>
      <c r="D22" s="172">
        <v>45643</v>
      </c>
      <c r="E22" s="87">
        <v>285.60000000000002</v>
      </c>
      <c r="F22" s="87">
        <v>57.12</v>
      </c>
      <c r="G22" s="94">
        <v>250.19000000000003</v>
      </c>
      <c r="H22" s="87">
        <v>34.270000000000003</v>
      </c>
      <c r="I22" s="106">
        <v>45693</v>
      </c>
      <c r="J22" s="50">
        <f t="shared" si="2"/>
        <v>228.48000000000002</v>
      </c>
      <c r="K22" s="47">
        <f t="shared" si="0"/>
        <v>50</v>
      </c>
      <c r="L22" s="5">
        <v>0.03</v>
      </c>
      <c r="M22" s="6">
        <f t="shared" si="1"/>
        <v>6.8544</v>
      </c>
      <c r="O22" s="78"/>
    </row>
    <row r="23" spans="1:15" ht="15" customHeight="1" x14ac:dyDescent="0.25">
      <c r="A23" s="171" t="s">
        <v>100</v>
      </c>
      <c r="B23" s="160" t="s">
        <v>75</v>
      </c>
      <c r="C23" s="184" t="s">
        <v>910</v>
      </c>
      <c r="D23" s="172">
        <v>45653</v>
      </c>
      <c r="E23" s="87">
        <v>69.599999999999994</v>
      </c>
      <c r="F23" s="87">
        <v>10.44</v>
      </c>
      <c r="G23" s="94">
        <v>68.03</v>
      </c>
      <c r="H23" s="87">
        <v>8.8699999999999992</v>
      </c>
      <c r="I23" s="106">
        <v>45693</v>
      </c>
      <c r="J23" s="50">
        <f t="shared" si="2"/>
        <v>59.16</v>
      </c>
      <c r="K23" s="47">
        <f t="shared" si="0"/>
        <v>40</v>
      </c>
      <c r="L23" s="5">
        <v>0.03</v>
      </c>
      <c r="M23" s="6">
        <f t="shared" si="1"/>
        <v>1.7747999999999999</v>
      </c>
      <c r="O23" s="78"/>
    </row>
    <row r="24" spans="1:15" ht="15" customHeight="1" x14ac:dyDescent="0.25">
      <c r="A24" s="171" t="s">
        <v>35</v>
      </c>
      <c r="B24" s="160" t="s">
        <v>18</v>
      </c>
      <c r="C24" s="184" t="s">
        <v>911</v>
      </c>
      <c r="D24" s="172">
        <v>45671</v>
      </c>
      <c r="E24" s="87">
        <v>140.4</v>
      </c>
      <c r="F24" s="87">
        <v>21.06</v>
      </c>
      <c r="G24" s="94">
        <v>130.68</v>
      </c>
      <c r="H24" s="87">
        <v>17.899999999999999</v>
      </c>
      <c r="I24" s="106">
        <v>45716</v>
      </c>
      <c r="J24" s="50">
        <f t="shared" si="2"/>
        <v>119.34</v>
      </c>
      <c r="K24" s="47">
        <f t="shared" si="0"/>
        <v>45</v>
      </c>
      <c r="L24" s="5">
        <v>0.03</v>
      </c>
      <c r="M24" s="6">
        <f t="shared" si="1"/>
        <v>3.5802</v>
      </c>
      <c r="O24" s="78"/>
    </row>
    <row r="25" spans="1:15" ht="15" customHeight="1" x14ac:dyDescent="0.25">
      <c r="A25" s="171" t="s">
        <v>701</v>
      </c>
      <c r="B25" s="107" t="s">
        <v>24</v>
      </c>
      <c r="C25" s="184" t="s">
        <v>912</v>
      </c>
      <c r="D25" s="172">
        <v>45681</v>
      </c>
      <c r="E25" s="87">
        <v>1218.5999999999999</v>
      </c>
      <c r="F25" s="87">
        <v>304.64999999999998</v>
      </c>
      <c r="G25" s="94">
        <v>1051.04</v>
      </c>
      <c r="H25" s="179">
        <v>137.09</v>
      </c>
      <c r="I25" s="172">
        <v>45695</v>
      </c>
      <c r="J25" s="50">
        <f t="shared" si="2"/>
        <v>913.94999999999993</v>
      </c>
      <c r="K25" s="47">
        <f t="shared" si="0"/>
        <v>14</v>
      </c>
      <c r="L25" s="5">
        <v>3.5000000000000003E-2</v>
      </c>
      <c r="M25" s="6">
        <f t="shared" si="1"/>
        <v>31.988250000000001</v>
      </c>
      <c r="O25" s="78"/>
    </row>
    <row r="26" spans="1:15" ht="15" customHeight="1" x14ac:dyDescent="0.25">
      <c r="A26" s="171" t="s">
        <v>71</v>
      </c>
      <c r="B26" s="107" t="s">
        <v>24</v>
      </c>
      <c r="C26" s="184" t="s">
        <v>913</v>
      </c>
      <c r="D26" s="172">
        <v>45685</v>
      </c>
      <c r="E26" s="87">
        <v>693.12</v>
      </c>
      <c r="F26" s="87">
        <v>173.28</v>
      </c>
      <c r="G26" s="94">
        <v>597.82000000000005</v>
      </c>
      <c r="H26" s="179">
        <v>77.98</v>
      </c>
      <c r="I26" s="172">
        <v>45693</v>
      </c>
      <c r="J26" s="50">
        <f t="shared" si="2"/>
        <v>519.84</v>
      </c>
      <c r="K26" s="47">
        <f t="shared" si="0"/>
        <v>8</v>
      </c>
      <c r="L26" s="5">
        <v>3.5000000000000003E-2</v>
      </c>
      <c r="M26" s="6">
        <f t="shared" si="1"/>
        <v>18.194400000000002</v>
      </c>
      <c r="O26" s="78"/>
    </row>
    <row r="27" spans="1:15" ht="15" customHeight="1" x14ac:dyDescent="0.25">
      <c r="A27" s="171" t="s">
        <v>25</v>
      </c>
      <c r="B27" s="160" t="s">
        <v>30</v>
      </c>
      <c r="C27" s="184" t="s">
        <v>914</v>
      </c>
      <c r="D27" s="172">
        <v>45691</v>
      </c>
      <c r="E27" s="87">
        <v>1043.76</v>
      </c>
      <c r="F27" s="87">
        <v>260.94</v>
      </c>
      <c r="G27" s="94">
        <v>851.31</v>
      </c>
      <c r="H27" s="179">
        <v>117.42</v>
      </c>
      <c r="I27" s="172">
        <v>45694</v>
      </c>
      <c r="J27" s="50">
        <f t="shared" si="2"/>
        <v>782.81999999999994</v>
      </c>
      <c r="K27" s="47">
        <f t="shared" si="0"/>
        <v>3</v>
      </c>
      <c r="L27" s="5">
        <v>0.04</v>
      </c>
      <c r="M27" s="6">
        <f t="shared" si="1"/>
        <v>31.312799999999999</v>
      </c>
      <c r="O27" s="78"/>
    </row>
    <row r="28" spans="1:15" ht="15" customHeight="1" x14ac:dyDescent="0.25">
      <c r="A28" s="171" t="s">
        <v>895</v>
      </c>
      <c r="B28" s="160" t="s">
        <v>915</v>
      </c>
      <c r="C28" s="184" t="s">
        <v>916</v>
      </c>
      <c r="D28" s="172">
        <v>45691</v>
      </c>
      <c r="E28" s="87">
        <v>176.76</v>
      </c>
      <c r="F28" s="87">
        <v>26.51</v>
      </c>
      <c r="G28" s="94">
        <v>172.79</v>
      </c>
      <c r="H28" s="179">
        <v>22.54</v>
      </c>
      <c r="I28" s="172">
        <v>45695</v>
      </c>
      <c r="J28" s="50">
        <f t="shared" si="2"/>
        <v>150.25</v>
      </c>
      <c r="K28" s="47">
        <f t="shared" si="0"/>
        <v>4</v>
      </c>
      <c r="L28" s="5">
        <v>0.04</v>
      </c>
      <c r="M28" s="6">
        <f t="shared" si="1"/>
        <v>6.01</v>
      </c>
      <c r="O28" s="78"/>
    </row>
    <row r="29" spans="1:15" ht="15" customHeight="1" x14ac:dyDescent="0.25">
      <c r="A29" s="171" t="s">
        <v>40</v>
      </c>
      <c r="B29" s="160" t="s">
        <v>18</v>
      </c>
      <c r="C29" s="184" t="s">
        <v>917</v>
      </c>
      <c r="D29" s="172">
        <v>45693</v>
      </c>
      <c r="E29" s="87">
        <v>46.8</v>
      </c>
      <c r="F29" s="87">
        <v>7.02</v>
      </c>
      <c r="G29" s="94">
        <v>43.56</v>
      </c>
      <c r="H29" s="179">
        <v>5.97</v>
      </c>
      <c r="I29" s="172">
        <v>45695</v>
      </c>
      <c r="J29" s="50">
        <f t="shared" si="2"/>
        <v>39.78</v>
      </c>
      <c r="K29" s="47">
        <f t="shared" si="0"/>
        <v>2</v>
      </c>
      <c r="L29" s="5">
        <v>0.04</v>
      </c>
      <c r="M29" s="6">
        <f t="shared" si="1"/>
        <v>1.5912000000000002</v>
      </c>
      <c r="O29" s="78"/>
    </row>
    <row r="30" spans="1:15" ht="15" customHeight="1" x14ac:dyDescent="0.25">
      <c r="A30" s="171" t="s">
        <v>89</v>
      </c>
      <c r="B30" s="160" t="s">
        <v>18</v>
      </c>
      <c r="C30" s="184" t="s">
        <v>918</v>
      </c>
      <c r="D30" s="172">
        <v>45706</v>
      </c>
      <c r="E30" s="87">
        <v>30.36</v>
      </c>
      <c r="F30" s="87">
        <v>4.55</v>
      </c>
      <c r="G30" s="94">
        <v>28.259999999999998</v>
      </c>
      <c r="H30" s="190">
        <v>3.87</v>
      </c>
      <c r="I30" s="106">
        <v>45712</v>
      </c>
      <c r="J30" s="50">
        <f t="shared" si="2"/>
        <v>25.81</v>
      </c>
      <c r="K30" s="47">
        <f t="shared" si="0"/>
        <v>6</v>
      </c>
      <c r="L30" s="5">
        <v>3.5000000000000003E-2</v>
      </c>
      <c r="M30" s="6">
        <f t="shared" si="1"/>
        <v>0.90334999999999999</v>
      </c>
      <c r="O30" s="78"/>
    </row>
    <row r="31" spans="1:15" ht="15" customHeight="1" x14ac:dyDescent="0.25">
      <c r="A31" s="171" t="s">
        <v>226</v>
      </c>
      <c r="B31" s="160" t="s">
        <v>18</v>
      </c>
      <c r="C31" s="184" t="s">
        <v>919</v>
      </c>
      <c r="D31" s="172">
        <v>45713</v>
      </c>
      <c r="E31" s="87">
        <v>70.199999999999989</v>
      </c>
      <c r="F31" s="87">
        <v>14.04</v>
      </c>
      <c r="G31" s="94">
        <v>64.58</v>
      </c>
      <c r="H31" s="190">
        <v>8.42</v>
      </c>
      <c r="I31" s="106">
        <v>45713</v>
      </c>
      <c r="J31" s="50">
        <f t="shared" si="2"/>
        <v>56.159999999999989</v>
      </c>
      <c r="K31" s="47">
        <f t="shared" si="0"/>
        <v>0</v>
      </c>
      <c r="L31" s="5">
        <v>0.04</v>
      </c>
      <c r="M31" s="6">
        <f t="shared" si="1"/>
        <v>2.2463999999999995</v>
      </c>
      <c r="O31" s="78"/>
    </row>
    <row r="32" spans="1:15" ht="15" customHeight="1" x14ac:dyDescent="0.25">
      <c r="A32" s="171" t="s">
        <v>896</v>
      </c>
      <c r="B32" s="160" t="s">
        <v>59</v>
      </c>
      <c r="C32" s="184" t="s">
        <v>920</v>
      </c>
      <c r="D32" s="193">
        <v>45716</v>
      </c>
      <c r="E32" s="87">
        <v>93.12</v>
      </c>
      <c r="F32" s="87">
        <v>11.17</v>
      </c>
      <c r="G32" s="94">
        <v>94.24</v>
      </c>
      <c r="H32" s="87">
        <v>12.29</v>
      </c>
      <c r="I32" s="106">
        <v>45716</v>
      </c>
      <c r="J32" s="50">
        <f t="shared" si="2"/>
        <v>81.95</v>
      </c>
      <c r="K32" s="47">
        <f t="shared" si="0"/>
        <v>0</v>
      </c>
      <c r="L32" s="5">
        <v>0.04</v>
      </c>
      <c r="M32" s="6">
        <f t="shared" si="1"/>
        <v>3.278</v>
      </c>
      <c r="O32" s="78"/>
    </row>
    <row r="33" spans="1:15" ht="15" customHeight="1" x14ac:dyDescent="0.25">
      <c r="A33" s="115"/>
      <c r="B33" s="136"/>
      <c r="C33" s="117"/>
      <c r="D33" s="118"/>
      <c r="E33" s="119"/>
      <c r="F33" s="119"/>
      <c r="G33" s="120"/>
      <c r="H33" s="119"/>
      <c r="I33" s="121"/>
      <c r="J33" s="50"/>
      <c r="K33" s="47"/>
      <c r="L33" s="5"/>
      <c r="M33" s="6"/>
      <c r="O33" s="78"/>
    </row>
    <row r="34" spans="1:15" ht="15" customHeight="1" x14ac:dyDescent="0.3">
      <c r="G34" s="16">
        <f>SUM(G8:G33)</f>
        <v>5443.2900000000009</v>
      </c>
      <c r="J34" s="16">
        <f>SUM(J8:J33)</f>
        <v>4847.978260869565</v>
      </c>
      <c r="M34" s="16">
        <f>SUM(M8:M33)</f>
        <v>164.08581739130432</v>
      </c>
    </row>
    <row r="35" spans="1:15" ht="15" customHeight="1" x14ac:dyDescent="0.25">
      <c r="G35" s="8"/>
      <c r="H35" s="8"/>
    </row>
    <row r="36" spans="1:15" ht="15" customHeight="1" x14ac:dyDescent="0.25">
      <c r="A36" s="17" t="s">
        <v>19</v>
      </c>
      <c r="B36" s="17" t="s">
        <v>20</v>
      </c>
      <c r="C36" s="18" t="s">
        <v>21</v>
      </c>
      <c r="I36" s="8"/>
      <c r="J36" s="8"/>
    </row>
    <row r="37" spans="1:15" s="52" customFormat="1" ht="15" customHeight="1" x14ac:dyDescent="0.25">
      <c r="A37" s="91" t="s">
        <v>42</v>
      </c>
      <c r="B37" s="101" t="s">
        <v>880</v>
      </c>
      <c r="C37" s="187" t="s">
        <v>881</v>
      </c>
      <c r="D37" s="88">
        <v>45574</v>
      </c>
      <c r="E37" s="92">
        <v>81.599999999999994</v>
      </c>
      <c r="F37" s="92">
        <v>12.24</v>
      </c>
      <c r="G37" s="90">
        <v>75.95</v>
      </c>
      <c r="H37" s="92">
        <v>10.4</v>
      </c>
      <c r="I37" s="105">
        <v>45726</v>
      </c>
      <c r="J37" s="50">
        <f>+E37-F37</f>
        <v>69.36</v>
      </c>
      <c r="K37" s="47">
        <f>+I37-D37</f>
        <v>152</v>
      </c>
      <c r="L37" s="48">
        <v>0.03</v>
      </c>
      <c r="M37" s="49">
        <f>+J37*L37</f>
        <v>2.0808</v>
      </c>
      <c r="N37" s="60"/>
      <c r="O37" s="78"/>
    </row>
    <row r="38" spans="1:15" s="52" customFormat="1" ht="15" customHeight="1" x14ac:dyDescent="0.25">
      <c r="A38" s="91" t="s">
        <v>42</v>
      </c>
      <c r="B38" s="101" t="s">
        <v>880</v>
      </c>
      <c r="C38" s="187" t="s">
        <v>882</v>
      </c>
      <c r="D38" s="88">
        <v>45608</v>
      </c>
      <c r="E38" s="92">
        <v>121.44</v>
      </c>
      <c r="F38" s="92">
        <v>18.22</v>
      </c>
      <c r="G38" s="96">
        <v>113.03</v>
      </c>
      <c r="H38" s="92">
        <v>15.48</v>
      </c>
      <c r="I38" s="106">
        <v>45726</v>
      </c>
      <c r="J38" s="50">
        <f>+E38-F38</f>
        <v>103.22</v>
      </c>
      <c r="K38" s="47">
        <f>+I38-D38</f>
        <v>118</v>
      </c>
      <c r="L38" s="48">
        <v>0.03</v>
      </c>
      <c r="M38" s="49">
        <f>+J38*L38</f>
        <v>3.0966</v>
      </c>
      <c r="N38" s="60"/>
      <c r="O38" s="78"/>
    </row>
    <row r="39" spans="1:15" s="52" customFormat="1" ht="15" customHeight="1" x14ac:dyDescent="0.25">
      <c r="A39" s="91" t="s">
        <v>42</v>
      </c>
      <c r="B39" s="101" t="s">
        <v>880</v>
      </c>
      <c r="C39" s="187" t="s">
        <v>883</v>
      </c>
      <c r="D39" s="88">
        <v>45610</v>
      </c>
      <c r="E39" s="92">
        <v>204</v>
      </c>
      <c r="F39" s="92">
        <v>30.6</v>
      </c>
      <c r="G39" s="96">
        <v>189.88</v>
      </c>
      <c r="H39" s="92">
        <v>26.01</v>
      </c>
      <c r="I39" s="106">
        <v>45726</v>
      </c>
      <c r="J39" s="50">
        <f t="shared" ref="J39:J42" si="3">+E39-F39</f>
        <v>173.4</v>
      </c>
      <c r="K39" s="47">
        <f t="shared" ref="K39:K42" si="4">+I39-D39</f>
        <v>116</v>
      </c>
      <c r="L39" s="48">
        <v>0.03</v>
      </c>
      <c r="M39" s="49">
        <f t="shared" ref="M39:M42" si="5">+J39*L39</f>
        <v>5.202</v>
      </c>
      <c r="N39" s="60"/>
      <c r="O39" s="78"/>
    </row>
    <row r="40" spans="1:15" s="52" customFormat="1" ht="15" customHeight="1" x14ac:dyDescent="0.25">
      <c r="A40" s="101" t="s">
        <v>42</v>
      </c>
      <c r="B40" s="101" t="s">
        <v>880</v>
      </c>
      <c r="C40" s="102" t="s">
        <v>885</v>
      </c>
      <c r="D40" s="105">
        <v>45630</v>
      </c>
      <c r="E40" s="104">
        <v>151.80000000000001</v>
      </c>
      <c r="F40" s="104">
        <v>22.77</v>
      </c>
      <c r="G40" s="96">
        <v>12.02</v>
      </c>
      <c r="H40" s="104">
        <v>19.350000000000001</v>
      </c>
      <c r="I40" s="106">
        <v>45730</v>
      </c>
      <c r="J40" s="50">
        <f>12.02/1.15</f>
        <v>10.452173913043479</v>
      </c>
      <c r="K40" s="47">
        <f t="shared" si="4"/>
        <v>100</v>
      </c>
      <c r="L40" s="48">
        <v>0.03</v>
      </c>
      <c r="M40" s="49">
        <f t="shared" si="5"/>
        <v>0.31356521739130438</v>
      </c>
      <c r="N40" s="60"/>
      <c r="O40" s="78"/>
    </row>
    <row r="41" spans="1:15" s="52" customFormat="1" ht="15" customHeight="1" x14ac:dyDescent="0.25">
      <c r="A41" s="101" t="s">
        <v>42</v>
      </c>
      <c r="B41" s="101" t="s">
        <v>894</v>
      </c>
      <c r="C41" s="102" t="s">
        <v>885</v>
      </c>
      <c r="D41" s="105">
        <v>45630</v>
      </c>
      <c r="E41" s="104">
        <v>151.80000000000001</v>
      </c>
      <c r="F41" s="104">
        <v>22.77</v>
      </c>
      <c r="G41" s="96">
        <v>117.24</v>
      </c>
      <c r="H41" s="104">
        <v>19.350000000000001</v>
      </c>
      <c r="I41" s="106">
        <v>45730</v>
      </c>
      <c r="J41" s="50">
        <f>(129.26-12.02)/1.15</f>
        <v>101.94782608695652</v>
      </c>
      <c r="K41" s="47">
        <f t="shared" ref="K41" si="6">+I41-D41</f>
        <v>100</v>
      </c>
      <c r="L41" s="48">
        <v>0.03</v>
      </c>
      <c r="M41" s="49">
        <f t="shared" ref="M41" si="7">+J41*L41</f>
        <v>3.0584347826086957</v>
      </c>
      <c r="N41" s="60"/>
      <c r="O41" s="78"/>
    </row>
    <row r="42" spans="1:15" s="52" customFormat="1" ht="15" customHeight="1" x14ac:dyDescent="0.25">
      <c r="A42" s="101" t="s">
        <v>42</v>
      </c>
      <c r="B42" s="101" t="s">
        <v>884</v>
      </c>
      <c r="C42" s="102" t="s">
        <v>886</v>
      </c>
      <c r="D42" s="105">
        <v>45632</v>
      </c>
      <c r="E42" s="104">
        <v>81.599999999999994</v>
      </c>
      <c r="F42" s="104">
        <v>12.24</v>
      </c>
      <c r="G42" s="96">
        <v>75.95</v>
      </c>
      <c r="H42" s="104">
        <v>10.4</v>
      </c>
      <c r="I42" s="106">
        <v>45730</v>
      </c>
      <c r="J42" s="50">
        <f t="shared" si="3"/>
        <v>69.36</v>
      </c>
      <c r="K42" s="47">
        <f t="shared" si="4"/>
        <v>98</v>
      </c>
      <c r="L42" s="48">
        <v>0.03</v>
      </c>
      <c r="M42" s="49">
        <f t="shared" si="5"/>
        <v>2.0808</v>
      </c>
      <c r="N42" s="60"/>
      <c r="O42" s="78"/>
    </row>
    <row r="43" spans="1:15" s="52" customFormat="1" ht="15" customHeight="1" x14ac:dyDescent="0.25">
      <c r="A43" s="101" t="s">
        <v>42</v>
      </c>
      <c r="B43" s="101" t="s">
        <v>884</v>
      </c>
      <c r="C43" s="102" t="s">
        <v>887</v>
      </c>
      <c r="D43" s="105">
        <v>45636</v>
      </c>
      <c r="E43" s="104">
        <v>147.84</v>
      </c>
      <c r="F43" s="104">
        <v>22.18</v>
      </c>
      <c r="G43" s="96">
        <v>137.59</v>
      </c>
      <c r="H43" s="104">
        <v>18.850000000000001</v>
      </c>
      <c r="I43" s="106">
        <v>45730</v>
      </c>
      <c r="J43" s="50">
        <f>+E43-F43</f>
        <v>125.66</v>
      </c>
      <c r="K43" s="47">
        <f>+I43-D43</f>
        <v>94</v>
      </c>
      <c r="L43" s="48">
        <v>0.03</v>
      </c>
      <c r="M43" s="49">
        <f>+J43*L43</f>
        <v>3.7697999999999996</v>
      </c>
      <c r="N43" s="60"/>
      <c r="O43" s="78"/>
    </row>
    <row r="44" spans="1:15" s="52" customFormat="1" ht="15" customHeight="1" x14ac:dyDescent="0.25">
      <c r="A44" s="101" t="s">
        <v>102</v>
      </c>
      <c r="B44" s="101" t="s">
        <v>888</v>
      </c>
      <c r="C44" s="102" t="s">
        <v>891</v>
      </c>
      <c r="D44" s="105">
        <v>45692</v>
      </c>
      <c r="E44" s="104">
        <f>63.75+11.25</f>
        <v>75</v>
      </c>
      <c r="F44" s="104">
        <v>11.25</v>
      </c>
      <c r="G44" s="96">
        <f>73.31</f>
        <v>73.31</v>
      </c>
      <c r="H44" s="180">
        <v>9.56</v>
      </c>
      <c r="I44" s="106">
        <v>45723</v>
      </c>
      <c r="J44" s="50">
        <f>+E44-F44</f>
        <v>63.75</v>
      </c>
      <c r="K44" s="47">
        <f>+I44-D44</f>
        <v>31</v>
      </c>
      <c r="L44" s="48">
        <v>0.03</v>
      </c>
      <c r="M44" s="49">
        <f>+J44*L44</f>
        <v>1.9124999999999999</v>
      </c>
      <c r="N44" s="60"/>
      <c r="O44" s="78"/>
    </row>
    <row r="45" spans="1:15" s="52" customFormat="1" ht="15" customHeight="1" x14ac:dyDescent="0.25">
      <c r="A45" s="188" t="s">
        <v>38</v>
      </c>
      <c r="B45" s="101" t="s">
        <v>889</v>
      </c>
      <c r="C45" s="189" t="s">
        <v>892</v>
      </c>
      <c r="D45" s="105">
        <v>45693</v>
      </c>
      <c r="E45" s="104">
        <v>1201.2</v>
      </c>
      <c r="F45" s="104">
        <v>264.26</v>
      </c>
      <c r="G45" s="96">
        <f>1077.48-9.37-42.16</f>
        <v>1025.95</v>
      </c>
      <c r="H45" s="188">
        <v>140.54</v>
      </c>
      <c r="I45" s="106">
        <v>45725</v>
      </c>
      <c r="J45" s="50">
        <f>+E45-F45</f>
        <v>936.94</v>
      </c>
      <c r="K45" s="47">
        <f>+I45-D45</f>
        <v>32</v>
      </c>
      <c r="L45" s="48">
        <v>0.03</v>
      </c>
      <c r="M45" s="49">
        <f>+J45*L45</f>
        <v>28.1082</v>
      </c>
      <c r="N45" s="60"/>
      <c r="O45" s="78"/>
    </row>
    <row r="46" spans="1:15" s="52" customFormat="1" ht="15" customHeight="1" x14ac:dyDescent="0.25">
      <c r="A46" s="101" t="s">
        <v>42</v>
      </c>
      <c r="B46" s="101" t="s">
        <v>890</v>
      </c>
      <c r="C46" s="102" t="s">
        <v>893</v>
      </c>
      <c r="D46" s="105">
        <v>45708</v>
      </c>
      <c r="E46" s="104">
        <f>164.73+29.07</f>
        <v>193.79999999999998</v>
      </c>
      <c r="F46" s="104">
        <f>29.07</f>
        <v>29.07</v>
      </c>
      <c r="G46" s="96">
        <f>189.44-2.88-7.41</f>
        <v>179.15</v>
      </c>
      <c r="H46" s="188">
        <v>24.71</v>
      </c>
      <c r="I46" s="106">
        <v>45754</v>
      </c>
      <c r="J46" s="50">
        <f>+E46-F46</f>
        <v>164.73</v>
      </c>
      <c r="K46" s="47">
        <f>+I46-D46</f>
        <v>46</v>
      </c>
      <c r="L46" s="48">
        <v>0.03</v>
      </c>
      <c r="M46" s="49">
        <f>+J46*L46</f>
        <v>4.9418999999999995</v>
      </c>
      <c r="N46" s="60"/>
      <c r="O46" s="78"/>
    </row>
    <row r="47" spans="1:15" s="1" customFormat="1" ht="15" customHeight="1" thickBot="1" x14ac:dyDescent="0.3">
      <c r="A47" s="152"/>
      <c r="B47" s="153"/>
      <c r="C47" s="154"/>
      <c r="D47" s="155"/>
      <c r="E47" s="156"/>
      <c r="F47" s="156"/>
      <c r="G47" s="90"/>
      <c r="H47" s="92"/>
      <c r="I47" s="105"/>
      <c r="J47" s="50"/>
      <c r="K47" s="47"/>
      <c r="L47" s="48"/>
      <c r="M47" s="53"/>
      <c r="N47" s="74"/>
      <c r="O47" s="78"/>
    </row>
    <row r="48" spans="1:15" ht="15" customHeight="1" thickBot="1" x14ac:dyDescent="0.35">
      <c r="A48" s="332" t="s">
        <v>29</v>
      </c>
      <c r="B48" s="332"/>
      <c r="C48" s="332"/>
      <c r="D48" s="332"/>
      <c r="E48" s="332"/>
      <c r="F48" s="332"/>
      <c r="G48" s="16">
        <f>SUM(G34:G47)</f>
        <v>7443.3600000000006</v>
      </c>
      <c r="J48" s="16">
        <f>SUM(J34:J47)</f>
        <v>6666.7982608695638</v>
      </c>
      <c r="L48" s="20"/>
      <c r="M48" s="21">
        <f>SUM(M34:M47)</f>
        <v>218.65041739130433</v>
      </c>
    </row>
    <row r="49" spans="1:15" ht="15" customHeight="1" x14ac:dyDescent="0.3">
      <c r="A49" s="22"/>
      <c r="G49" s="8"/>
    </row>
    <row r="50" spans="1:15" ht="15" customHeight="1" x14ac:dyDescent="0.3">
      <c r="A50" s="39"/>
      <c r="G50" s="8"/>
      <c r="J50" s="8"/>
    </row>
    <row r="51" spans="1:15" ht="15" customHeight="1" x14ac:dyDescent="0.3">
      <c r="A51" s="39"/>
      <c r="G51" s="8"/>
      <c r="J51" s="8"/>
    </row>
    <row r="52" spans="1:15" ht="15" customHeight="1" x14ac:dyDescent="0.3">
      <c r="A52" s="39"/>
      <c r="G52" s="8"/>
      <c r="J52" s="8">
        <f>J48*2%</f>
        <v>133.33596521739128</v>
      </c>
      <c r="M52" s="185">
        <f>M48/12</f>
        <v>18.220868115942029</v>
      </c>
      <c r="N52" s="59" t="s">
        <v>341</v>
      </c>
    </row>
    <row r="53" spans="1:15" ht="15" customHeight="1" x14ac:dyDescent="0.3">
      <c r="A53" s="39"/>
      <c r="G53" s="8"/>
      <c r="J53" s="185">
        <f>J52/12</f>
        <v>11.111330434782607</v>
      </c>
      <c r="K53" s="7" t="s">
        <v>876</v>
      </c>
      <c r="M53" s="185">
        <f>M48/24</f>
        <v>9.1104340579710144</v>
      </c>
      <c r="N53" s="59" t="s">
        <v>341</v>
      </c>
    </row>
    <row r="54" spans="1:15" ht="15" customHeight="1" x14ac:dyDescent="0.3">
      <c r="A54" s="39"/>
      <c r="G54" s="8"/>
      <c r="J54" s="185">
        <f>J52/24</f>
        <v>5.5556652173913035</v>
      </c>
      <c r="K54" s="7" t="s">
        <v>876</v>
      </c>
    </row>
    <row r="55" spans="1:15" ht="15" customHeight="1" x14ac:dyDescent="0.3">
      <c r="A55" s="39"/>
      <c r="G55" s="8"/>
      <c r="J55" s="8"/>
      <c r="M55" s="8"/>
    </row>
    <row r="56" spans="1:15" ht="15" customHeight="1" x14ac:dyDescent="0.3">
      <c r="A56" s="39"/>
      <c r="G56" s="8"/>
      <c r="J56" s="8"/>
      <c r="M56" s="8"/>
    </row>
    <row r="57" spans="1:15" ht="15" customHeight="1" x14ac:dyDescent="0.3">
      <c r="A57" s="39"/>
      <c r="G57" s="8"/>
      <c r="J57" s="8"/>
      <c r="M57" s="8"/>
      <c r="O57" s="8"/>
    </row>
    <row r="58" spans="1:15" ht="15" customHeight="1" x14ac:dyDescent="0.3">
      <c r="A58" s="39"/>
      <c r="G58" s="8"/>
      <c r="J58" s="8"/>
      <c r="M58" s="8"/>
      <c r="O58" s="8"/>
    </row>
    <row r="59" spans="1:15" ht="15" customHeight="1" x14ac:dyDescent="0.3">
      <c r="A59" s="39"/>
      <c r="G59" s="8"/>
      <c r="J59" s="8"/>
      <c r="M59" s="8"/>
    </row>
    <row r="60" spans="1:15" ht="15" customHeight="1" x14ac:dyDescent="0.3">
      <c r="A60" s="39"/>
      <c r="G60" s="8"/>
      <c r="J60" s="8"/>
    </row>
    <row r="61" spans="1:15" ht="15" customHeight="1" x14ac:dyDescent="0.3">
      <c r="A61" s="39"/>
      <c r="G61" s="8"/>
      <c r="J61" s="8"/>
    </row>
    <row r="62" spans="1:15" ht="15" customHeight="1" x14ac:dyDescent="0.3">
      <c r="A62" s="39"/>
      <c r="G62" s="8"/>
      <c r="J62" s="8"/>
    </row>
    <row r="63" spans="1:15" ht="15" customHeight="1" x14ac:dyDescent="0.3">
      <c r="A63" s="39"/>
      <c r="G63" s="8"/>
      <c r="J63" s="8"/>
    </row>
    <row r="64" spans="1:15" ht="15" customHeight="1" x14ac:dyDescent="0.3">
      <c r="A64" s="39"/>
      <c r="G64" s="8"/>
      <c r="J64" s="8"/>
    </row>
    <row r="65" spans="1:11" ht="15" customHeight="1" x14ac:dyDescent="0.3">
      <c r="A65" s="22"/>
      <c r="J65" s="15"/>
      <c r="K65" s="15"/>
    </row>
  </sheetData>
  <sortState xmlns:xlrd2="http://schemas.microsoft.com/office/spreadsheetml/2017/richdata2" ref="A8:P32">
    <sortCondition ref="C8:C32"/>
  </sortState>
  <mergeCells count="2">
    <mergeCell ref="A3:F3"/>
    <mergeCell ref="A48:F48"/>
  </mergeCells>
  <pageMargins left="0.39370078740157483" right="0" top="0.39370078740157483" bottom="0" header="0" footer="0"/>
  <pageSetup paperSize="9" scale="75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7D47C-BED2-417A-BE29-7811BD356AD9}">
  <dimension ref="A1:O64"/>
  <sheetViews>
    <sheetView topLeftCell="I41" workbookViewId="0">
      <selection activeCell="J48" sqref="J48:N53"/>
    </sheetView>
  </sheetViews>
  <sheetFormatPr baseColWidth="10" defaultColWidth="11.44140625" defaultRowHeight="13.2" x14ac:dyDescent="0.25"/>
  <cols>
    <col min="1" max="1" width="43.88671875" style="7" customWidth="1"/>
    <col min="2" max="2" width="27.33203125" style="7" customWidth="1"/>
    <col min="3" max="3" width="25.33203125" style="19" customWidth="1"/>
    <col min="4" max="4" width="10.33203125" style="67" customWidth="1"/>
    <col min="5" max="5" width="12.6640625" style="7" customWidth="1"/>
    <col min="6" max="6" width="9.44140625" style="7" customWidth="1"/>
    <col min="7" max="7" width="11.88671875" style="7" customWidth="1"/>
    <col min="8" max="8" width="8.88671875" style="7" customWidth="1"/>
    <col min="9" max="9" width="11.88671875" style="67" customWidth="1"/>
    <col min="10" max="10" width="11.44140625" style="7" customWidth="1"/>
    <col min="11" max="11" width="7.33203125" style="7" customWidth="1"/>
    <col min="12" max="12" width="6.44140625" style="7" customWidth="1"/>
    <col min="13" max="13" width="10.109375" style="7" customWidth="1"/>
    <col min="14" max="14" width="24.33203125" style="59" customWidth="1"/>
    <col min="15" max="16" width="8" style="7" customWidth="1"/>
    <col min="17" max="16384" width="11.44140625" style="7"/>
  </cols>
  <sheetData>
    <row r="1" spans="1:15" ht="15" customHeight="1" x14ac:dyDescent="0.25">
      <c r="B1" s="8"/>
      <c r="C1" s="181"/>
      <c r="G1" s="8"/>
    </row>
    <row r="2" spans="1:15" ht="15" customHeight="1" x14ac:dyDescent="0.25">
      <c r="A2" s="30"/>
      <c r="B2" s="30"/>
      <c r="C2" s="30"/>
      <c r="D2" s="30"/>
      <c r="E2" s="30"/>
      <c r="F2" s="30"/>
      <c r="G2" s="24"/>
      <c r="H2" s="24"/>
      <c r="I2" s="195"/>
      <c r="J2" s="26"/>
      <c r="K2" s="27"/>
      <c r="L2" s="28"/>
      <c r="M2" s="29"/>
    </row>
    <row r="3" spans="1:15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195"/>
      <c r="J3" s="27"/>
      <c r="K3" s="27"/>
      <c r="L3" s="28"/>
      <c r="M3" s="29"/>
    </row>
    <row r="4" spans="1:15" ht="15" customHeight="1" x14ac:dyDescent="0.25">
      <c r="A4" s="30"/>
      <c r="B4" s="31" t="s">
        <v>921</v>
      </c>
      <c r="C4" s="30"/>
      <c r="D4" s="64"/>
      <c r="E4" s="30"/>
      <c r="F4" s="30"/>
      <c r="G4" s="24"/>
      <c r="H4" s="25"/>
      <c r="I4" s="195"/>
      <c r="J4" s="27"/>
      <c r="K4" s="27"/>
      <c r="L4" s="28"/>
      <c r="M4" s="29"/>
    </row>
    <row r="5" spans="1:15" ht="15" customHeight="1" thickBot="1" x14ac:dyDescent="0.3">
      <c r="A5" s="30"/>
      <c r="B5" s="31" t="s">
        <v>22</v>
      </c>
      <c r="C5" s="30"/>
      <c r="D5" s="64"/>
      <c r="E5" s="30"/>
      <c r="F5" s="30"/>
      <c r="G5" s="32"/>
      <c r="H5" s="24"/>
      <c r="I5" s="64"/>
      <c r="J5" s="33"/>
      <c r="K5" s="27"/>
      <c r="L5" s="28"/>
      <c r="M5" s="29"/>
    </row>
    <row r="6" spans="1:15" ht="15" customHeight="1" x14ac:dyDescent="0.25">
      <c r="A6" s="34"/>
      <c r="B6" s="33"/>
      <c r="C6" s="182"/>
      <c r="D6" s="195"/>
      <c r="E6" s="33"/>
      <c r="F6" s="33"/>
      <c r="G6" s="35" t="s">
        <v>3</v>
      </c>
      <c r="H6" s="27"/>
      <c r="I6" s="195"/>
      <c r="J6" s="36" t="s">
        <v>4</v>
      </c>
      <c r="K6" s="56" t="s">
        <v>5</v>
      </c>
      <c r="L6" s="40" t="s">
        <v>6</v>
      </c>
      <c r="M6" s="36" t="s">
        <v>7</v>
      </c>
    </row>
    <row r="7" spans="1:15" ht="15" customHeight="1" x14ac:dyDescent="0.25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62" t="s">
        <v>13</v>
      </c>
      <c r="H7" s="13" t="s">
        <v>14</v>
      </c>
      <c r="I7" s="197" t="s">
        <v>15</v>
      </c>
      <c r="J7" s="14" t="s">
        <v>16</v>
      </c>
      <c r="K7" s="57"/>
      <c r="L7" s="58" t="s">
        <v>17</v>
      </c>
      <c r="M7" s="14" t="s">
        <v>39</v>
      </c>
    </row>
    <row r="8" spans="1:15" ht="15" customHeight="1" x14ac:dyDescent="0.25">
      <c r="A8" s="83" t="s">
        <v>77</v>
      </c>
      <c r="B8" s="107" t="s">
        <v>33</v>
      </c>
      <c r="C8" s="191" t="s">
        <v>898</v>
      </c>
      <c r="D8" s="85">
        <v>45524</v>
      </c>
      <c r="E8" s="86">
        <v>102</v>
      </c>
      <c r="F8" s="86">
        <v>20.399999999999999</v>
      </c>
      <c r="G8" s="94">
        <v>38.9</v>
      </c>
      <c r="H8" s="86">
        <v>12.24</v>
      </c>
      <c r="I8" s="106">
        <v>45554</v>
      </c>
      <c r="J8" s="50">
        <f>38.9/1.15</f>
        <v>33.826086956521742</v>
      </c>
      <c r="K8" s="47">
        <f t="shared" ref="K8:K31" si="0">+I8-D8</f>
        <v>30</v>
      </c>
      <c r="L8" s="5">
        <v>3.5000000000000003E-2</v>
      </c>
      <c r="M8" s="6">
        <f t="shared" ref="M8:M31" si="1">+J8*L8</f>
        <v>1.183913043478261</v>
      </c>
      <c r="O8" s="78"/>
    </row>
    <row r="9" spans="1:15" ht="15" customHeight="1" x14ac:dyDescent="0.25">
      <c r="A9" s="83" t="s">
        <v>77</v>
      </c>
      <c r="B9" s="160" t="s">
        <v>33</v>
      </c>
      <c r="C9" s="191" t="s">
        <v>924</v>
      </c>
      <c r="D9" s="85">
        <v>45586</v>
      </c>
      <c r="E9" s="86">
        <v>310.2</v>
      </c>
      <c r="F9" s="86">
        <v>62.04</v>
      </c>
      <c r="G9" s="94">
        <v>285.38</v>
      </c>
      <c r="H9" s="86">
        <v>37.22</v>
      </c>
      <c r="I9" s="106">
        <v>45731</v>
      </c>
      <c r="J9" s="50">
        <f t="shared" ref="J9:J31" si="2">+E9-F9</f>
        <v>248.16</v>
      </c>
      <c r="K9" s="47">
        <f t="shared" si="0"/>
        <v>145</v>
      </c>
      <c r="L9" s="5">
        <v>0.03</v>
      </c>
      <c r="M9" s="6">
        <f t="shared" si="1"/>
        <v>7.4447999999999999</v>
      </c>
      <c r="O9" s="78"/>
    </row>
    <row r="10" spans="1:15" ht="15" customHeight="1" x14ac:dyDescent="0.25">
      <c r="A10" s="171" t="s">
        <v>115</v>
      </c>
      <c r="B10" s="55" t="s">
        <v>18</v>
      </c>
      <c r="C10" s="184" t="s">
        <v>925</v>
      </c>
      <c r="D10" s="172">
        <v>45618</v>
      </c>
      <c r="E10" s="87">
        <v>41.875999999999998</v>
      </c>
      <c r="F10" s="87">
        <v>8.3759999999999994</v>
      </c>
      <c r="G10" s="94">
        <v>36.68</v>
      </c>
      <c r="H10" s="87">
        <v>5.03</v>
      </c>
      <c r="I10" s="106">
        <v>45744</v>
      </c>
      <c r="J10" s="50">
        <f t="shared" si="2"/>
        <v>33.5</v>
      </c>
      <c r="K10" s="47">
        <f t="shared" si="0"/>
        <v>126</v>
      </c>
      <c r="L10" s="5">
        <v>0.03</v>
      </c>
      <c r="M10" s="6">
        <f t="shared" si="1"/>
        <v>1.0049999999999999</v>
      </c>
      <c r="O10" s="78"/>
    </row>
    <row r="11" spans="1:15" ht="15" customHeight="1" x14ac:dyDescent="0.25">
      <c r="A11" s="171" t="s">
        <v>922</v>
      </c>
      <c r="B11" s="160" t="s">
        <v>120</v>
      </c>
      <c r="C11" s="184" t="s">
        <v>926</v>
      </c>
      <c r="D11" s="172">
        <v>45628</v>
      </c>
      <c r="E11" s="87">
        <v>236.28</v>
      </c>
      <c r="F11" s="87">
        <v>35.44</v>
      </c>
      <c r="G11" s="94">
        <v>218.42000000000002</v>
      </c>
      <c r="H11" s="87">
        <v>30.13</v>
      </c>
      <c r="I11" s="106">
        <v>45734</v>
      </c>
      <c r="J11" s="50">
        <f t="shared" si="2"/>
        <v>200.84</v>
      </c>
      <c r="K11" s="47">
        <f t="shared" si="0"/>
        <v>106</v>
      </c>
      <c r="L11" s="5">
        <v>0.03</v>
      </c>
      <c r="M11" s="6">
        <f t="shared" si="1"/>
        <v>6.0251999999999999</v>
      </c>
      <c r="O11" s="78"/>
    </row>
    <row r="12" spans="1:15" ht="15" customHeight="1" x14ac:dyDescent="0.25">
      <c r="A12" s="171" t="s">
        <v>79</v>
      </c>
      <c r="B12" s="160" t="s">
        <v>30</v>
      </c>
      <c r="C12" s="184" t="s">
        <v>927</v>
      </c>
      <c r="D12" s="172">
        <v>45632</v>
      </c>
      <c r="E12" s="87">
        <v>513.72</v>
      </c>
      <c r="F12" s="87">
        <v>77.06</v>
      </c>
      <c r="G12" s="94">
        <v>478.15000000000003</v>
      </c>
      <c r="H12" s="87">
        <v>65.5</v>
      </c>
      <c r="I12" s="106">
        <v>45729</v>
      </c>
      <c r="J12" s="50">
        <f t="shared" si="2"/>
        <v>436.66</v>
      </c>
      <c r="K12" s="47">
        <f t="shared" si="0"/>
        <v>97</v>
      </c>
      <c r="L12" s="5">
        <v>0.03</v>
      </c>
      <c r="M12" s="6">
        <f t="shared" si="1"/>
        <v>13.0998</v>
      </c>
      <c r="O12" s="78"/>
    </row>
    <row r="13" spans="1:15" ht="15" customHeight="1" x14ac:dyDescent="0.25">
      <c r="A13" s="171" t="s">
        <v>36</v>
      </c>
      <c r="B13" s="160" t="s">
        <v>23</v>
      </c>
      <c r="C13" s="184" t="s">
        <v>928</v>
      </c>
      <c r="D13" s="172">
        <v>45636</v>
      </c>
      <c r="E13" s="87">
        <v>398.64</v>
      </c>
      <c r="F13" s="87">
        <v>79.73</v>
      </c>
      <c r="G13" s="94">
        <v>349.21999999999997</v>
      </c>
      <c r="H13" s="87">
        <v>47.84</v>
      </c>
      <c r="I13" s="106">
        <v>45721</v>
      </c>
      <c r="J13" s="50">
        <f t="shared" si="2"/>
        <v>318.90999999999997</v>
      </c>
      <c r="K13" s="47">
        <f t="shared" si="0"/>
        <v>85</v>
      </c>
      <c r="L13" s="5">
        <v>0.03</v>
      </c>
      <c r="M13" s="6">
        <f t="shared" si="1"/>
        <v>9.5672999999999995</v>
      </c>
      <c r="O13" s="78"/>
    </row>
    <row r="14" spans="1:15" ht="15" customHeight="1" x14ac:dyDescent="0.25">
      <c r="A14" s="171" t="s">
        <v>76</v>
      </c>
      <c r="B14" s="160" t="s">
        <v>18</v>
      </c>
      <c r="C14" s="184" t="s">
        <v>929</v>
      </c>
      <c r="D14" s="172">
        <v>45644</v>
      </c>
      <c r="E14" s="87">
        <v>73.92</v>
      </c>
      <c r="F14" s="87">
        <v>11.09</v>
      </c>
      <c r="G14" s="94">
        <v>68.790000000000006</v>
      </c>
      <c r="H14" s="87">
        <v>9.42</v>
      </c>
      <c r="I14" s="106">
        <v>45734</v>
      </c>
      <c r="J14" s="50">
        <f t="shared" si="2"/>
        <v>62.83</v>
      </c>
      <c r="K14" s="47">
        <f t="shared" si="0"/>
        <v>90</v>
      </c>
      <c r="L14" s="5">
        <v>0.03</v>
      </c>
      <c r="M14" s="6">
        <f t="shared" si="1"/>
        <v>1.8848999999999998</v>
      </c>
      <c r="O14" s="78"/>
    </row>
    <row r="15" spans="1:15" ht="15" customHeight="1" x14ac:dyDescent="0.25">
      <c r="A15" s="171" t="s">
        <v>89</v>
      </c>
      <c r="B15" s="160" t="s">
        <v>18</v>
      </c>
      <c r="C15" s="184" t="s">
        <v>930</v>
      </c>
      <c r="D15" s="172">
        <v>45665</v>
      </c>
      <c r="E15" s="87">
        <v>552.96</v>
      </c>
      <c r="F15" s="87">
        <v>110.59</v>
      </c>
      <c r="G15" s="94">
        <v>484.39</v>
      </c>
      <c r="H15" s="87">
        <v>66.36</v>
      </c>
      <c r="I15" s="106">
        <v>45729</v>
      </c>
      <c r="J15" s="50">
        <f t="shared" si="2"/>
        <v>442.37</v>
      </c>
      <c r="K15" s="47">
        <f t="shared" si="0"/>
        <v>64</v>
      </c>
      <c r="L15" s="5">
        <v>0.03</v>
      </c>
      <c r="M15" s="6">
        <f t="shared" si="1"/>
        <v>13.271099999999999</v>
      </c>
      <c r="O15" s="78"/>
    </row>
    <row r="16" spans="1:15" ht="15" customHeight="1" x14ac:dyDescent="0.25">
      <c r="A16" s="171" t="s">
        <v>80</v>
      </c>
      <c r="B16" s="160" t="s">
        <v>18</v>
      </c>
      <c r="C16" s="184" t="s">
        <v>931</v>
      </c>
      <c r="D16" s="172">
        <v>45671</v>
      </c>
      <c r="E16" s="87">
        <v>204</v>
      </c>
      <c r="F16" s="87">
        <v>40.799999999999997</v>
      </c>
      <c r="G16" s="94">
        <v>177.48</v>
      </c>
      <c r="H16" s="87">
        <v>24.48</v>
      </c>
      <c r="I16" s="106">
        <v>45741</v>
      </c>
      <c r="J16" s="50">
        <f t="shared" si="2"/>
        <v>163.19999999999999</v>
      </c>
      <c r="K16" s="47">
        <f t="shared" si="0"/>
        <v>70</v>
      </c>
      <c r="L16" s="5">
        <v>0.03</v>
      </c>
      <c r="M16" s="6">
        <f t="shared" si="1"/>
        <v>4.8959999999999999</v>
      </c>
      <c r="O16" s="78"/>
    </row>
    <row r="17" spans="1:15" ht="15" customHeight="1" x14ac:dyDescent="0.25">
      <c r="A17" s="171" t="s">
        <v>847</v>
      </c>
      <c r="B17" s="160" t="s">
        <v>18</v>
      </c>
      <c r="C17" s="184" t="s">
        <v>932</v>
      </c>
      <c r="D17" s="172">
        <v>45672</v>
      </c>
      <c r="E17" s="87">
        <v>106.8</v>
      </c>
      <c r="F17" s="87">
        <v>16.02</v>
      </c>
      <c r="G17" s="94">
        <v>98.72</v>
      </c>
      <c r="H17" s="87">
        <v>13.62</v>
      </c>
      <c r="I17" s="106">
        <v>45735</v>
      </c>
      <c r="J17" s="50">
        <f t="shared" si="2"/>
        <v>90.78</v>
      </c>
      <c r="K17" s="47">
        <f t="shared" si="0"/>
        <v>63</v>
      </c>
      <c r="L17" s="5">
        <v>0.03</v>
      </c>
      <c r="M17" s="6">
        <f t="shared" si="1"/>
        <v>2.7233999999999998</v>
      </c>
      <c r="O17" s="78"/>
    </row>
    <row r="18" spans="1:15" ht="15" customHeight="1" x14ac:dyDescent="0.25">
      <c r="A18" s="173" t="s">
        <v>847</v>
      </c>
      <c r="B18" s="160" t="s">
        <v>18</v>
      </c>
      <c r="C18" s="183" t="s">
        <v>933</v>
      </c>
      <c r="D18" s="174">
        <v>45674</v>
      </c>
      <c r="E18" s="104">
        <v>91.8</v>
      </c>
      <c r="F18" s="104">
        <v>13.77</v>
      </c>
      <c r="G18" s="96">
        <v>84.85</v>
      </c>
      <c r="H18" s="196">
        <v>11.7</v>
      </c>
      <c r="I18" s="106">
        <v>45735</v>
      </c>
      <c r="J18" s="50">
        <f t="shared" si="2"/>
        <v>78.03</v>
      </c>
      <c r="K18" s="47">
        <f t="shared" si="0"/>
        <v>61</v>
      </c>
      <c r="L18" s="5">
        <v>0.03</v>
      </c>
      <c r="M18" s="6">
        <f t="shared" si="1"/>
        <v>2.3409</v>
      </c>
      <c r="O18" s="78"/>
    </row>
    <row r="19" spans="1:15" ht="15" customHeight="1" x14ac:dyDescent="0.25">
      <c r="A19" s="173" t="s">
        <v>80</v>
      </c>
      <c r="B19" s="160" t="s">
        <v>18</v>
      </c>
      <c r="C19" s="183" t="s">
        <v>934</v>
      </c>
      <c r="D19" s="174">
        <v>45674</v>
      </c>
      <c r="E19" s="104">
        <v>510</v>
      </c>
      <c r="F19" s="104">
        <v>102</v>
      </c>
      <c r="G19" s="96">
        <v>443.7</v>
      </c>
      <c r="H19" s="196">
        <v>61.2</v>
      </c>
      <c r="I19" s="106">
        <v>45741</v>
      </c>
      <c r="J19" s="50">
        <f t="shared" si="2"/>
        <v>408</v>
      </c>
      <c r="K19" s="47">
        <f t="shared" si="0"/>
        <v>67</v>
      </c>
      <c r="L19" s="5">
        <v>0.03</v>
      </c>
      <c r="M19" s="6">
        <f t="shared" si="1"/>
        <v>12.24</v>
      </c>
      <c r="O19" s="78"/>
    </row>
    <row r="20" spans="1:15" ht="15" customHeight="1" x14ac:dyDescent="0.25">
      <c r="A20" s="171" t="s">
        <v>89</v>
      </c>
      <c r="B20" s="160" t="s">
        <v>18</v>
      </c>
      <c r="C20" s="184" t="s">
        <v>935</v>
      </c>
      <c r="D20" s="172">
        <v>45680</v>
      </c>
      <c r="E20" s="87">
        <v>306</v>
      </c>
      <c r="F20" s="87">
        <v>61.2</v>
      </c>
      <c r="G20" s="94">
        <v>268.05</v>
      </c>
      <c r="H20" s="179">
        <v>36.72</v>
      </c>
      <c r="I20" s="106">
        <v>45737</v>
      </c>
      <c r="J20" s="50">
        <f t="shared" si="2"/>
        <v>244.8</v>
      </c>
      <c r="K20" s="47">
        <f t="shared" si="0"/>
        <v>57</v>
      </c>
      <c r="L20" s="5">
        <v>0.03</v>
      </c>
      <c r="M20" s="6">
        <f t="shared" si="1"/>
        <v>7.3440000000000003</v>
      </c>
      <c r="O20" s="78"/>
    </row>
    <row r="21" spans="1:15" ht="15" customHeight="1" x14ac:dyDescent="0.25">
      <c r="A21" s="171" t="s">
        <v>94</v>
      </c>
      <c r="B21" s="160" t="s">
        <v>18</v>
      </c>
      <c r="C21" s="184" t="s">
        <v>936</v>
      </c>
      <c r="D21" s="172">
        <v>45687</v>
      </c>
      <c r="E21" s="87">
        <v>82.08</v>
      </c>
      <c r="F21" s="87">
        <v>12.31</v>
      </c>
      <c r="G21" s="94">
        <v>80.239999999999995</v>
      </c>
      <c r="H21" s="179">
        <v>10.47</v>
      </c>
      <c r="I21" s="106">
        <v>45726</v>
      </c>
      <c r="J21" s="50">
        <f t="shared" si="2"/>
        <v>69.77</v>
      </c>
      <c r="K21" s="47">
        <f t="shared" si="0"/>
        <v>39</v>
      </c>
      <c r="L21" s="5">
        <v>0.03</v>
      </c>
      <c r="M21" s="6">
        <f t="shared" si="1"/>
        <v>2.0930999999999997</v>
      </c>
      <c r="O21" s="78"/>
    </row>
    <row r="22" spans="1:15" ht="15" customHeight="1" x14ac:dyDescent="0.25">
      <c r="A22" s="171" t="s">
        <v>130</v>
      </c>
      <c r="B22" s="160" t="s">
        <v>84</v>
      </c>
      <c r="C22" s="184" t="s">
        <v>937</v>
      </c>
      <c r="D22" s="172">
        <v>45687</v>
      </c>
      <c r="E22" s="87">
        <v>358.91999999999996</v>
      </c>
      <c r="F22" s="87">
        <v>53.84</v>
      </c>
      <c r="G22" s="94">
        <v>350.84</v>
      </c>
      <c r="H22" s="179">
        <v>45.76</v>
      </c>
      <c r="I22" s="106">
        <v>45741</v>
      </c>
      <c r="J22" s="50">
        <f t="shared" si="2"/>
        <v>305.07999999999993</v>
      </c>
      <c r="K22" s="47">
        <f t="shared" si="0"/>
        <v>54</v>
      </c>
      <c r="L22" s="5">
        <v>0.03</v>
      </c>
      <c r="M22" s="6">
        <f t="shared" si="1"/>
        <v>9.1523999999999983</v>
      </c>
      <c r="O22" s="78"/>
    </row>
    <row r="23" spans="1:15" ht="15" customHeight="1" x14ac:dyDescent="0.25">
      <c r="A23" s="171" t="s">
        <v>80</v>
      </c>
      <c r="B23" s="160" t="s">
        <v>18</v>
      </c>
      <c r="C23" s="184" t="s">
        <v>938</v>
      </c>
      <c r="D23" s="172">
        <v>45691</v>
      </c>
      <c r="E23" s="87">
        <v>163.19999999999999</v>
      </c>
      <c r="F23" s="87">
        <v>32.64</v>
      </c>
      <c r="G23" s="94">
        <v>141.98999999999998</v>
      </c>
      <c r="H23" s="179">
        <v>19.579999999999998</v>
      </c>
      <c r="I23" s="106">
        <v>45730</v>
      </c>
      <c r="J23" s="50">
        <f t="shared" si="2"/>
        <v>130.56</v>
      </c>
      <c r="K23" s="47">
        <f t="shared" si="0"/>
        <v>39</v>
      </c>
      <c r="L23" s="5">
        <v>0.03</v>
      </c>
      <c r="M23" s="6">
        <f t="shared" si="1"/>
        <v>3.9167999999999998</v>
      </c>
      <c r="O23" s="78"/>
    </row>
    <row r="24" spans="1:15" ht="15" customHeight="1" x14ac:dyDescent="0.25">
      <c r="A24" s="171" t="s">
        <v>847</v>
      </c>
      <c r="B24" s="160" t="s">
        <v>18</v>
      </c>
      <c r="C24" s="184" t="s">
        <v>939</v>
      </c>
      <c r="D24" s="172">
        <v>45700</v>
      </c>
      <c r="E24" s="87">
        <v>263.52</v>
      </c>
      <c r="F24" s="87">
        <v>39.53</v>
      </c>
      <c r="G24" s="94">
        <v>243.58999999999997</v>
      </c>
      <c r="H24" s="190">
        <v>33.6</v>
      </c>
      <c r="I24" s="106">
        <v>45745</v>
      </c>
      <c r="J24" s="50">
        <f t="shared" si="2"/>
        <v>223.98999999999998</v>
      </c>
      <c r="K24" s="47">
        <f t="shared" si="0"/>
        <v>45</v>
      </c>
      <c r="L24" s="5">
        <v>0.03</v>
      </c>
      <c r="M24" s="6">
        <f t="shared" si="1"/>
        <v>6.7196999999999996</v>
      </c>
      <c r="O24" s="78"/>
    </row>
    <row r="25" spans="1:15" ht="15" customHeight="1" x14ac:dyDescent="0.25">
      <c r="A25" s="171" t="s">
        <v>54</v>
      </c>
      <c r="B25" s="160" t="s">
        <v>32</v>
      </c>
      <c r="C25" s="184" t="s">
        <v>940</v>
      </c>
      <c r="D25" s="172">
        <v>45705</v>
      </c>
      <c r="E25" s="87">
        <v>878.4</v>
      </c>
      <c r="F25" s="87">
        <v>149.33000000000001</v>
      </c>
      <c r="G25" s="94">
        <v>792.8599999999999</v>
      </c>
      <c r="H25" s="190">
        <v>109.36</v>
      </c>
      <c r="I25" s="106">
        <v>45743</v>
      </c>
      <c r="J25" s="50">
        <f t="shared" si="2"/>
        <v>729.06999999999994</v>
      </c>
      <c r="K25" s="47">
        <f t="shared" si="0"/>
        <v>38</v>
      </c>
      <c r="L25" s="5">
        <v>0.03</v>
      </c>
      <c r="M25" s="6">
        <f t="shared" si="1"/>
        <v>21.872099999999996</v>
      </c>
      <c r="O25" s="78"/>
    </row>
    <row r="26" spans="1:15" ht="15" customHeight="1" x14ac:dyDescent="0.25">
      <c r="A26" s="171" t="s">
        <v>55</v>
      </c>
      <c r="B26" s="160" t="s">
        <v>30</v>
      </c>
      <c r="C26" s="184" t="s">
        <v>941</v>
      </c>
      <c r="D26" s="172">
        <v>45707</v>
      </c>
      <c r="E26" s="87">
        <v>85.68</v>
      </c>
      <c r="F26" s="87">
        <v>17.14</v>
      </c>
      <c r="G26" s="94">
        <v>78.819999999999993</v>
      </c>
      <c r="H26" s="190">
        <v>10.28</v>
      </c>
      <c r="I26" s="106">
        <v>45721</v>
      </c>
      <c r="J26" s="50">
        <f t="shared" si="2"/>
        <v>68.540000000000006</v>
      </c>
      <c r="K26" s="47">
        <f t="shared" si="0"/>
        <v>14</v>
      </c>
      <c r="L26" s="5">
        <v>3.5000000000000003E-2</v>
      </c>
      <c r="M26" s="6">
        <f t="shared" si="1"/>
        <v>2.3989000000000003</v>
      </c>
      <c r="O26" s="78"/>
    </row>
    <row r="27" spans="1:15" ht="15" customHeight="1" x14ac:dyDescent="0.25">
      <c r="A27" s="171" t="s">
        <v>923</v>
      </c>
      <c r="B27" s="160" t="s">
        <v>59</v>
      </c>
      <c r="C27" s="184" t="s">
        <v>942</v>
      </c>
      <c r="D27" s="172">
        <v>45723</v>
      </c>
      <c r="E27" s="87">
        <v>885</v>
      </c>
      <c r="F27" s="87">
        <v>132.75</v>
      </c>
      <c r="G27" s="87">
        <v>865.09</v>
      </c>
      <c r="H27" s="87">
        <v>112.84</v>
      </c>
      <c r="I27" s="106">
        <v>45723</v>
      </c>
      <c r="J27" s="50">
        <f t="shared" si="2"/>
        <v>752.25</v>
      </c>
      <c r="K27" s="47">
        <f t="shared" si="0"/>
        <v>0</v>
      </c>
      <c r="L27" s="5">
        <v>0.04</v>
      </c>
      <c r="M27" s="6">
        <f t="shared" si="1"/>
        <v>30.09</v>
      </c>
      <c r="O27" s="78"/>
    </row>
    <row r="28" spans="1:15" ht="15" customHeight="1" x14ac:dyDescent="0.25">
      <c r="A28" s="171" t="s">
        <v>44</v>
      </c>
      <c r="B28" s="160" t="s">
        <v>18</v>
      </c>
      <c r="C28" s="184" t="s">
        <v>943</v>
      </c>
      <c r="D28" s="172">
        <v>45726</v>
      </c>
      <c r="E28" s="87">
        <f>81.6+20.4</f>
        <v>102</v>
      </c>
      <c r="F28" s="87">
        <v>20.399999999999999</v>
      </c>
      <c r="G28" s="94">
        <f>93.84-1.43-3.67</f>
        <v>88.74</v>
      </c>
      <c r="H28" s="87">
        <v>12.24</v>
      </c>
      <c r="I28" s="172">
        <v>45728</v>
      </c>
      <c r="J28" s="50">
        <f t="shared" si="2"/>
        <v>81.599999999999994</v>
      </c>
      <c r="K28" s="47">
        <f t="shared" si="0"/>
        <v>2</v>
      </c>
      <c r="L28" s="5">
        <v>3.5000000000000003E-2</v>
      </c>
      <c r="M28" s="6">
        <f t="shared" si="1"/>
        <v>2.8559999999999999</v>
      </c>
      <c r="O28" s="78"/>
    </row>
    <row r="29" spans="1:15" ht="15" customHeight="1" x14ac:dyDescent="0.25">
      <c r="A29" s="171" t="s">
        <v>125</v>
      </c>
      <c r="B29" s="160" t="s">
        <v>18</v>
      </c>
      <c r="C29" s="184" t="s">
        <v>945</v>
      </c>
      <c r="D29" s="172">
        <v>45729</v>
      </c>
      <c r="E29" s="87">
        <v>62.4</v>
      </c>
      <c r="F29" s="87">
        <v>0</v>
      </c>
      <c r="G29" s="94">
        <f>71.76-0.36</f>
        <v>71.400000000000006</v>
      </c>
      <c r="H29" s="87">
        <v>9.36</v>
      </c>
      <c r="I29" s="172">
        <v>45734</v>
      </c>
      <c r="J29" s="50">
        <f t="shared" si="2"/>
        <v>62.4</v>
      </c>
      <c r="K29" s="47">
        <f t="shared" si="0"/>
        <v>5</v>
      </c>
      <c r="L29" s="5">
        <v>3.5000000000000003E-2</v>
      </c>
      <c r="M29" s="6">
        <f t="shared" si="1"/>
        <v>2.1840000000000002</v>
      </c>
      <c r="O29" s="78"/>
    </row>
    <row r="30" spans="1:15" ht="15" customHeight="1" x14ac:dyDescent="0.25">
      <c r="A30" s="171" t="s">
        <v>89</v>
      </c>
      <c r="B30" s="160" t="s">
        <v>18</v>
      </c>
      <c r="C30" s="184" t="s">
        <v>946</v>
      </c>
      <c r="D30" s="172">
        <v>45735</v>
      </c>
      <c r="E30" s="87">
        <f>84.48+21.12</f>
        <v>105.60000000000001</v>
      </c>
      <c r="F30" s="87">
        <v>21.12</v>
      </c>
      <c r="G30" s="94">
        <f>97.15-1.48-3.8</f>
        <v>91.87</v>
      </c>
      <c r="H30" s="87">
        <v>12.67</v>
      </c>
      <c r="I30" s="172">
        <v>45736</v>
      </c>
      <c r="J30" s="50">
        <f t="shared" si="2"/>
        <v>84.48</v>
      </c>
      <c r="K30" s="47">
        <f t="shared" si="0"/>
        <v>1</v>
      </c>
      <c r="L30" s="5">
        <v>0.04</v>
      </c>
      <c r="M30" s="6">
        <f t="shared" si="1"/>
        <v>3.3792000000000004</v>
      </c>
      <c r="O30" s="78"/>
    </row>
    <row r="31" spans="1:15" ht="15" customHeight="1" x14ac:dyDescent="0.25">
      <c r="A31" s="171" t="s">
        <v>944</v>
      </c>
      <c r="B31" s="160" t="s">
        <v>18</v>
      </c>
      <c r="C31" s="184" t="s">
        <v>947</v>
      </c>
      <c r="D31" s="172">
        <v>45744</v>
      </c>
      <c r="E31" s="87">
        <f>42.12+4.68</f>
        <v>46.8</v>
      </c>
      <c r="F31" s="87">
        <v>4.68</v>
      </c>
      <c r="G31" s="94">
        <f>48.44-0.74-1.9</f>
        <v>45.8</v>
      </c>
      <c r="H31" s="199">
        <v>6.32</v>
      </c>
      <c r="I31" s="172">
        <v>45744</v>
      </c>
      <c r="J31" s="50">
        <f t="shared" si="2"/>
        <v>42.12</v>
      </c>
      <c r="K31" s="47">
        <f t="shared" si="0"/>
        <v>0</v>
      </c>
      <c r="L31" s="5">
        <v>0.04</v>
      </c>
      <c r="M31" s="6">
        <f t="shared" si="1"/>
        <v>1.6847999999999999</v>
      </c>
      <c r="O31" s="78"/>
    </row>
    <row r="32" spans="1:15" ht="15" customHeight="1" x14ac:dyDescent="0.25">
      <c r="A32" s="115"/>
      <c r="B32" s="136"/>
      <c r="C32" s="117"/>
      <c r="D32" s="118"/>
      <c r="E32" s="119"/>
      <c r="F32" s="119"/>
      <c r="G32" s="120"/>
      <c r="H32" s="119"/>
      <c r="I32" s="121"/>
      <c r="J32" s="50"/>
      <c r="K32" s="47"/>
      <c r="L32" s="5"/>
      <c r="M32" s="6"/>
      <c r="O32" s="78"/>
    </row>
    <row r="33" spans="1:15" ht="15" customHeight="1" x14ac:dyDescent="0.3">
      <c r="G33" s="16">
        <f>SUM(G8:G32)</f>
        <v>5883.9699999999984</v>
      </c>
      <c r="J33" s="16">
        <f>SUM(J8:J32)</f>
        <v>5311.7660869565207</v>
      </c>
      <c r="M33" s="16">
        <f>SUM(M8:M32)</f>
        <v>169.37331304347822</v>
      </c>
    </row>
    <row r="34" spans="1:15" ht="15" customHeight="1" x14ac:dyDescent="0.25">
      <c r="G34" s="8"/>
      <c r="H34" s="8"/>
    </row>
    <row r="35" spans="1:15" ht="15" customHeight="1" x14ac:dyDescent="0.25">
      <c r="A35" s="17" t="s">
        <v>19</v>
      </c>
      <c r="B35" s="17" t="s">
        <v>20</v>
      </c>
      <c r="C35" s="18" t="s">
        <v>21</v>
      </c>
      <c r="I35" s="181"/>
      <c r="J35" s="8"/>
    </row>
    <row r="36" spans="1:15" s="52" customFormat="1" ht="15" x14ac:dyDescent="0.25">
      <c r="A36" s="101" t="s">
        <v>97</v>
      </c>
      <c r="B36" s="101" t="s">
        <v>948</v>
      </c>
      <c r="C36" s="102" t="s">
        <v>955</v>
      </c>
      <c r="D36" s="105">
        <v>45723</v>
      </c>
      <c r="E36" s="92">
        <f>1485.63+304.29</f>
        <v>1789.92</v>
      </c>
      <c r="F36" s="92">
        <v>304.29000000000002</v>
      </c>
      <c r="G36" s="90">
        <f>1708.48</f>
        <v>1708.48</v>
      </c>
      <c r="H36" s="92">
        <v>222.85</v>
      </c>
      <c r="I36" s="105">
        <v>45797</v>
      </c>
      <c r="J36" s="50">
        <f>+E36-F36</f>
        <v>1485.63</v>
      </c>
      <c r="K36" s="47">
        <f>+I36-D36</f>
        <v>74</v>
      </c>
      <c r="L36" s="48">
        <v>0.03</v>
      </c>
      <c r="M36" s="49">
        <f>+J36*L36</f>
        <v>44.568899999999999</v>
      </c>
      <c r="N36" s="60"/>
      <c r="O36" s="78"/>
    </row>
    <row r="37" spans="1:15" s="52" customFormat="1" ht="15" customHeight="1" x14ac:dyDescent="0.25">
      <c r="A37" s="101" t="s">
        <v>42</v>
      </c>
      <c r="B37" s="101" t="s">
        <v>949</v>
      </c>
      <c r="C37" s="102" t="s">
        <v>956</v>
      </c>
      <c r="D37" s="105">
        <v>45726</v>
      </c>
      <c r="E37" s="104">
        <f>129.03+22.77</f>
        <v>151.80000000000001</v>
      </c>
      <c r="F37" s="104">
        <v>22.77</v>
      </c>
      <c r="G37" s="96">
        <f>148.38-2.26-5.81</f>
        <v>140.31</v>
      </c>
      <c r="H37" s="104">
        <v>19.350000000000001</v>
      </c>
      <c r="I37" s="106">
        <v>45771</v>
      </c>
      <c r="J37" s="50">
        <f>+E37-F37</f>
        <v>129.03</v>
      </c>
      <c r="K37" s="47">
        <f>+I37-D37</f>
        <v>45</v>
      </c>
      <c r="L37" s="48">
        <v>0.03</v>
      </c>
      <c r="M37" s="49">
        <f>+J37*L37</f>
        <v>3.8708999999999998</v>
      </c>
      <c r="N37" s="60"/>
      <c r="O37" s="78"/>
    </row>
    <row r="38" spans="1:15" s="52" customFormat="1" ht="15" customHeight="1" x14ac:dyDescent="0.25">
      <c r="A38" s="101" t="s">
        <v>52</v>
      </c>
      <c r="B38" s="101" t="s">
        <v>950</v>
      </c>
      <c r="C38" s="102" t="s">
        <v>957</v>
      </c>
      <c r="D38" s="105">
        <v>45726</v>
      </c>
      <c r="E38" s="104">
        <v>1359.6</v>
      </c>
      <c r="F38" s="104">
        <v>339.9</v>
      </c>
      <c r="G38" s="96">
        <v>1116.57</v>
      </c>
      <c r="H38" s="104">
        <v>152.96</v>
      </c>
      <c r="I38" s="106">
        <v>45808</v>
      </c>
      <c r="J38" s="50">
        <f t="shared" ref="J38:J45" si="3">+E38-F38</f>
        <v>1019.6999999999999</v>
      </c>
      <c r="K38" s="47">
        <f t="shared" ref="K38:K44" si="4">+I38-D38</f>
        <v>82</v>
      </c>
      <c r="L38" s="48">
        <v>0.03</v>
      </c>
      <c r="M38" s="49">
        <f t="shared" ref="M38:M44" si="5">+J38*L38</f>
        <v>30.590999999999998</v>
      </c>
      <c r="N38" s="60"/>
      <c r="O38" s="78"/>
    </row>
    <row r="39" spans="1:15" s="52" customFormat="1" ht="15" customHeight="1" x14ac:dyDescent="0.25">
      <c r="A39" s="101" t="s">
        <v>97</v>
      </c>
      <c r="B39" s="101" t="s">
        <v>967</v>
      </c>
      <c r="C39" s="102" t="s">
        <v>962</v>
      </c>
      <c r="D39" s="105">
        <v>45674</v>
      </c>
      <c r="E39" s="104">
        <v>117</v>
      </c>
      <c r="F39" s="104">
        <v>17.55</v>
      </c>
      <c r="G39" s="96">
        <v>114.37</v>
      </c>
      <c r="H39" s="180">
        <v>14.92</v>
      </c>
      <c r="I39" s="106">
        <v>45754</v>
      </c>
      <c r="J39" s="50">
        <f t="shared" ref="J39:J40" si="6">+E39-F39</f>
        <v>99.45</v>
      </c>
      <c r="K39" s="47">
        <f t="shared" ref="K39:K40" si="7">+I39-D39</f>
        <v>80</v>
      </c>
      <c r="L39" s="48">
        <v>0.03</v>
      </c>
      <c r="M39" s="49">
        <f t="shared" ref="M39:M40" si="8">+J39*L39</f>
        <v>2.9834999999999998</v>
      </c>
      <c r="N39" s="60"/>
      <c r="O39" s="78"/>
    </row>
    <row r="40" spans="1:15" s="52" customFormat="1" ht="15" customHeight="1" x14ac:dyDescent="0.25">
      <c r="A40" s="101" t="s">
        <v>52</v>
      </c>
      <c r="B40" s="101" t="s">
        <v>966</v>
      </c>
      <c r="C40" s="102" t="s">
        <v>963</v>
      </c>
      <c r="D40" s="105">
        <v>45687</v>
      </c>
      <c r="E40" s="104">
        <v>182.16</v>
      </c>
      <c r="F40" s="104">
        <v>45.54</v>
      </c>
      <c r="G40" s="96">
        <f>157.11-1.37-6.15</f>
        <v>149.59</v>
      </c>
      <c r="H40" s="180">
        <v>20.49</v>
      </c>
      <c r="I40" s="106">
        <v>45757</v>
      </c>
      <c r="J40" s="50">
        <f t="shared" si="6"/>
        <v>136.62</v>
      </c>
      <c r="K40" s="47">
        <f t="shared" si="7"/>
        <v>70</v>
      </c>
      <c r="L40" s="48">
        <v>0.03</v>
      </c>
      <c r="M40" s="49">
        <f t="shared" si="8"/>
        <v>4.0986000000000002</v>
      </c>
      <c r="N40" s="60"/>
      <c r="O40" s="78"/>
    </row>
    <row r="41" spans="1:15" s="52" customFormat="1" ht="15" customHeight="1" x14ac:dyDescent="0.25">
      <c r="A41" s="101" t="s">
        <v>46</v>
      </c>
      <c r="B41" s="101" t="s">
        <v>965</v>
      </c>
      <c r="C41" s="102" t="s">
        <v>964</v>
      </c>
      <c r="D41" s="105">
        <v>45743</v>
      </c>
      <c r="E41" s="104">
        <v>898.56</v>
      </c>
      <c r="F41" s="104">
        <v>224.64</v>
      </c>
      <c r="G41" s="96">
        <f>775.01-11.79-30.33</f>
        <v>732.89</v>
      </c>
      <c r="H41" s="198">
        <v>101.09</v>
      </c>
      <c r="I41" s="106">
        <v>45761</v>
      </c>
      <c r="J41" s="50">
        <f t="shared" ref="J41" si="9">+E41-F41</f>
        <v>673.92</v>
      </c>
      <c r="K41" s="47">
        <f t="shared" ref="K41" si="10">+I41-D41</f>
        <v>18</v>
      </c>
      <c r="L41" s="48">
        <v>0.03</v>
      </c>
      <c r="M41" s="49">
        <f t="shared" ref="M41" si="11">+J41*L41</f>
        <v>20.217599999999997</v>
      </c>
      <c r="N41" s="60"/>
      <c r="O41" s="78"/>
    </row>
    <row r="42" spans="1:15" s="52" customFormat="1" ht="15" customHeight="1" x14ac:dyDescent="0.25">
      <c r="A42" s="101" t="s">
        <v>40</v>
      </c>
      <c r="B42" s="101" t="s">
        <v>951</v>
      </c>
      <c r="C42" s="102" t="s">
        <v>958</v>
      </c>
      <c r="D42" s="105">
        <v>45727</v>
      </c>
      <c r="E42" s="104">
        <v>1003.2</v>
      </c>
      <c r="F42" s="104">
        <v>250.8</v>
      </c>
      <c r="G42" s="96">
        <v>823.88</v>
      </c>
      <c r="H42" s="104">
        <v>112.86</v>
      </c>
      <c r="I42" s="106">
        <v>45758</v>
      </c>
      <c r="J42" s="50">
        <f t="shared" si="3"/>
        <v>752.40000000000009</v>
      </c>
      <c r="K42" s="47">
        <f t="shared" si="4"/>
        <v>31</v>
      </c>
      <c r="L42" s="48">
        <v>0.03</v>
      </c>
      <c r="M42" s="49">
        <f t="shared" si="5"/>
        <v>22.572000000000003</v>
      </c>
      <c r="N42" s="60"/>
      <c r="O42" s="78"/>
    </row>
    <row r="43" spans="1:15" s="52" customFormat="1" ht="15" customHeight="1" x14ac:dyDescent="0.25">
      <c r="A43" s="101" t="s">
        <v>40</v>
      </c>
      <c r="B43" s="101" t="s">
        <v>952</v>
      </c>
      <c r="C43" s="102" t="s">
        <v>959</v>
      </c>
      <c r="D43" s="105">
        <v>45729</v>
      </c>
      <c r="E43" s="104">
        <v>1108.8</v>
      </c>
      <c r="F43" s="104">
        <v>277.2</v>
      </c>
      <c r="G43" s="96">
        <v>910.6</v>
      </c>
      <c r="H43" s="104">
        <v>124.74</v>
      </c>
      <c r="I43" s="106">
        <v>45760</v>
      </c>
      <c r="J43" s="50">
        <f t="shared" si="3"/>
        <v>831.59999999999991</v>
      </c>
      <c r="K43" s="47">
        <f t="shared" si="4"/>
        <v>31</v>
      </c>
      <c r="L43" s="48">
        <v>0.03</v>
      </c>
      <c r="M43" s="49">
        <f t="shared" si="5"/>
        <v>24.947999999999997</v>
      </c>
      <c r="N43" s="60"/>
      <c r="O43" s="78"/>
    </row>
    <row r="44" spans="1:15" s="52" customFormat="1" ht="15" customHeight="1" x14ac:dyDescent="0.25">
      <c r="A44" s="101" t="s">
        <v>40</v>
      </c>
      <c r="B44" s="101" t="s">
        <v>953</v>
      </c>
      <c r="C44" s="102" t="s">
        <v>960</v>
      </c>
      <c r="D44" s="105">
        <v>45741</v>
      </c>
      <c r="E44" s="104">
        <v>489.6</v>
      </c>
      <c r="F44" s="104">
        <v>122.4</v>
      </c>
      <c r="G44" s="96">
        <v>402.09</v>
      </c>
      <c r="H44" s="198">
        <v>55.08</v>
      </c>
      <c r="I44" s="106">
        <v>45772</v>
      </c>
      <c r="J44" s="50">
        <f t="shared" si="3"/>
        <v>367.20000000000005</v>
      </c>
      <c r="K44" s="47">
        <f t="shared" si="4"/>
        <v>31</v>
      </c>
      <c r="L44" s="48">
        <v>0.03</v>
      </c>
      <c r="M44" s="49">
        <f t="shared" si="5"/>
        <v>11.016000000000002</v>
      </c>
      <c r="N44" s="60"/>
      <c r="O44" s="78"/>
    </row>
    <row r="45" spans="1:15" s="52" customFormat="1" ht="15" customHeight="1" x14ac:dyDescent="0.25">
      <c r="A45" s="101" t="s">
        <v>42</v>
      </c>
      <c r="B45" s="101" t="s">
        <v>954</v>
      </c>
      <c r="C45" s="102" t="s">
        <v>961</v>
      </c>
      <c r="D45" s="105">
        <v>45744</v>
      </c>
      <c r="E45" s="104">
        <v>235.8</v>
      </c>
      <c r="F45" s="104">
        <v>35.369999999999997</v>
      </c>
      <c r="G45" s="96">
        <v>217.96</v>
      </c>
      <c r="H45" s="198">
        <v>30.06</v>
      </c>
      <c r="I45" s="106">
        <v>45792</v>
      </c>
      <c r="J45" s="50">
        <f t="shared" si="3"/>
        <v>200.43</v>
      </c>
      <c r="K45" s="47">
        <f>+I45-D45</f>
        <v>48</v>
      </c>
      <c r="L45" s="48">
        <v>0.03</v>
      </c>
      <c r="M45" s="49">
        <f>+J45*L45</f>
        <v>6.0129000000000001</v>
      </c>
      <c r="N45" s="60"/>
      <c r="O45" s="78"/>
    </row>
    <row r="46" spans="1:15" s="1" customFormat="1" ht="15" customHeight="1" thickBot="1" x14ac:dyDescent="0.3">
      <c r="A46" s="152"/>
      <c r="B46" s="153"/>
      <c r="C46" s="154"/>
      <c r="D46" s="155"/>
      <c r="E46" s="156"/>
      <c r="F46" s="156"/>
      <c r="G46" s="90"/>
      <c r="H46" s="92"/>
      <c r="I46" s="105"/>
      <c r="J46" s="50"/>
      <c r="K46" s="47"/>
      <c r="L46" s="48"/>
      <c r="M46" s="53"/>
      <c r="N46" s="74"/>
      <c r="O46" s="78"/>
    </row>
    <row r="47" spans="1:15" ht="15" customHeight="1" thickBot="1" x14ac:dyDescent="0.35">
      <c r="A47" s="332" t="s">
        <v>29</v>
      </c>
      <c r="B47" s="332"/>
      <c r="C47" s="332"/>
      <c r="D47" s="332"/>
      <c r="E47" s="332"/>
      <c r="F47" s="332"/>
      <c r="G47" s="16">
        <f>SUM(G33:G46)</f>
        <v>12200.71</v>
      </c>
      <c r="J47" s="16">
        <f>SUM(J33:J46)</f>
        <v>11007.74608695652</v>
      </c>
      <c r="L47" s="20"/>
      <c r="M47" s="21">
        <f>SUM(M33:M46)</f>
        <v>340.2527130434782</v>
      </c>
    </row>
    <row r="48" spans="1:15" ht="15" customHeight="1" x14ac:dyDescent="0.3">
      <c r="A48" s="22"/>
      <c r="G48" s="8"/>
    </row>
    <row r="49" spans="1:15" ht="15" customHeight="1" x14ac:dyDescent="0.3">
      <c r="A49" s="39"/>
      <c r="G49" s="8"/>
      <c r="J49" s="8"/>
    </row>
    <row r="50" spans="1:15" ht="15" customHeight="1" x14ac:dyDescent="0.3">
      <c r="A50" s="39"/>
      <c r="G50" s="8"/>
      <c r="J50" s="8"/>
    </row>
    <row r="51" spans="1:15" ht="15" customHeight="1" x14ac:dyDescent="0.3">
      <c r="A51" s="39"/>
      <c r="G51" s="8"/>
      <c r="J51" s="8">
        <f>J47*2%</f>
        <v>220.1549217391304</v>
      </c>
      <c r="M51" s="185">
        <f>M47/12</f>
        <v>28.354392753623184</v>
      </c>
      <c r="N51" s="59" t="s">
        <v>341</v>
      </c>
    </row>
    <row r="52" spans="1:15" ht="15" customHeight="1" x14ac:dyDescent="0.3">
      <c r="A52" s="39"/>
      <c r="G52" s="8"/>
      <c r="J52" s="185">
        <f>J51/12</f>
        <v>18.346243478260867</v>
      </c>
      <c r="K52" s="7" t="s">
        <v>876</v>
      </c>
      <c r="M52" s="185">
        <f>M47/24</f>
        <v>14.177196376811592</v>
      </c>
      <c r="N52" s="59" t="s">
        <v>341</v>
      </c>
    </row>
    <row r="53" spans="1:15" ht="15" customHeight="1" x14ac:dyDescent="0.3">
      <c r="A53" s="39"/>
      <c r="G53" s="8"/>
      <c r="J53" s="185">
        <f>J51/24</f>
        <v>9.1731217391304334</v>
      </c>
      <c r="K53" s="7" t="s">
        <v>876</v>
      </c>
    </row>
    <row r="54" spans="1:15" ht="15" customHeight="1" x14ac:dyDescent="0.3">
      <c r="A54" s="39"/>
      <c r="G54" s="8"/>
      <c r="J54" s="8"/>
      <c r="M54" s="8"/>
    </row>
    <row r="55" spans="1:15" ht="15" customHeight="1" x14ac:dyDescent="0.3">
      <c r="A55" s="39"/>
      <c r="G55" s="8"/>
      <c r="J55" s="8"/>
      <c r="M55" s="8"/>
    </row>
    <row r="56" spans="1:15" ht="15" customHeight="1" x14ac:dyDescent="0.3">
      <c r="A56" s="39"/>
      <c r="G56" s="8"/>
      <c r="J56" s="8"/>
      <c r="M56" s="8"/>
      <c r="O56" s="8"/>
    </row>
    <row r="57" spans="1:15" ht="15" customHeight="1" x14ac:dyDescent="0.3">
      <c r="A57" s="39"/>
      <c r="G57" s="8"/>
      <c r="J57" s="8"/>
      <c r="M57" s="8"/>
      <c r="O57" s="8"/>
    </row>
    <row r="58" spans="1:15" ht="15" customHeight="1" x14ac:dyDescent="0.3">
      <c r="A58" s="39"/>
      <c r="G58" s="8"/>
      <c r="J58" s="8"/>
      <c r="M58" s="8"/>
    </row>
    <row r="59" spans="1:15" ht="15" customHeight="1" x14ac:dyDescent="0.3">
      <c r="A59" s="39"/>
      <c r="G59" s="8"/>
      <c r="J59" s="8"/>
    </row>
    <row r="60" spans="1:15" ht="15" customHeight="1" x14ac:dyDescent="0.3">
      <c r="A60" s="39"/>
      <c r="G60" s="8"/>
      <c r="J60" s="8"/>
    </row>
    <row r="61" spans="1:15" ht="15" customHeight="1" x14ac:dyDescent="0.3">
      <c r="A61" s="39"/>
      <c r="G61" s="8"/>
      <c r="J61" s="8"/>
    </row>
    <row r="62" spans="1:15" ht="15" customHeight="1" x14ac:dyDescent="0.3">
      <c r="A62" s="39"/>
      <c r="G62" s="8"/>
      <c r="J62" s="8"/>
    </row>
    <row r="63" spans="1:15" ht="15" customHeight="1" x14ac:dyDescent="0.3">
      <c r="A63" s="39"/>
      <c r="G63" s="8"/>
      <c r="J63" s="8"/>
    </row>
    <row r="64" spans="1:15" ht="15" customHeight="1" x14ac:dyDescent="0.3">
      <c r="A64" s="22"/>
      <c r="J64" s="15"/>
      <c r="K64" s="15"/>
    </row>
  </sheetData>
  <sortState xmlns:xlrd2="http://schemas.microsoft.com/office/spreadsheetml/2017/richdata2" ref="A8:P31">
    <sortCondition ref="D8:D31"/>
  </sortState>
  <mergeCells count="2">
    <mergeCell ref="A3:F3"/>
    <mergeCell ref="A47:F47"/>
  </mergeCells>
  <pageMargins left="0.19685039370078741" right="0" top="0.19685039370078741" bottom="0" header="0" footer="0"/>
  <pageSetup paperSize="9" scale="74"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12015-F4A4-4AA8-A691-2B2FF8CAA155}">
  <dimension ref="A1:O80"/>
  <sheetViews>
    <sheetView topLeftCell="H59" workbookViewId="0">
      <selection activeCell="M67" sqref="M67"/>
    </sheetView>
  </sheetViews>
  <sheetFormatPr baseColWidth="10" defaultColWidth="11.44140625" defaultRowHeight="13.2" x14ac:dyDescent="0.25"/>
  <cols>
    <col min="1" max="1" width="46" style="7" customWidth="1"/>
    <col min="2" max="2" width="28.6640625" style="7" customWidth="1"/>
    <col min="3" max="3" width="25.33203125" style="19" customWidth="1"/>
    <col min="4" max="4" width="10.33203125" style="67" customWidth="1"/>
    <col min="5" max="5" width="11" style="7" customWidth="1"/>
    <col min="6" max="6" width="9.44140625" style="7" customWidth="1"/>
    <col min="7" max="7" width="11.88671875" style="7" customWidth="1"/>
    <col min="8" max="8" width="8.88671875" style="7" customWidth="1"/>
    <col min="9" max="9" width="10.6640625" style="67" customWidth="1"/>
    <col min="10" max="10" width="11.44140625" style="7"/>
    <col min="11" max="11" width="7.33203125" style="7" customWidth="1"/>
    <col min="12" max="12" width="6.44140625" style="7" customWidth="1"/>
    <col min="13" max="13" width="10.109375" style="7" customWidth="1"/>
    <col min="14" max="14" width="24.33203125" style="59" customWidth="1"/>
    <col min="15" max="16" width="8" style="7" customWidth="1"/>
    <col min="17" max="16384" width="11.44140625" style="7"/>
  </cols>
  <sheetData>
    <row r="1" spans="1:15" ht="15" customHeight="1" x14ac:dyDescent="0.25">
      <c r="B1" s="8"/>
      <c r="C1" s="181"/>
      <c r="G1" s="8"/>
    </row>
    <row r="2" spans="1:15" ht="15" customHeight="1" x14ac:dyDescent="0.25">
      <c r="A2" s="30"/>
      <c r="B2" s="30"/>
      <c r="C2" s="30"/>
      <c r="D2" s="30"/>
      <c r="E2" s="30"/>
      <c r="F2" s="30"/>
      <c r="G2" s="24"/>
      <c r="H2" s="24"/>
      <c r="I2" s="195"/>
      <c r="J2" s="26"/>
      <c r="K2" s="27"/>
      <c r="L2" s="28"/>
      <c r="M2" s="29"/>
    </row>
    <row r="3" spans="1:15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195"/>
      <c r="J3" s="27"/>
      <c r="K3" s="27"/>
      <c r="L3" s="28"/>
      <c r="M3" s="29"/>
    </row>
    <row r="4" spans="1:15" ht="15" customHeight="1" x14ac:dyDescent="0.25">
      <c r="A4" s="30"/>
      <c r="B4" s="31" t="s">
        <v>968</v>
      </c>
      <c r="C4" s="30"/>
      <c r="D4" s="64"/>
      <c r="E4" s="30"/>
      <c r="F4" s="30"/>
      <c r="G4" s="24"/>
      <c r="H4" s="25"/>
      <c r="I4" s="195"/>
      <c r="J4" s="27"/>
      <c r="K4" s="27"/>
      <c r="L4" s="28"/>
      <c r="M4" s="29"/>
    </row>
    <row r="5" spans="1:15" ht="15" customHeight="1" thickBot="1" x14ac:dyDescent="0.3">
      <c r="A5" s="30"/>
      <c r="B5" s="31" t="s">
        <v>22</v>
      </c>
      <c r="C5" s="30"/>
      <c r="D5" s="64"/>
      <c r="E5" s="30"/>
      <c r="F5" s="30"/>
      <c r="G5" s="32"/>
      <c r="H5" s="24"/>
      <c r="I5" s="64"/>
      <c r="J5" s="33"/>
      <c r="K5" s="27"/>
      <c r="L5" s="28"/>
      <c r="M5" s="29"/>
    </row>
    <row r="6" spans="1:15" ht="15" customHeight="1" x14ac:dyDescent="0.25">
      <c r="A6" s="34"/>
      <c r="B6" s="33"/>
      <c r="C6" s="182"/>
      <c r="D6" s="195"/>
      <c r="E6" s="33"/>
      <c r="F6" s="33"/>
      <c r="G6" s="35" t="s">
        <v>3</v>
      </c>
      <c r="H6" s="27"/>
      <c r="I6" s="195"/>
      <c r="J6" s="36" t="s">
        <v>4</v>
      </c>
      <c r="K6" s="56" t="s">
        <v>5</v>
      </c>
      <c r="L6" s="40" t="s">
        <v>6</v>
      </c>
      <c r="M6" s="36" t="s">
        <v>7</v>
      </c>
    </row>
    <row r="7" spans="1:15" ht="15" customHeight="1" x14ac:dyDescent="0.25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62" t="s">
        <v>13</v>
      </c>
      <c r="H7" s="13" t="s">
        <v>14</v>
      </c>
      <c r="I7" s="197" t="s">
        <v>15</v>
      </c>
      <c r="J7" s="14" t="s">
        <v>16</v>
      </c>
      <c r="K7" s="57"/>
      <c r="L7" s="58" t="s">
        <v>17</v>
      </c>
      <c r="M7" s="14" t="s">
        <v>39</v>
      </c>
    </row>
    <row r="8" spans="1:15" ht="15" customHeight="1" x14ac:dyDescent="0.25">
      <c r="A8" s="171" t="s">
        <v>76</v>
      </c>
      <c r="B8" s="113" t="s">
        <v>18</v>
      </c>
      <c r="C8" s="184" t="s">
        <v>972</v>
      </c>
      <c r="D8" s="172">
        <v>45629</v>
      </c>
      <c r="E8" s="87">
        <v>210.6</v>
      </c>
      <c r="F8" s="87">
        <v>0</v>
      </c>
      <c r="G8" s="94">
        <v>230.6</v>
      </c>
      <c r="H8" s="87">
        <v>31.59</v>
      </c>
      <c r="I8" s="106">
        <v>45772</v>
      </c>
      <c r="J8" s="50">
        <f t="shared" ref="J8:J39" si="0">+E8-F8</f>
        <v>210.6</v>
      </c>
      <c r="K8" s="47">
        <f t="shared" ref="K8:K39" si="1">+I8-D8</f>
        <v>143</v>
      </c>
      <c r="L8" s="5">
        <v>0.03</v>
      </c>
      <c r="M8" s="6">
        <f t="shared" ref="M8:M39" si="2">+J8*L8</f>
        <v>6.3179999999999996</v>
      </c>
      <c r="O8" s="78"/>
    </row>
    <row r="9" spans="1:15" ht="15" customHeight="1" x14ac:dyDescent="0.25">
      <c r="A9" s="171" t="s">
        <v>76</v>
      </c>
      <c r="B9" s="160" t="s">
        <v>18</v>
      </c>
      <c r="C9" s="184" t="s">
        <v>973</v>
      </c>
      <c r="D9" s="172">
        <v>45637</v>
      </c>
      <c r="E9" s="87">
        <v>140.4</v>
      </c>
      <c r="F9" s="87">
        <v>21.06</v>
      </c>
      <c r="G9" s="94">
        <v>130.68</v>
      </c>
      <c r="H9" s="87">
        <v>17.899999999999999</v>
      </c>
      <c r="I9" s="106">
        <v>45772</v>
      </c>
      <c r="J9" s="50">
        <f t="shared" si="0"/>
        <v>119.34</v>
      </c>
      <c r="K9" s="47">
        <f t="shared" si="1"/>
        <v>135</v>
      </c>
      <c r="L9" s="5">
        <v>0.03</v>
      </c>
      <c r="M9" s="6">
        <f t="shared" si="2"/>
        <v>3.5802</v>
      </c>
      <c r="O9" s="78"/>
    </row>
    <row r="10" spans="1:15" ht="15" customHeight="1" x14ac:dyDescent="0.25">
      <c r="A10" s="171" t="s">
        <v>76</v>
      </c>
      <c r="B10" s="160" t="s">
        <v>18</v>
      </c>
      <c r="C10" s="184" t="s">
        <v>974</v>
      </c>
      <c r="D10" s="172">
        <v>45644</v>
      </c>
      <c r="E10" s="87">
        <v>163.80000000000001</v>
      </c>
      <c r="F10" s="87">
        <v>24.57</v>
      </c>
      <c r="G10" s="94">
        <v>152.46000000000004</v>
      </c>
      <c r="H10" s="87">
        <v>20.88</v>
      </c>
      <c r="I10" s="106">
        <v>45772</v>
      </c>
      <c r="J10" s="50">
        <f t="shared" si="0"/>
        <v>139.23000000000002</v>
      </c>
      <c r="K10" s="47">
        <f t="shared" si="1"/>
        <v>128</v>
      </c>
      <c r="L10" s="5">
        <v>0.03</v>
      </c>
      <c r="M10" s="6">
        <f t="shared" si="2"/>
        <v>4.1769000000000007</v>
      </c>
      <c r="O10" s="78"/>
    </row>
    <row r="11" spans="1:15" ht="15" customHeight="1" x14ac:dyDescent="0.25">
      <c r="A11" s="171" t="s">
        <v>76</v>
      </c>
      <c r="B11" s="160" t="s">
        <v>18</v>
      </c>
      <c r="C11" s="184" t="s">
        <v>975</v>
      </c>
      <c r="D11" s="172">
        <v>45652</v>
      </c>
      <c r="E11" s="87">
        <v>187.2</v>
      </c>
      <c r="F11" s="87">
        <v>28.08</v>
      </c>
      <c r="G11" s="94">
        <v>174.24</v>
      </c>
      <c r="H11" s="87">
        <v>23.87</v>
      </c>
      <c r="I11" s="106">
        <v>45772</v>
      </c>
      <c r="J11" s="50">
        <f t="shared" si="0"/>
        <v>159.12</v>
      </c>
      <c r="K11" s="47">
        <f t="shared" si="1"/>
        <v>120</v>
      </c>
      <c r="L11" s="5">
        <v>0.03</v>
      </c>
      <c r="M11" s="6">
        <f t="shared" si="2"/>
        <v>4.7736000000000001</v>
      </c>
      <c r="O11" s="78"/>
    </row>
    <row r="12" spans="1:15" ht="15" customHeight="1" x14ac:dyDescent="0.25">
      <c r="A12" s="171" t="s">
        <v>76</v>
      </c>
      <c r="B12" s="160" t="s">
        <v>18</v>
      </c>
      <c r="C12" s="184" t="s">
        <v>976</v>
      </c>
      <c r="D12" s="172">
        <v>45672</v>
      </c>
      <c r="E12" s="87">
        <v>74.400000000000006</v>
      </c>
      <c r="F12" s="87">
        <v>0</v>
      </c>
      <c r="G12" s="94">
        <v>81.470000000000013</v>
      </c>
      <c r="H12" s="87">
        <v>11.16</v>
      </c>
      <c r="I12" s="106">
        <v>45754</v>
      </c>
      <c r="J12" s="50">
        <f t="shared" si="0"/>
        <v>74.400000000000006</v>
      </c>
      <c r="K12" s="47">
        <f t="shared" si="1"/>
        <v>82</v>
      </c>
      <c r="L12" s="5">
        <v>0.03</v>
      </c>
      <c r="M12" s="6">
        <f t="shared" si="2"/>
        <v>2.2320000000000002</v>
      </c>
      <c r="O12" s="78"/>
    </row>
    <row r="13" spans="1:15" ht="15" customHeight="1" x14ac:dyDescent="0.25">
      <c r="A13" s="171" t="s">
        <v>76</v>
      </c>
      <c r="B13" s="160" t="s">
        <v>18</v>
      </c>
      <c r="C13" s="184" t="s">
        <v>977</v>
      </c>
      <c r="D13" s="172">
        <v>45679</v>
      </c>
      <c r="E13" s="87">
        <v>10.199999999999999</v>
      </c>
      <c r="F13" s="87">
        <v>1.53</v>
      </c>
      <c r="G13" s="94">
        <v>9.49</v>
      </c>
      <c r="H13" s="179">
        <v>1.3</v>
      </c>
      <c r="I13" s="106">
        <v>45754</v>
      </c>
      <c r="J13" s="50">
        <f t="shared" si="0"/>
        <v>8.67</v>
      </c>
      <c r="K13" s="47">
        <f t="shared" si="1"/>
        <v>75</v>
      </c>
      <c r="L13" s="5">
        <v>0.03</v>
      </c>
      <c r="M13" s="6">
        <f t="shared" si="2"/>
        <v>0.2601</v>
      </c>
      <c r="O13" s="78"/>
    </row>
    <row r="14" spans="1:15" ht="15" customHeight="1" x14ac:dyDescent="0.25">
      <c r="A14" s="171" t="s">
        <v>969</v>
      </c>
      <c r="B14" s="160" t="s">
        <v>33</v>
      </c>
      <c r="C14" s="184" t="s">
        <v>978</v>
      </c>
      <c r="D14" s="172">
        <v>45687</v>
      </c>
      <c r="E14" s="87">
        <v>342</v>
      </c>
      <c r="F14" s="87">
        <v>51.3</v>
      </c>
      <c r="G14" s="94">
        <v>334.31</v>
      </c>
      <c r="H14" s="179">
        <v>43.61</v>
      </c>
      <c r="I14" s="106">
        <v>45777</v>
      </c>
      <c r="J14" s="50">
        <f t="shared" si="0"/>
        <v>290.7</v>
      </c>
      <c r="K14" s="47">
        <f t="shared" si="1"/>
        <v>90</v>
      </c>
      <c r="L14" s="5">
        <v>0.03</v>
      </c>
      <c r="M14" s="6">
        <f t="shared" si="2"/>
        <v>8.7210000000000001</v>
      </c>
      <c r="O14" s="78"/>
    </row>
    <row r="15" spans="1:15" ht="15" customHeight="1" x14ac:dyDescent="0.25">
      <c r="A15" s="171" t="s">
        <v>47</v>
      </c>
      <c r="B15" s="160" t="s">
        <v>18</v>
      </c>
      <c r="C15" s="184" t="s">
        <v>979</v>
      </c>
      <c r="D15" s="172">
        <v>45691</v>
      </c>
      <c r="E15" s="87">
        <v>412.2</v>
      </c>
      <c r="F15" s="87">
        <v>82.44</v>
      </c>
      <c r="G15" s="94">
        <v>379.22</v>
      </c>
      <c r="H15" s="179">
        <v>49.46</v>
      </c>
      <c r="I15" s="106">
        <v>45751</v>
      </c>
      <c r="J15" s="50">
        <f t="shared" si="0"/>
        <v>329.76</v>
      </c>
      <c r="K15" s="47">
        <f t="shared" si="1"/>
        <v>60</v>
      </c>
      <c r="L15" s="5">
        <v>0.03</v>
      </c>
      <c r="M15" s="6">
        <f t="shared" si="2"/>
        <v>9.8927999999999994</v>
      </c>
      <c r="O15" s="78"/>
    </row>
    <row r="16" spans="1:15" ht="15" customHeight="1" x14ac:dyDescent="0.25">
      <c r="A16" s="190" t="s">
        <v>36</v>
      </c>
      <c r="B16" s="160" t="s">
        <v>23</v>
      </c>
      <c r="C16" s="200" t="s">
        <v>980</v>
      </c>
      <c r="D16" s="172">
        <v>45694</v>
      </c>
      <c r="E16" s="87">
        <v>228</v>
      </c>
      <c r="F16" s="87">
        <v>45.6</v>
      </c>
      <c r="G16" s="94">
        <v>198.35999999999999</v>
      </c>
      <c r="H16" s="190">
        <v>27.36</v>
      </c>
      <c r="I16" s="106">
        <v>45751</v>
      </c>
      <c r="J16" s="50">
        <f t="shared" si="0"/>
        <v>182.4</v>
      </c>
      <c r="K16" s="47">
        <f t="shared" si="1"/>
        <v>57</v>
      </c>
      <c r="L16" s="5">
        <v>0.03</v>
      </c>
      <c r="M16" s="6">
        <f t="shared" si="2"/>
        <v>5.4719999999999995</v>
      </c>
      <c r="O16" s="78"/>
    </row>
    <row r="17" spans="1:15" ht="15" customHeight="1" x14ac:dyDescent="0.25">
      <c r="A17" s="190" t="s">
        <v>36</v>
      </c>
      <c r="B17" s="160" t="s">
        <v>23</v>
      </c>
      <c r="C17" s="200" t="s">
        <v>981</v>
      </c>
      <c r="D17" s="172">
        <v>45694</v>
      </c>
      <c r="E17" s="87">
        <v>212.52</v>
      </c>
      <c r="F17" s="87">
        <v>42.5</v>
      </c>
      <c r="G17" s="94">
        <v>184.89000000000001</v>
      </c>
      <c r="H17" s="190">
        <v>25.5</v>
      </c>
      <c r="I17" s="106">
        <v>45751</v>
      </c>
      <c r="J17" s="50">
        <f t="shared" si="0"/>
        <v>170.02</v>
      </c>
      <c r="K17" s="47">
        <f t="shared" si="1"/>
        <v>57</v>
      </c>
      <c r="L17" s="5">
        <v>0.03</v>
      </c>
      <c r="M17" s="6">
        <f t="shared" si="2"/>
        <v>5.1006</v>
      </c>
      <c r="O17" s="78"/>
    </row>
    <row r="18" spans="1:15" ht="15" customHeight="1" x14ac:dyDescent="0.25">
      <c r="A18" s="190" t="s">
        <v>89</v>
      </c>
      <c r="B18" s="160" t="s">
        <v>18</v>
      </c>
      <c r="C18" s="200" t="s">
        <v>982</v>
      </c>
      <c r="D18" s="172">
        <v>45694</v>
      </c>
      <c r="E18" s="87">
        <v>322.32</v>
      </c>
      <c r="F18" s="87">
        <v>64.459999999999994</v>
      </c>
      <c r="G18" s="94">
        <v>282.36</v>
      </c>
      <c r="H18" s="190">
        <v>38.68</v>
      </c>
      <c r="I18" s="106">
        <v>45757</v>
      </c>
      <c r="J18" s="50">
        <f t="shared" si="0"/>
        <v>257.86</v>
      </c>
      <c r="K18" s="47">
        <f t="shared" si="1"/>
        <v>63</v>
      </c>
      <c r="L18" s="5">
        <v>0.03</v>
      </c>
      <c r="M18" s="6">
        <f t="shared" si="2"/>
        <v>7.7358000000000002</v>
      </c>
      <c r="O18" s="78"/>
    </row>
    <row r="19" spans="1:15" ht="15" customHeight="1" x14ac:dyDescent="0.25">
      <c r="A19" s="171" t="s">
        <v>100</v>
      </c>
      <c r="B19" s="160" t="s">
        <v>75</v>
      </c>
      <c r="C19" s="184" t="s">
        <v>983</v>
      </c>
      <c r="D19" s="172">
        <v>45695</v>
      </c>
      <c r="E19" s="87">
        <v>409.2</v>
      </c>
      <c r="F19" s="87">
        <v>61.38</v>
      </c>
      <c r="G19" s="94">
        <v>399.99</v>
      </c>
      <c r="H19" s="190">
        <v>52.17</v>
      </c>
      <c r="I19" s="106">
        <v>45755</v>
      </c>
      <c r="J19" s="50">
        <f t="shared" si="0"/>
        <v>347.82</v>
      </c>
      <c r="K19" s="47">
        <f t="shared" si="1"/>
        <v>60</v>
      </c>
      <c r="L19" s="5">
        <v>0.03</v>
      </c>
      <c r="M19" s="6">
        <f t="shared" si="2"/>
        <v>10.4346</v>
      </c>
      <c r="O19" s="78"/>
    </row>
    <row r="20" spans="1:15" ht="15" customHeight="1" x14ac:dyDescent="0.25">
      <c r="A20" s="171" t="s">
        <v>292</v>
      </c>
      <c r="B20" s="160" t="s">
        <v>229</v>
      </c>
      <c r="C20" s="184" t="s">
        <v>984</v>
      </c>
      <c r="D20" s="172">
        <v>45705</v>
      </c>
      <c r="E20" s="87">
        <v>995.76</v>
      </c>
      <c r="F20" s="87">
        <v>199.15</v>
      </c>
      <c r="G20" s="94">
        <v>872.28</v>
      </c>
      <c r="H20" s="190">
        <v>119.49</v>
      </c>
      <c r="I20" s="106">
        <v>45775</v>
      </c>
      <c r="J20" s="50">
        <f t="shared" si="0"/>
        <v>796.61</v>
      </c>
      <c r="K20" s="47">
        <f t="shared" si="1"/>
        <v>70</v>
      </c>
      <c r="L20" s="5">
        <v>0.03</v>
      </c>
      <c r="M20" s="6">
        <f t="shared" si="2"/>
        <v>23.898299999999999</v>
      </c>
      <c r="O20" s="78"/>
    </row>
    <row r="21" spans="1:15" ht="15" customHeight="1" x14ac:dyDescent="0.25">
      <c r="A21" s="171" t="s">
        <v>73</v>
      </c>
      <c r="B21" s="160" t="s">
        <v>18</v>
      </c>
      <c r="C21" s="184" t="s">
        <v>985</v>
      </c>
      <c r="D21" s="172">
        <v>45721</v>
      </c>
      <c r="E21" s="87">
        <v>1203.5999999999999</v>
      </c>
      <c r="F21" s="87">
        <v>240.72</v>
      </c>
      <c r="G21" s="94">
        <v>953.24999999999977</v>
      </c>
      <c r="H21" s="87">
        <v>144.43</v>
      </c>
      <c r="I21" s="106">
        <v>45770</v>
      </c>
      <c r="J21" s="50">
        <f t="shared" si="0"/>
        <v>962.87999999999988</v>
      </c>
      <c r="K21" s="47">
        <f t="shared" si="1"/>
        <v>49</v>
      </c>
      <c r="L21" s="5">
        <v>0.03</v>
      </c>
      <c r="M21" s="6">
        <f t="shared" si="2"/>
        <v>28.886399999999995</v>
      </c>
      <c r="O21" s="78"/>
    </row>
    <row r="22" spans="1:15" ht="15" customHeight="1" x14ac:dyDescent="0.25">
      <c r="A22" s="171" t="s">
        <v>94</v>
      </c>
      <c r="B22" s="160" t="s">
        <v>18</v>
      </c>
      <c r="C22" s="184" t="s">
        <v>986</v>
      </c>
      <c r="D22" s="172">
        <v>45726</v>
      </c>
      <c r="E22" s="87">
        <v>79.949999999999989</v>
      </c>
      <c r="F22" s="87">
        <v>11.99</v>
      </c>
      <c r="G22" s="94">
        <v>78.150000000000006</v>
      </c>
      <c r="H22" s="87">
        <v>10.19</v>
      </c>
      <c r="I22" s="106">
        <v>45757</v>
      </c>
      <c r="J22" s="50">
        <f t="shared" si="0"/>
        <v>67.959999999999994</v>
      </c>
      <c r="K22" s="47">
        <f t="shared" si="1"/>
        <v>31</v>
      </c>
      <c r="L22" s="5">
        <v>0.03</v>
      </c>
      <c r="M22" s="6">
        <f t="shared" si="2"/>
        <v>2.0387999999999997</v>
      </c>
      <c r="O22" s="78"/>
    </row>
    <row r="23" spans="1:15" ht="15" customHeight="1" x14ac:dyDescent="0.25">
      <c r="A23" s="171" t="s">
        <v>71</v>
      </c>
      <c r="B23" s="160" t="s">
        <v>24</v>
      </c>
      <c r="C23" s="184" t="s">
        <v>987</v>
      </c>
      <c r="D23" s="172">
        <v>45728</v>
      </c>
      <c r="E23" s="87">
        <v>403.92</v>
      </c>
      <c r="F23" s="87">
        <v>100.98</v>
      </c>
      <c r="G23" s="94">
        <v>348.38</v>
      </c>
      <c r="H23" s="87">
        <v>45.44</v>
      </c>
      <c r="I23" s="201">
        <v>45758</v>
      </c>
      <c r="J23" s="50">
        <f t="shared" si="0"/>
        <v>302.94</v>
      </c>
      <c r="K23" s="47">
        <f t="shared" si="1"/>
        <v>30</v>
      </c>
      <c r="L23" s="5">
        <v>3.5000000000000003E-2</v>
      </c>
      <c r="M23" s="6">
        <f t="shared" si="2"/>
        <v>10.602900000000002</v>
      </c>
      <c r="O23" s="78"/>
    </row>
    <row r="24" spans="1:15" ht="15" customHeight="1" x14ac:dyDescent="0.25">
      <c r="A24" s="171" t="s">
        <v>94</v>
      </c>
      <c r="B24" s="160" t="s">
        <v>18</v>
      </c>
      <c r="C24" s="184" t="s">
        <v>988</v>
      </c>
      <c r="D24" s="172">
        <v>45728</v>
      </c>
      <c r="E24" s="87">
        <v>30.6</v>
      </c>
      <c r="F24" s="87">
        <v>4.59</v>
      </c>
      <c r="G24" s="94">
        <v>29.91</v>
      </c>
      <c r="H24" s="87">
        <v>3.9</v>
      </c>
      <c r="I24" s="106">
        <v>45757</v>
      </c>
      <c r="J24" s="50">
        <f t="shared" si="0"/>
        <v>26.01</v>
      </c>
      <c r="K24" s="47">
        <f t="shared" si="1"/>
        <v>29</v>
      </c>
      <c r="L24" s="5">
        <v>3.5000000000000003E-2</v>
      </c>
      <c r="M24" s="6">
        <f t="shared" si="2"/>
        <v>0.9103500000000001</v>
      </c>
      <c r="O24" s="78"/>
    </row>
    <row r="25" spans="1:15" ht="15" customHeight="1" x14ac:dyDescent="0.25">
      <c r="A25" s="171" t="s">
        <v>80</v>
      </c>
      <c r="B25" s="160" t="s">
        <v>18</v>
      </c>
      <c r="C25" s="184" t="s">
        <v>989</v>
      </c>
      <c r="D25" s="172">
        <v>45737</v>
      </c>
      <c r="E25" s="87">
        <v>1224</v>
      </c>
      <c r="F25" s="87">
        <v>244.8</v>
      </c>
      <c r="G25" s="94">
        <v>1064.8799999999999</v>
      </c>
      <c r="H25" s="87">
        <v>146.88</v>
      </c>
      <c r="I25" s="106">
        <v>45775</v>
      </c>
      <c r="J25" s="50">
        <f t="shared" si="0"/>
        <v>979.2</v>
      </c>
      <c r="K25" s="47">
        <f t="shared" si="1"/>
        <v>38</v>
      </c>
      <c r="L25" s="5">
        <v>0.03</v>
      </c>
      <c r="M25" s="6">
        <f t="shared" si="2"/>
        <v>29.376000000000001</v>
      </c>
      <c r="O25" s="78"/>
    </row>
    <row r="26" spans="1:15" ht="15" customHeight="1" x14ac:dyDescent="0.25">
      <c r="A26" s="171" t="s">
        <v>71</v>
      </c>
      <c r="B26" s="160" t="s">
        <v>24</v>
      </c>
      <c r="C26" s="184" t="s">
        <v>990</v>
      </c>
      <c r="D26" s="172">
        <v>45741</v>
      </c>
      <c r="E26" s="87">
        <v>663</v>
      </c>
      <c r="F26" s="87">
        <v>165.75</v>
      </c>
      <c r="G26" s="94">
        <v>571.84</v>
      </c>
      <c r="H26" s="199">
        <v>74.59</v>
      </c>
      <c r="I26" s="172">
        <v>45758</v>
      </c>
      <c r="J26" s="50">
        <f t="shared" si="0"/>
        <v>497.25</v>
      </c>
      <c r="K26" s="47">
        <f t="shared" si="1"/>
        <v>17</v>
      </c>
      <c r="L26" s="5">
        <v>3.5000000000000003E-2</v>
      </c>
      <c r="M26" s="6">
        <f t="shared" si="2"/>
        <v>17.403750000000002</v>
      </c>
      <c r="O26" s="78"/>
    </row>
    <row r="27" spans="1:15" ht="15" customHeight="1" x14ac:dyDescent="0.25">
      <c r="A27" s="171" t="s">
        <v>80</v>
      </c>
      <c r="B27" s="160" t="s">
        <v>18</v>
      </c>
      <c r="C27" s="184" t="s">
        <v>991</v>
      </c>
      <c r="D27" s="172">
        <v>45741</v>
      </c>
      <c r="E27" s="87">
        <v>306</v>
      </c>
      <c r="F27" s="87">
        <v>61.2</v>
      </c>
      <c r="G27" s="94">
        <v>266.22000000000003</v>
      </c>
      <c r="H27" s="199">
        <v>36.72</v>
      </c>
      <c r="I27" s="106">
        <v>45775</v>
      </c>
      <c r="J27" s="50">
        <f t="shared" si="0"/>
        <v>244.8</v>
      </c>
      <c r="K27" s="47">
        <f t="shared" si="1"/>
        <v>34</v>
      </c>
      <c r="L27" s="5">
        <v>0.03</v>
      </c>
      <c r="M27" s="6">
        <f t="shared" si="2"/>
        <v>7.3440000000000003</v>
      </c>
      <c r="O27" s="78"/>
    </row>
    <row r="28" spans="1:15" ht="15" customHeight="1" x14ac:dyDescent="0.25">
      <c r="A28" s="171" t="s">
        <v>71</v>
      </c>
      <c r="B28" s="160" t="s">
        <v>24</v>
      </c>
      <c r="C28" s="184" t="s">
        <v>992</v>
      </c>
      <c r="D28" s="172">
        <v>45747</v>
      </c>
      <c r="E28" s="87">
        <v>944.4</v>
      </c>
      <c r="F28" s="87">
        <v>236.1</v>
      </c>
      <c r="G28" s="94">
        <v>814.55</v>
      </c>
      <c r="H28" s="199">
        <v>106.25</v>
      </c>
      <c r="I28" s="172">
        <v>45758</v>
      </c>
      <c r="J28" s="50">
        <f t="shared" si="0"/>
        <v>708.3</v>
      </c>
      <c r="K28" s="47">
        <f t="shared" si="1"/>
        <v>11</v>
      </c>
      <c r="L28" s="5">
        <v>3.5000000000000003E-2</v>
      </c>
      <c r="M28" s="6">
        <f t="shared" si="2"/>
        <v>24.790500000000002</v>
      </c>
      <c r="O28" s="78"/>
    </row>
    <row r="29" spans="1:15" ht="15" customHeight="1" x14ac:dyDescent="0.25">
      <c r="A29" s="171" t="s">
        <v>701</v>
      </c>
      <c r="B29" s="160" t="s">
        <v>24</v>
      </c>
      <c r="C29" s="184" t="s">
        <v>993</v>
      </c>
      <c r="D29" s="172">
        <v>45748</v>
      </c>
      <c r="E29" s="87">
        <v>1282.56</v>
      </c>
      <c r="F29" s="87">
        <v>320.64</v>
      </c>
      <c r="G29" s="94">
        <v>1106.21</v>
      </c>
      <c r="H29" s="87">
        <v>144.29</v>
      </c>
      <c r="I29" s="172">
        <v>45758</v>
      </c>
      <c r="J29" s="50">
        <f t="shared" si="0"/>
        <v>961.92</v>
      </c>
      <c r="K29" s="47">
        <f t="shared" si="1"/>
        <v>10</v>
      </c>
      <c r="L29" s="5">
        <v>3.5000000000000003E-2</v>
      </c>
      <c r="M29" s="6">
        <f t="shared" si="2"/>
        <v>33.667200000000001</v>
      </c>
      <c r="O29" s="78"/>
    </row>
    <row r="30" spans="1:15" ht="15" customHeight="1" x14ac:dyDescent="0.25">
      <c r="A30" s="171" t="s">
        <v>44</v>
      </c>
      <c r="B30" s="160" t="s">
        <v>18</v>
      </c>
      <c r="C30" s="184" t="s">
        <v>994</v>
      </c>
      <c r="D30" s="172">
        <v>45749</v>
      </c>
      <c r="E30" s="87">
        <v>23.4</v>
      </c>
      <c r="F30" s="87">
        <v>0</v>
      </c>
      <c r="G30" s="94">
        <v>25.45</v>
      </c>
      <c r="H30" s="87">
        <v>3.51</v>
      </c>
      <c r="I30" s="172">
        <v>45750</v>
      </c>
      <c r="J30" s="50">
        <f t="shared" si="0"/>
        <v>23.4</v>
      </c>
      <c r="K30" s="47">
        <f t="shared" si="1"/>
        <v>1</v>
      </c>
      <c r="L30" s="5">
        <v>0.04</v>
      </c>
      <c r="M30" s="6">
        <f t="shared" si="2"/>
        <v>0.93599999999999994</v>
      </c>
      <c r="O30" s="78"/>
    </row>
    <row r="31" spans="1:15" ht="15" customHeight="1" x14ac:dyDescent="0.25">
      <c r="A31" s="171" t="s">
        <v>923</v>
      </c>
      <c r="B31" s="160" t="s">
        <v>59</v>
      </c>
      <c r="C31" s="184" t="s">
        <v>995</v>
      </c>
      <c r="D31" s="172">
        <v>45750</v>
      </c>
      <c r="E31" s="87">
        <v>360</v>
      </c>
      <c r="F31" s="87">
        <v>54</v>
      </c>
      <c r="G31" s="94">
        <v>351.9</v>
      </c>
      <c r="H31" s="94">
        <v>45.9</v>
      </c>
      <c r="I31" s="172">
        <v>45751</v>
      </c>
      <c r="J31" s="50">
        <f t="shared" si="0"/>
        <v>306</v>
      </c>
      <c r="K31" s="47">
        <f t="shared" si="1"/>
        <v>1</v>
      </c>
      <c r="L31" s="5">
        <v>0.04</v>
      </c>
      <c r="M31" s="6">
        <f t="shared" si="2"/>
        <v>12.24</v>
      </c>
      <c r="O31" s="78"/>
    </row>
    <row r="32" spans="1:15" ht="15" customHeight="1" x14ac:dyDescent="0.25">
      <c r="A32" s="171" t="s">
        <v>896</v>
      </c>
      <c r="B32" s="160" t="s">
        <v>59</v>
      </c>
      <c r="C32" s="184" t="s">
        <v>1035</v>
      </c>
      <c r="D32" s="172">
        <v>45750</v>
      </c>
      <c r="E32" s="87">
        <f>95.04+12.96</f>
        <v>108</v>
      </c>
      <c r="F32" s="87">
        <v>12.96</v>
      </c>
      <c r="G32" s="94">
        <f>109.3</f>
        <v>109.3</v>
      </c>
      <c r="H32" s="87">
        <v>14.26</v>
      </c>
      <c r="I32" s="172">
        <v>45750</v>
      </c>
      <c r="J32" s="50">
        <f t="shared" si="0"/>
        <v>95.039999999999992</v>
      </c>
      <c r="K32" s="47">
        <f t="shared" si="1"/>
        <v>0</v>
      </c>
      <c r="L32" s="5">
        <v>0.04</v>
      </c>
      <c r="M32" s="6">
        <f t="shared" si="2"/>
        <v>3.8015999999999996</v>
      </c>
      <c r="O32" s="78"/>
    </row>
    <row r="33" spans="1:15" ht="15" customHeight="1" x14ac:dyDescent="0.25">
      <c r="A33" s="171" t="s">
        <v>970</v>
      </c>
      <c r="B33" s="160" t="s">
        <v>59</v>
      </c>
      <c r="C33" s="184" t="s">
        <v>996</v>
      </c>
      <c r="D33" s="172">
        <v>45750</v>
      </c>
      <c r="E33" s="87">
        <v>185.51999999999998</v>
      </c>
      <c r="F33" s="87">
        <v>27.83</v>
      </c>
      <c r="G33" s="94">
        <v>181.34</v>
      </c>
      <c r="H33" s="87">
        <v>23.65</v>
      </c>
      <c r="I33" s="106">
        <v>45777</v>
      </c>
      <c r="J33" s="50">
        <f t="shared" si="0"/>
        <v>157.69</v>
      </c>
      <c r="K33" s="47">
        <f t="shared" si="1"/>
        <v>27</v>
      </c>
      <c r="L33" s="5">
        <v>3.5000000000000003E-2</v>
      </c>
      <c r="M33" s="6">
        <f t="shared" si="2"/>
        <v>5.5191500000000007</v>
      </c>
      <c r="O33" s="78"/>
    </row>
    <row r="34" spans="1:15" ht="15" customHeight="1" x14ac:dyDescent="0.25">
      <c r="A34" s="171" t="s">
        <v>125</v>
      </c>
      <c r="B34" s="160" t="s">
        <v>18</v>
      </c>
      <c r="C34" s="184" t="s">
        <v>997</v>
      </c>
      <c r="D34" s="172">
        <v>45750</v>
      </c>
      <c r="E34" s="87">
        <v>81.599999999999994</v>
      </c>
      <c r="F34" s="87">
        <v>0</v>
      </c>
      <c r="G34" s="94">
        <v>93.84</v>
      </c>
      <c r="H34" s="87">
        <v>12.24</v>
      </c>
      <c r="I34" s="172">
        <v>45756</v>
      </c>
      <c r="J34" s="50">
        <f t="shared" si="0"/>
        <v>81.599999999999994</v>
      </c>
      <c r="K34" s="47">
        <f t="shared" si="1"/>
        <v>6</v>
      </c>
      <c r="L34" s="5">
        <v>3.5000000000000003E-2</v>
      </c>
      <c r="M34" s="6">
        <f t="shared" si="2"/>
        <v>2.8559999999999999</v>
      </c>
      <c r="O34" s="78"/>
    </row>
    <row r="35" spans="1:15" ht="15" customHeight="1" x14ac:dyDescent="0.25">
      <c r="A35" s="171" t="s">
        <v>971</v>
      </c>
      <c r="B35" s="160" t="s">
        <v>59</v>
      </c>
      <c r="C35" s="184" t="s">
        <v>998</v>
      </c>
      <c r="D35" s="172">
        <v>45751</v>
      </c>
      <c r="E35" s="87">
        <v>334.8</v>
      </c>
      <c r="F35" s="87">
        <v>16.739999999999998</v>
      </c>
      <c r="G35" s="94">
        <v>345.89</v>
      </c>
      <c r="H35" s="87">
        <v>47.71</v>
      </c>
      <c r="I35" s="172">
        <v>45756</v>
      </c>
      <c r="J35" s="50">
        <f t="shared" si="0"/>
        <v>318.06</v>
      </c>
      <c r="K35" s="47">
        <f t="shared" si="1"/>
        <v>5</v>
      </c>
      <c r="L35" s="5">
        <v>3.5000000000000003E-2</v>
      </c>
      <c r="M35" s="6">
        <f t="shared" si="2"/>
        <v>11.132100000000001</v>
      </c>
      <c r="O35" s="78"/>
    </row>
    <row r="36" spans="1:15" ht="15" customHeight="1" x14ac:dyDescent="0.25">
      <c r="A36" s="171" t="s">
        <v>25</v>
      </c>
      <c r="B36" s="160" t="s">
        <v>30</v>
      </c>
      <c r="C36" s="184" t="s">
        <v>999</v>
      </c>
      <c r="D36" s="172">
        <v>45754</v>
      </c>
      <c r="E36" s="87">
        <v>928.8</v>
      </c>
      <c r="F36" s="87">
        <v>232.2</v>
      </c>
      <c r="G36" s="94">
        <v>757.55</v>
      </c>
      <c r="H36" s="87">
        <v>104.49</v>
      </c>
      <c r="I36" s="172">
        <v>45756</v>
      </c>
      <c r="J36" s="50">
        <f t="shared" si="0"/>
        <v>696.59999999999991</v>
      </c>
      <c r="K36" s="47">
        <f t="shared" si="1"/>
        <v>2</v>
      </c>
      <c r="L36" s="5">
        <v>0.04</v>
      </c>
      <c r="M36" s="6">
        <f t="shared" si="2"/>
        <v>27.863999999999997</v>
      </c>
      <c r="O36" s="78"/>
    </row>
    <row r="37" spans="1:15" ht="15" customHeight="1" x14ac:dyDescent="0.25">
      <c r="A37" s="171" t="s">
        <v>226</v>
      </c>
      <c r="B37" s="160" t="s">
        <v>18</v>
      </c>
      <c r="C37" s="184" t="s">
        <v>1000</v>
      </c>
      <c r="D37" s="172">
        <v>45757</v>
      </c>
      <c r="E37" s="87">
        <v>81.599999999999994</v>
      </c>
      <c r="F37" s="87">
        <v>12.24</v>
      </c>
      <c r="G37" s="94">
        <v>79.760000000000005</v>
      </c>
      <c r="H37" s="87">
        <v>10.4</v>
      </c>
      <c r="I37" s="172">
        <v>45758</v>
      </c>
      <c r="J37" s="50">
        <f t="shared" si="0"/>
        <v>69.36</v>
      </c>
      <c r="K37" s="47">
        <f t="shared" si="1"/>
        <v>1</v>
      </c>
      <c r="L37" s="5">
        <v>0.04</v>
      </c>
      <c r="M37" s="6">
        <f t="shared" si="2"/>
        <v>2.7744</v>
      </c>
      <c r="O37" s="78"/>
    </row>
    <row r="38" spans="1:15" ht="15" customHeight="1" x14ac:dyDescent="0.25">
      <c r="A38" s="171" t="s">
        <v>119</v>
      </c>
      <c r="B38" s="160" t="s">
        <v>18</v>
      </c>
      <c r="C38" s="184" t="s">
        <v>1001</v>
      </c>
      <c r="D38" s="172">
        <v>45762</v>
      </c>
      <c r="E38" s="87">
        <v>765.2</v>
      </c>
      <c r="F38" s="87">
        <v>91.82</v>
      </c>
      <c r="G38" s="94">
        <v>732.31000000000006</v>
      </c>
      <c r="H38" s="87">
        <v>101.01</v>
      </c>
      <c r="I38" s="172">
        <v>45770</v>
      </c>
      <c r="J38" s="50">
        <f t="shared" si="0"/>
        <v>673.38000000000011</v>
      </c>
      <c r="K38" s="47">
        <f t="shared" si="1"/>
        <v>8</v>
      </c>
      <c r="L38" s="5">
        <v>3.5000000000000003E-2</v>
      </c>
      <c r="M38" s="6">
        <f t="shared" si="2"/>
        <v>23.568300000000008</v>
      </c>
      <c r="O38" s="78"/>
    </row>
    <row r="39" spans="1:15" ht="15" customHeight="1" x14ac:dyDescent="0.25">
      <c r="A39" s="171" t="s">
        <v>624</v>
      </c>
      <c r="B39" s="160" t="s">
        <v>30</v>
      </c>
      <c r="C39" s="184" t="s">
        <v>1002</v>
      </c>
      <c r="D39" s="172">
        <v>45763</v>
      </c>
      <c r="E39" s="87">
        <v>121.44</v>
      </c>
      <c r="F39" s="87">
        <v>14.57</v>
      </c>
      <c r="G39" s="94">
        <v>116.22</v>
      </c>
      <c r="H39" s="87">
        <v>16.03</v>
      </c>
      <c r="I39" s="172">
        <v>45768</v>
      </c>
      <c r="J39" s="50">
        <f t="shared" si="0"/>
        <v>106.87</v>
      </c>
      <c r="K39" s="47">
        <f t="shared" si="1"/>
        <v>5</v>
      </c>
      <c r="L39" s="5">
        <v>3.5000000000000003E-2</v>
      </c>
      <c r="M39" s="6">
        <f t="shared" si="2"/>
        <v>3.7404500000000005</v>
      </c>
      <c r="O39" s="78"/>
    </row>
    <row r="40" spans="1:15" ht="15" customHeight="1" x14ac:dyDescent="0.25">
      <c r="A40" s="115"/>
      <c r="B40" s="136"/>
      <c r="C40" s="117"/>
      <c r="D40" s="118"/>
      <c r="E40" s="119"/>
      <c r="F40" s="119"/>
      <c r="G40" s="120"/>
      <c r="H40" s="119"/>
      <c r="I40" s="121"/>
      <c r="J40" s="50"/>
      <c r="K40" s="47"/>
      <c r="L40" s="5"/>
      <c r="M40" s="6"/>
      <c r="O40" s="78"/>
    </row>
    <row r="41" spans="1:15" ht="15" customHeight="1" x14ac:dyDescent="0.3">
      <c r="G41" s="16">
        <f>SUM(G8:G40)</f>
        <v>11457.299999999997</v>
      </c>
      <c r="J41" s="16">
        <f>SUM(J8:J40)</f>
        <v>10365.790000000003</v>
      </c>
      <c r="M41" s="16">
        <f>SUM(M8:M40)</f>
        <v>342.04780000000005</v>
      </c>
    </row>
    <row r="42" spans="1:15" ht="15" customHeight="1" x14ac:dyDescent="0.25">
      <c r="G42" s="8"/>
      <c r="H42" s="8"/>
    </row>
    <row r="43" spans="1:15" ht="15" customHeight="1" x14ac:dyDescent="0.25">
      <c r="A43" s="17" t="s">
        <v>19</v>
      </c>
      <c r="B43" s="17" t="s">
        <v>20</v>
      </c>
      <c r="C43" s="18" t="s">
        <v>21</v>
      </c>
      <c r="I43" s="181"/>
      <c r="J43" s="8"/>
    </row>
    <row r="44" spans="1:15" s="52" customFormat="1" ht="15" x14ac:dyDescent="0.25">
      <c r="A44" s="101" t="s">
        <v>96</v>
      </c>
      <c r="B44" s="101" t="s">
        <v>1004</v>
      </c>
      <c r="C44" s="102" t="s">
        <v>1018</v>
      </c>
      <c r="D44" s="105">
        <v>45624</v>
      </c>
      <c r="E44" s="92">
        <v>441.83600000000001</v>
      </c>
      <c r="F44" s="92">
        <v>66.275999999999996</v>
      </c>
      <c r="G44" s="90">
        <v>431.89</v>
      </c>
      <c r="H44" s="92">
        <v>56.33</v>
      </c>
      <c r="I44" s="105">
        <v>45793</v>
      </c>
      <c r="J44" s="50">
        <f>+E44-F44</f>
        <v>375.56</v>
      </c>
      <c r="K44" s="47">
        <f>+I44-D44</f>
        <v>169</v>
      </c>
      <c r="L44" s="48">
        <v>0.03</v>
      </c>
      <c r="M44" s="49">
        <f>+J44*L44</f>
        <v>11.2668</v>
      </c>
      <c r="N44" s="60"/>
      <c r="O44" s="78"/>
    </row>
    <row r="45" spans="1:15" s="52" customFormat="1" ht="15" customHeight="1" x14ac:dyDescent="0.25">
      <c r="A45" s="101" t="s">
        <v>103</v>
      </c>
      <c r="B45" s="101" t="s">
        <v>1005</v>
      </c>
      <c r="C45" s="102" t="s">
        <v>1019</v>
      </c>
      <c r="D45" s="105">
        <v>45721</v>
      </c>
      <c r="E45" s="92">
        <v>2025.96</v>
      </c>
      <c r="F45" s="92">
        <v>405.19</v>
      </c>
      <c r="G45" s="96">
        <v>663.89</v>
      </c>
      <c r="H45" s="92">
        <v>243.12</v>
      </c>
      <c r="I45" s="105">
        <v>45797</v>
      </c>
      <c r="J45" s="50">
        <f>663.89/1.15</f>
        <v>577.29565217391303</v>
      </c>
      <c r="K45" s="47">
        <f t="shared" ref="K45:K60" si="3">+I45-D45</f>
        <v>76</v>
      </c>
      <c r="L45" s="48">
        <v>0.03</v>
      </c>
      <c r="M45" s="49">
        <f t="shared" ref="M45:M61" si="4">+J45*L45</f>
        <v>17.318869565217391</v>
      </c>
      <c r="N45" s="60"/>
      <c r="O45" s="78"/>
    </row>
    <row r="46" spans="1:15" s="52" customFormat="1" ht="15" customHeight="1" x14ac:dyDescent="0.25">
      <c r="A46" s="101" t="s">
        <v>103</v>
      </c>
      <c r="B46" s="101" t="s">
        <v>1005</v>
      </c>
      <c r="C46" s="102" t="s">
        <v>1019</v>
      </c>
      <c r="D46" s="105">
        <v>45721</v>
      </c>
      <c r="E46" s="92">
        <v>2025.96</v>
      </c>
      <c r="F46" s="92">
        <v>405.19</v>
      </c>
      <c r="G46" s="96">
        <v>600</v>
      </c>
      <c r="H46" s="92">
        <v>243.12</v>
      </c>
      <c r="I46" s="105">
        <v>45818</v>
      </c>
      <c r="J46" s="50">
        <f>600/1.15</f>
        <v>521.73913043478262</v>
      </c>
      <c r="K46" s="47">
        <f t="shared" ref="K46:K47" si="5">+I46-D46</f>
        <v>97</v>
      </c>
      <c r="L46" s="48">
        <v>0.03</v>
      </c>
      <c r="M46" s="49">
        <f t="shared" si="4"/>
        <v>15.652173913043478</v>
      </c>
      <c r="N46" s="60"/>
      <c r="O46" s="78"/>
    </row>
    <row r="47" spans="1:15" s="52" customFormat="1" ht="15" customHeight="1" x14ac:dyDescent="0.25">
      <c r="A47" s="101" t="s">
        <v>103</v>
      </c>
      <c r="B47" s="101" t="s">
        <v>1005</v>
      </c>
      <c r="C47" s="102" t="s">
        <v>1019</v>
      </c>
      <c r="D47" s="105">
        <v>45721</v>
      </c>
      <c r="E47" s="92">
        <v>2025.96</v>
      </c>
      <c r="F47" s="92">
        <v>405.19</v>
      </c>
      <c r="G47" s="96">
        <v>600</v>
      </c>
      <c r="H47" s="92">
        <v>243.12</v>
      </c>
      <c r="I47" s="105">
        <v>45828</v>
      </c>
      <c r="J47" s="50">
        <f>600/1.15</f>
        <v>521.73913043478262</v>
      </c>
      <c r="K47" s="47">
        <f t="shared" si="5"/>
        <v>107</v>
      </c>
      <c r="L47" s="48">
        <v>0.03</v>
      </c>
      <c r="M47" s="49">
        <f t="shared" si="4"/>
        <v>15.652173913043478</v>
      </c>
      <c r="N47" s="60"/>
      <c r="O47" s="78"/>
    </row>
    <row r="48" spans="1:15" s="52" customFormat="1" ht="15" customHeight="1" x14ac:dyDescent="0.25">
      <c r="A48" s="101" t="s">
        <v>58</v>
      </c>
      <c r="B48" s="101" t="s">
        <v>1006</v>
      </c>
      <c r="C48" s="102" t="s">
        <v>1020</v>
      </c>
      <c r="D48" s="105">
        <v>45729</v>
      </c>
      <c r="E48" s="92">
        <v>1924.5600000000002</v>
      </c>
      <c r="F48" s="92">
        <v>327.18</v>
      </c>
      <c r="G48" s="90">
        <v>1737.1599999999999</v>
      </c>
      <c r="H48" s="92">
        <v>239.61</v>
      </c>
      <c r="I48" s="105">
        <v>45792</v>
      </c>
      <c r="J48" s="50">
        <f t="shared" ref="J48:J60" si="6">+E48-F48</f>
        <v>1597.38</v>
      </c>
      <c r="K48" s="47">
        <f t="shared" si="3"/>
        <v>63</v>
      </c>
      <c r="L48" s="48">
        <v>0.03</v>
      </c>
      <c r="M48" s="49">
        <f t="shared" si="4"/>
        <v>47.921399999999998</v>
      </c>
      <c r="N48" s="60"/>
      <c r="O48" s="78"/>
    </row>
    <row r="49" spans="1:15" s="52" customFormat="1" ht="15" customHeight="1" x14ac:dyDescent="0.25">
      <c r="A49" s="101" t="s">
        <v>82</v>
      </c>
      <c r="B49" s="101" t="s">
        <v>1007</v>
      </c>
      <c r="C49" s="102" t="s">
        <v>1021</v>
      </c>
      <c r="D49" s="105">
        <v>45742</v>
      </c>
      <c r="E49" s="92">
        <v>620.64</v>
      </c>
      <c r="F49" s="92">
        <v>93.1</v>
      </c>
      <c r="G49" s="90">
        <v>597.44999999999993</v>
      </c>
      <c r="H49" s="198">
        <v>79.13</v>
      </c>
      <c r="I49" s="105">
        <v>45823</v>
      </c>
      <c r="J49" s="50">
        <f t="shared" si="6"/>
        <v>527.54</v>
      </c>
      <c r="K49" s="47">
        <f t="shared" si="3"/>
        <v>81</v>
      </c>
      <c r="L49" s="48">
        <v>0.03</v>
      </c>
      <c r="M49" s="49">
        <f t="shared" si="4"/>
        <v>15.826199999999998</v>
      </c>
      <c r="N49" s="60"/>
      <c r="O49" s="78"/>
    </row>
    <row r="50" spans="1:15" s="52" customFormat="1" ht="15" customHeight="1" x14ac:dyDescent="0.25">
      <c r="A50" s="101" t="s">
        <v>58</v>
      </c>
      <c r="B50" s="101" t="s">
        <v>1008</v>
      </c>
      <c r="C50" s="102" t="s">
        <v>1022</v>
      </c>
      <c r="D50" s="105">
        <v>45747</v>
      </c>
      <c r="E50" s="92">
        <v>2376</v>
      </c>
      <c r="F50" s="92">
        <v>403.92</v>
      </c>
      <c r="G50" s="90">
        <v>1881.8</v>
      </c>
      <c r="H50" s="198">
        <v>295.81</v>
      </c>
      <c r="I50" s="105">
        <v>45823</v>
      </c>
      <c r="J50" s="50">
        <f t="shared" si="6"/>
        <v>1972.08</v>
      </c>
      <c r="K50" s="47">
        <f t="shared" si="3"/>
        <v>76</v>
      </c>
      <c r="L50" s="48">
        <v>0.03</v>
      </c>
      <c r="M50" s="49">
        <f t="shared" si="4"/>
        <v>59.162399999999998</v>
      </c>
      <c r="N50" s="60"/>
      <c r="O50" s="78"/>
    </row>
    <row r="51" spans="1:15" s="52" customFormat="1" ht="15" customHeight="1" x14ac:dyDescent="0.25">
      <c r="A51" s="101" t="s">
        <v>38</v>
      </c>
      <c r="B51" s="101" t="s">
        <v>1009</v>
      </c>
      <c r="C51" s="102" t="s">
        <v>1023</v>
      </c>
      <c r="D51" s="105">
        <v>45748</v>
      </c>
      <c r="E51" s="92">
        <v>1108.8</v>
      </c>
      <c r="F51" s="92">
        <v>243.94</v>
      </c>
      <c r="G51" s="90">
        <v>947.0200000000001</v>
      </c>
      <c r="H51" s="92">
        <v>129.72999999999999</v>
      </c>
      <c r="I51" s="105">
        <v>45778</v>
      </c>
      <c r="J51" s="50">
        <f t="shared" si="6"/>
        <v>864.8599999999999</v>
      </c>
      <c r="K51" s="47">
        <f t="shared" si="3"/>
        <v>30</v>
      </c>
      <c r="L51" s="48">
        <v>0.03</v>
      </c>
      <c r="M51" s="49">
        <f t="shared" si="4"/>
        <v>25.945799999999995</v>
      </c>
      <c r="N51" s="60"/>
      <c r="O51" s="78"/>
    </row>
    <row r="52" spans="1:15" s="52" customFormat="1" ht="15" customHeight="1" x14ac:dyDescent="0.25">
      <c r="A52" s="101" t="s">
        <v>42</v>
      </c>
      <c r="B52" s="101" t="s">
        <v>1010</v>
      </c>
      <c r="C52" s="102" t="s">
        <v>1024</v>
      </c>
      <c r="D52" s="105">
        <v>45750</v>
      </c>
      <c r="E52" s="92">
        <v>153</v>
      </c>
      <c r="F52" s="92">
        <v>22.95</v>
      </c>
      <c r="G52" s="90">
        <v>141.43</v>
      </c>
      <c r="H52" s="92">
        <v>19.510000000000002</v>
      </c>
      <c r="I52" s="105">
        <v>45802</v>
      </c>
      <c r="J52" s="50">
        <f t="shared" si="6"/>
        <v>130.05000000000001</v>
      </c>
      <c r="K52" s="47">
        <f t="shared" si="3"/>
        <v>52</v>
      </c>
      <c r="L52" s="48">
        <v>0.03</v>
      </c>
      <c r="M52" s="49">
        <f t="shared" si="4"/>
        <v>3.9015000000000004</v>
      </c>
      <c r="N52" s="60"/>
      <c r="O52" s="78"/>
    </row>
    <row r="53" spans="1:15" s="52" customFormat="1" ht="15" customHeight="1" x14ac:dyDescent="0.25">
      <c r="A53" s="101" t="s">
        <v>42</v>
      </c>
      <c r="B53" s="101" t="s">
        <v>1010</v>
      </c>
      <c r="C53" s="102" t="s">
        <v>1025</v>
      </c>
      <c r="D53" s="105">
        <v>45755</v>
      </c>
      <c r="E53" s="92">
        <v>726.6</v>
      </c>
      <c r="F53" s="92">
        <v>108.99</v>
      </c>
      <c r="G53" s="90">
        <v>671.65000000000009</v>
      </c>
      <c r="H53" s="92">
        <v>92.64</v>
      </c>
      <c r="I53" s="105">
        <v>45802</v>
      </c>
      <c r="J53" s="50">
        <f t="shared" si="6"/>
        <v>617.61</v>
      </c>
      <c r="K53" s="47">
        <f t="shared" si="3"/>
        <v>47</v>
      </c>
      <c r="L53" s="48">
        <v>0.03</v>
      </c>
      <c r="M53" s="49">
        <f t="shared" si="4"/>
        <v>18.528299999999998</v>
      </c>
      <c r="N53" s="60"/>
      <c r="O53" s="78"/>
    </row>
    <row r="54" spans="1:15" s="52" customFormat="1" ht="15" customHeight="1" x14ac:dyDescent="0.25">
      <c r="A54" s="101" t="s">
        <v>40</v>
      </c>
      <c r="B54" s="101" t="s">
        <v>1011</v>
      </c>
      <c r="C54" s="102" t="s">
        <v>1026</v>
      </c>
      <c r="D54" s="105">
        <v>45756</v>
      </c>
      <c r="E54" s="92">
        <v>458.15999999999997</v>
      </c>
      <c r="F54" s="92">
        <v>91.63</v>
      </c>
      <c r="G54" s="90">
        <v>401.34999999999997</v>
      </c>
      <c r="H54" s="92">
        <v>54.98</v>
      </c>
      <c r="I54" s="105">
        <v>45786</v>
      </c>
      <c r="J54" s="50">
        <f t="shared" si="6"/>
        <v>366.53</v>
      </c>
      <c r="K54" s="47">
        <f t="shared" si="3"/>
        <v>30</v>
      </c>
      <c r="L54" s="48">
        <v>0.03</v>
      </c>
      <c r="M54" s="49">
        <f t="shared" si="4"/>
        <v>10.995899999999999</v>
      </c>
      <c r="N54" s="60"/>
      <c r="O54" s="78"/>
    </row>
    <row r="55" spans="1:15" s="52" customFormat="1" ht="15" customHeight="1" x14ac:dyDescent="0.25">
      <c r="A55" s="101" t="s">
        <v>40</v>
      </c>
      <c r="B55" s="101" t="s">
        <v>1012</v>
      </c>
      <c r="C55" s="102" t="s">
        <v>1027</v>
      </c>
      <c r="D55" s="105">
        <v>45762</v>
      </c>
      <c r="E55" s="92">
        <v>1231.2</v>
      </c>
      <c r="F55" s="92">
        <v>307.8</v>
      </c>
      <c r="G55" s="90">
        <v>1011.1300000000001</v>
      </c>
      <c r="H55" s="92">
        <v>138.51</v>
      </c>
      <c r="I55" s="105">
        <v>45793</v>
      </c>
      <c r="J55" s="50">
        <f t="shared" si="6"/>
        <v>923.40000000000009</v>
      </c>
      <c r="K55" s="47">
        <f t="shared" si="3"/>
        <v>31</v>
      </c>
      <c r="L55" s="48">
        <v>0.03</v>
      </c>
      <c r="M55" s="49">
        <f t="shared" si="4"/>
        <v>27.702000000000002</v>
      </c>
      <c r="N55" s="60"/>
      <c r="O55" s="78"/>
    </row>
    <row r="56" spans="1:15" s="52" customFormat="1" ht="15" customHeight="1" x14ac:dyDescent="0.25">
      <c r="A56" s="101" t="s">
        <v>1003</v>
      </c>
      <c r="B56" s="101" t="s">
        <v>1013</v>
      </c>
      <c r="C56" s="102" t="s">
        <v>1028</v>
      </c>
      <c r="D56" s="105">
        <v>45763</v>
      </c>
      <c r="E56" s="92">
        <v>316.79999999999995</v>
      </c>
      <c r="F56" s="92">
        <v>47.52</v>
      </c>
      <c r="G56" s="90">
        <v>309.67</v>
      </c>
      <c r="H56" s="92">
        <v>40.39</v>
      </c>
      <c r="I56" s="105">
        <v>45778</v>
      </c>
      <c r="J56" s="50">
        <f t="shared" si="6"/>
        <v>269.27999999999997</v>
      </c>
      <c r="K56" s="47">
        <f t="shared" si="3"/>
        <v>15</v>
      </c>
      <c r="L56" s="48">
        <v>0.03</v>
      </c>
      <c r="M56" s="49">
        <f t="shared" si="4"/>
        <v>8.0783999999999985</v>
      </c>
      <c r="N56" s="60"/>
      <c r="O56" s="78"/>
    </row>
    <row r="57" spans="1:15" s="52" customFormat="1" ht="15" customHeight="1" x14ac:dyDescent="0.25">
      <c r="A57" s="101" t="s">
        <v>38</v>
      </c>
      <c r="B57" s="101" t="s">
        <v>1014</v>
      </c>
      <c r="C57" s="102" t="s">
        <v>1029</v>
      </c>
      <c r="D57" s="105">
        <v>45768</v>
      </c>
      <c r="E57" s="92">
        <v>3876.72</v>
      </c>
      <c r="F57" s="92">
        <v>969.18</v>
      </c>
      <c r="G57" s="90">
        <v>3161.95</v>
      </c>
      <c r="H57" s="92">
        <v>436.13</v>
      </c>
      <c r="I57" s="105">
        <v>45815</v>
      </c>
      <c r="J57" s="50">
        <f t="shared" si="6"/>
        <v>2907.54</v>
      </c>
      <c r="K57" s="47">
        <f t="shared" si="3"/>
        <v>47</v>
      </c>
      <c r="L57" s="48">
        <v>0.03</v>
      </c>
      <c r="M57" s="49">
        <f t="shared" si="4"/>
        <v>87.226199999999992</v>
      </c>
      <c r="N57" s="60"/>
      <c r="O57" s="78"/>
    </row>
    <row r="58" spans="1:15" s="52" customFormat="1" ht="15" customHeight="1" x14ac:dyDescent="0.25">
      <c r="A58" s="101" t="s">
        <v>91</v>
      </c>
      <c r="B58" s="101" t="s">
        <v>1015</v>
      </c>
      <c r="C58" s="102" t="s">
        <v>1030</v>
      </c>
      <c r="D58" s="105">
        <v>45770</v>
      </c>
      <c r="E58" s="92">
        <v>276.36</v>
      </c>
      <c r="F58" s="92">
        <v>35.93</v>
      </c>
      <c r="G58" s="90">
        <v>276.49</v>
      </c>
      <c r="H58" s="92">
        <v>36.06</v>
      </c>
      <c r="I58" s="105">
        <v>45804</v>
      </c>
      <c r="J58" s="50">
        <f t="shared" si="6"/>
        <v>240.43</v>
      </c>
      <c r="K58" s="47">
        <f t="shared" si="3"/>
        <v>34</v>
      </c>
      <c r="L58" s="48">
        <v>0.03</v>
      </c>
      <c r="M58" s="49">
        <f t="shared" si="4"/>
        <v>7.2129000000000003</v>
      </c>
      <c r="N58" s="60"/>
      <c r="O58" s="78"/>
    </row>
    <row r="59" spans="1:15" s="52" customFormat="1" ht="15" customHeight="1" x14ac:dyDescent="0.25">
      <c r="A59" s="101" t="s">
        <v>40</v>
      </c>
      <c r="B59" s="101" t="s">
        <v>1016</v>
      </c>
      <c r="C59" s="102" t="s">
        <v>1031</v>
      </c>
      <c r="D59" s="105">
        <v>45770</v>
      </c>
      <c r="E59" s="92">
        <v>1519.8</v>
      </c>
      <c r="F59" s="92">
        <v>379.95</v>
      </c>
      <c r="G59" s="90">
        <v>1248.1399999999999</v>
      </c>
      <c r="H59" s="92">
        <v>170.98</v>
      </c>
      <c r="I59" s="105">
        <v>45800</v>
      </c>
      <c r="J59" s="50">
        <f t="shared" si="6"/>
        <v>1139.8499999999999</v>
      </c>
      <c r="K59" s="47">
        <f t="shared" si="3"/>
        <v>30</v>
      </c>
      <c r="L59" s="48">
        <v>0.03</v>
      </c>
      <c r="M59" s="49">
        <f t="shared" si="4"/>
        <v>34.195499999999996</v>
      </c>
      <c r="N59" s="60"/>
      <c r="O59" s="78"/>
    </row>
    <row r="60" spans="1:15" s="52" customFormat="1" ht="15" customHeight="1" x14ac:dyDescent="0.25">
      <c r="A60" s="101" t="s">
        <v>547</v>
      </c>
      <c r="B60" s="101" t="s">
        <v>1017</v>
      </c>
      <c r="C60" s="102" t="s">
        <v>1032</v>
      </c>
      <c r="D60" s="105">
        <v>45777</v>
      </c>
      <c r="E60" s="92">
        <v>1200</v>
      </c>
      <c r="F60" s="92">
        <v>300</v>
      </c>
      <c r="G60" s="90">
        <v>1035</v>
      </c>
      <c r="H60" s="92">
        <v>135</v>
      </c>
      <c r="I60" s="105">
        <v>45802</v>
      </c>
      <c r="J60" s="50">
        <f t="shared" si="6"/>
        <v>900</v>
      </c>
      <c r="K60" s="47">
        <f t="shared" si="3"/>
        <v>25</v>
      </c>
      <c r="L60" s="48">
        <v>0.03</v>
      </c>
      <c r="M60" s="49">
        <f t="shared" si="4"/>
        <v>27</v>
      </c>
      <c r="N60" s="60"/>
      <c r="O60" s="78"/>
    </row>
    <row r="61" spans="1:15" s="52" customFormat="1" ht="15" customHeight="1" x14ac:dyDescent="0.25">
      <c r="A61" s="101" t="s">
        <v>102</v>
      </c>
      <c r="B61" s="103" t="s">
        <v>1033</v>
      </c>
      <c r="C61" s="102" t="s">
        <v>1034</v>
      </c>
      <c r="D61" s="105">
        <v>45771</v>
      </c>
      <c r="E61" s="104">
        <f>54.06+9.54</f>
        <v>63.6</v>
      </c>
      <c r="F61" s="104">
        <v>9.5399999999999991</v>
      </c>
      <c r="G61" s="96">
        <f>62.17</f>
        <v>62.17</v>
      </c>
      <c r="H61" s="104">
        <v>8.11</v>
      </c>
      <c r="I61" s="106">
        <v>45782</v>
      </c>
      <c r="J61" s="50">
        <f t="shared" ref="J61" si="7">+E61-F61</f>
        <v>54.06</v>
      </c>
      <c r="K61" s="47">
        <f t="shared" ref="K61" si="8">+I61-D61</f>
        <v>11</v>
      </c>
      <c r="L61" s="48">
        <v>0.03</v>
      </c>
      <c r="M61" s="49">
        <f t="shared" si="4"/>
        <v>1.6217999999999999</v>
      </c>
      <c r="N61" s="60"/>
      <c r="O61" s="78"/>
    </row>
    <row r="62" spans="1:15" s="1" customFormat="1" ht="15" customHeight="1" thickBot="1" x14ac:dyDescent="0.3">
      <c r="A62" s="152"/>
      <c r="B62" s="153"/>
      <c r="C62" s="154"/>
      <c r="D62" s="155"/>
      <c r="E62" s="156"/>
      <c r="F62" s="156"/>
      <c r="G62" s="90"/>
      <c r="H62" s="92"/>
      <c r="I62" s="105"/>
      <c r="J62" s="50"/>
      <c r="K62" s="47"/>
      <c r="L62" s="48"/>
      <c r="M62" s="53"/>
      <c r="N62" s="74"/>
      <c r="O62" s="78"/>
    </row>
    <row r="63" spans="1:15" ht="15" customHeight="1" thickBot="1" x14ac:dyDescent="0.35">
      <c r="A63" s="332" t="s">
        <v>29</v>
      </c>
      <c r="B63" s="332"/>
      <c r="C63" s="332"/>
      <c r="D63" s="332"/>
      <c r="E63" s="332"/>
      <c r="F63" s="332"/>
      <c r="G63" s="16">
        <f>SUM(G41:G62)</f>
        <v>27235.489999999998</v>
      </c>
      <c r="J63" s="16">
        <f>SUM(J41:J62)</f>
        <v>24872.733913043478</v>
      </c>
      <c r="L63" s="20"/>
      <c r="M63" s="21">
        <f>SUM(M41:M62)</f>
        <v>777.25611739130431</v>
      </c>
    </row>
    <row r="64" spans="1:15" ht="15" customHeight="1" x14ac:dyDescent="0.3">
      <c r="A64" s="22"/>
      <c r="G64" s="8"/>
    </row>
    <row r="65" spans="1:15" ht="15" customHeight="1" x14ac:dyDescent="0.3">
      <c r="A65" s="39"/>
      <c r="G65" s="8"/>
      <c r="J65" s="8"/>
    </row>
    <row r="66" spans="1:15" ht="15" customHeight="1" x14ac:dyDescent="0.3">
      <c r="A66" s="39"/>
      <c r="G66" s="8"/>
      <c r="J66" s="8"/>
    </row>
    <row r="67" spans="1:15" ht="15" customHeight="1" x14ac:dyDescent="0.3">
      <c r="A67" s="39"/>
      <c r="G67" s="8"/>
      <c r="J67" s="8">
        <f>J63*2%</f>
        <v>497.45467826086957</v>
      </c>
      <c r="M67" s="185">
        <f>M63/12</f>
        <v>64.771343115942031</v>
      </c>
      <c r="N67" s="59" t="s">
        <v>341</v>
      </c>
    </row>
    <row r="68" spans="1:15" ht="15" customHeight="1" x14ac:dyDescent="0.3">
      <c r="A68" s="39"/>
      <c r="G68" s="8"/>
      <c r="J68" s="185">
        <f>J67/12</f>
        <v>41.454556521739129</v>
      </c>
      <c r="K68" s="7" t="s">
        <v>876</v>
      </c>
      <c r="M68" s="185">
        <f>M63/24</f>
        <v>32.385671557971015</v>
      </c>
      <c r="N68" s="59" t="s">
        <v>341</v>
      </c>
    </row>
    <row r="69" spans="1:15" ht="15" customHeight="1" x14ac:dyDescent="0.3">
      <c r="A69" s="39"/>
      <c r="G69" s="8"/>
      <c r="J69" s="185">
        <f>J67/24</f>
        <v>20.727278260869564</v>
      </c>
      <c r="K69" s="7" t="s">
        <v>876</v>
      </c>
    </row>
    <row r="70" spans="1:15" ht="15" customHeight="1" x14ac:dyDescent="0.3">
      <c r="A70" s="39"/>
      <c r="G70" s="8"/>
      <c r="J70" s="8"/>
      <c r="M70" s="8"/>
    </row>
    <row r="71" spans="1:15" ht="15" customHeight="1" x14ac:dyDescent="0.3">
      <c r="A71" s="39"/>
      <c r="G71" s="8"/>
      <c r="J71" s="8"/>
      <c r="M71" s="8"/>
    </row>
    <row r="72" spans="1:15" ht="15" customHeight="1" x14ac:dyDescent="0.3">
      <c r="A72" s="39"/>
      <c r="G72" s="8"/>
      <c r="J72" s="8"/>
      <c r="M72" s="8"/>
      <c r="O72" s="8"/>
    </row>
    <row r="73" spans="1:15" ht="15" customHeight="1" x14ac:dyDescent="0.3">
      <c r="A73" s="39"/>
      <c r="G73" s="8"/>
      <c r="J73" s="8"/>
      <c r="M73" s="8"/>
      <c r="O73" s="8"/>
    </row>
    <row r="74" spans="1:15" ht="15" customHeight="1" x14ac:dyDescent="0.3">
      <c r="A74" s="39"/>
      <c r="G74" s="8"/>
      <c r="J74" s="8"/>
      <c r="M74" s="8"/>
    </row>
    <row r="75" spans="1:15" ht="15" customHeight="1" x14ac:dyDescent="0.3">
      <c r="A75" s="39"/>
      <c r="G75" s="8"/>
      <c r="J75" s="8"/>
    </row>
    <row r="76" spans="1:15" ht="15" customHeight="1" x14ac:dyDescent="0.3">
      <c r="A76" s="39"/>
      <c r="G76" s="8"/>
      <c r="J76" s="8"/>
    </row>
    <row r="77" spans="1:15" ht="15" customHeight="1" x14ac:dyDescent="0.3">
      <c r="A77" s="39"/>
      <c r="G77" s="8"/>
      <c r="J77" s="8"/>
    </row>
    <row r="78" spans="1:15" ht="15" customHeight="1" x14ac:dyDescent="0.3">
      <c r="A78" s="39"/>
      <c r="G78" s="8"/>
      <c r="J78" s="8"/>
    </row>
    <row r="79" spans="1:15" ht="15" customHeight="1" x14ac:dyDescent="0.3">
      <c r="A79" s="39"/>
      <c r="G79" s="8"/>
      <c r="J79" s="8"/>
    </row>
    <row r="80" spans="1:15" ht="15" customHeight="1" x14ac:dyDescent="0.3">
      <c r="A80" s="22"/>
      <c r="J80" s="15"/>
      <c r="K80" s="15"/>
    </row>
  </sheetData>
  <sortState xmlns:xlrd2="http://schemas.microsoft.com/office/spreadsheetml/2017/richdata2" ref="A8:P39">
    <sortCondition ref="C8:C39"/>
  </sortState>
  <mergeCells count="2">
    <mergeCell ref="A3:F3"/>
    <mergeCell ref="A63:F63"/>
  </mergeCells>
  <pageMargins left="0.19685039370078741" right="0" top="0.59055118110236227" bottom="0" header="0" footer="0"/>
  <pageSetup paperSize="9" scale="74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EAF4F-804A-47DD-990E-6D8D1EB92B12}">
  <dimension ref="A1:O72"/>
  <sheetViews>
    <sheetView topLeftCell="A34" workbookViewId="0">
      <selection activeCell="X59" sqref="X59"/>
    </sheetView>
  </sheetViews>
  <sheetFormatPr baseColWidth="10" defaultColWidth="11.44140625" defaultRowHeight="13.2" x14ac:dyDescent="0.25"/>
  <cols>
    <col min="1" max="1" width="39.44140625" style="7" customWidth="1"/>
    <col min="2" max="2" width="28.6640625" style="7" customWidth="1"/>
    <col min="3" max="3" width="25.33203125" style="19" customWidth="1"/>
    <col min="4" max="4" width="10.33203125" style="67" customWidth="1"/>
    <col min="5" max="5" width="11.6640625" style="7" customWidth="1"/>
    <col min="6" max="6" width="10.109375" style="7" customWidth="1"/>
    <col min="7" max="7" width="11.88671875" style="7" customWidth="1"/>
    <col min="8" max="8" width="9.88671875" style="7" customWidth="1"/>
    <col min="9" max="9" width="10.6640625" style="67" customWidth="1"/>
    <col min="10" max="10" width="11.44140625" style="7"/>
    <col min="11" max="11" width="7.33203125" style="7" customWidth="1"/>
    <col min="12" max="12" width="6.44140625" style="7" customWidth="1"/>
    <col min="13" max="13" width="10.109375" style="7" customWidth="1"/>
    <col min="14" max="14" width="24.33203125" style="59" customWidth="1"/>
    <col min="15" max="16" width="8" style="7" customWidth="1"/>
    <col min="17" max="16384" width="11.44140625" style="7"/>
  </cols>
  <sheetData>
    <row r="1" spans="1:15" ht="15" customHeight="1" x14ac:dyDescent="0.25">
      <c r="B1" s="8"/>
      <c r="C1" s="181"/>
      <c r="G1" s="8"/>
    </row>
    <row r="2" spans="1:15" ht="15" customHeight="1" x14ac:dyDescent="0.25">
      <c r="A2" s="30"/>
      <c r="B2" s="30"/>
      <c r="C2" s="30"/>
      <c r="D2" s="30"/>
      <c r="E2" s="30"/>
      <c r="F2" s="30"/>
      <c r="G2" s="24"/>
      <c r="H2" s="24"/>
      <c r="I2" s="195"/>
      <c r="J2" s="26"/>
      <c r="K2" s="27"/>
      <c r="L2" s="28"/>
      <c r="M2" s="29"/>
    </row>
    <row r="3" spans="1:15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195"/>
      <c r="J3" s="27"/>
      <c r="K3" s="27"/>
      <c r="L3" s="28"/>
      <c r="M3" s="29"/>
    </row>
    <row r="4" spans="1:15" ht="15" customHeight="1" x14ac:dyDescent="0.25">
      <c r="A4" s="30"/>
      <c r="B4" s="31" t="s">
        <v>1036</v>
      </c>
      <c r="C4" s="30"/>
      <c r="D4" s="64"/>
      <c r="E4" s="30"/>
      <c r="F4" s="30"/>
      <c r="G4" s="24"/>
      <c r="H4" s="25"/>
      <c r="I4" s="195"/>
      <c r="J4" s="27"/>
      <c r="K4" s="27"/>
      <c r="L4" s="28"/>
      <c r="M4" s="29"/>
    </row>
    <row r="5" spans="1:15" ht="15" customHeight="1" thickBot="1" x14ac:dyDescent="0.3">
      <c r="A5" s="30"/>
      <c r="B5" s="31" t="s">
        <v>22</v>
      </c>
      <c r="C5" s="30"/>
      <c r="D5" s="64"/>
      <c r="E5" s="30"/>
      <c r="F5" s="30"/>
      <c r="G5" s="32"/>
      <c r="H5" s="24"/>
      <c r="I5" s="64"/>
      <c r="J5" s="33"/>
      <c r="K5" s="27"/>
      <c r="L5" s="28"/>
      <c r="M5" s="29"/>
    </row>
    <row r="6" spans="1:15" ht="15" customHeight="1" x14ac:dyDescent="0.25">
      <c r="A6" s="34"/>
      <c r="B6" s="33"/>
      <c r="C6" s="182"/>
      <c r="D6" s="195"/>
      <c r="E6" s="33"/>
      <c r="F6" s="33"/>
      <c r="G6" s="35" t="s">
        <v>3</v>
      </c>
      <c r="H6" s="27"/>
      <c r="I6" s="195"/>
      <c r="J6" s="36" t="s">
        <v>4</v>
      </c>
      <c r="K6" s="56" t="s">
        <v>5</v>
      </c>
      <c r="L6" s="40" t="s">
        <v>6</v>
      </c>
      <c r="M6" s="36" t="s">
        <v>7</v>
      </c>
    </row>
    <row r="7" spans="1:15" ht="15" customHeight="1" x14ac:dyDescent="0.25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62" t="s">
        <v>13</v>
      </c>
      <c r="H7" s="13" t="s">
        <v>14</v>
      </c>
      <c r="I7" s="197" t="s">
        <v>15</v>
      </c>
      <c r="J7" s="14" t="s">
        <v>16</v>
      </c>
      <c r="K7" s="57"/>
      <c r="L7" s="58" t="s">
        <v>17</v>
      </c>
      <c r="M7" s="14" t="s">
        <v>39</v>
      </c>
    </row>
    <row r="8" spans="1:15" ht="15" customHeight="1" x14ac:dyDescent="0.25">
      <c r="A8" s="83" t="s">
        <v>86</v>
      </c>
      <c r="B8" s="55" t="s">
        <v>37</v>
      </c>
      <c r="C8" s="95" t="s">
        <v>567</v>
      </c>
      <c r="D8" s="85">
        <v>45446</v>
      </c>
      <c r="E8" s="86">
        <v>6974.4</v>
      </c>
      <c r="F8" s="86">
        <v>2092.3200000000002</v>
      </c>
      <c r="G8" s="94">
        <v>250</v>
      </c>
      <c r="H8" s="86">
        <v>732.31</v>
      </c>
      <c r="I8" s="106">
        <v>45785</v>
      </c>
      <c r="J8" s="50">
        <f>250/1.15</f>
        <v>217.39130434782609</v>
      </c>
      <c r="K8" s="47">
        <f t="shared" ref="K8:K44" si="0">+I8-D8</f>
        <v>339</v>
      </c>
      <c r="L8" s="5">
        <v>0</v>
      </c>
      <c r="M8" s="6">
        <f t="shared" ref="M8:M44" si="1">+J8*L8</f>
        <v>0</v>
      </c>
      <c r="O8" s="78"/>
    </row>
    <row r="9" spans="1:15" ht="15" customHeight="1" x14ac:dyDescent="0.25">
      <c r="A9" s="171" t="s">
        <v>1037</v>
      </c>
      <c r="B9" s="160" t="s">
        <v>26</v>
      </c>
      <c r="C9" s="184" t="s">
        <v>1038</v>
      </c>
      <c r="D9" s="172">
        <v>45630</v>
      </c>
      <c r="E9" s="87">
        <v>515.16</v>
      </c>
      <c r="F9" s="87">
        <v>77.27</v>
      </c>
      <c r="G9" s="94">
        <f>503.57-4.38-19.7</f>
        <v>479.49</v>
      </c>
      <c r="H9" s="87">
        <v>65.680000000000007</v>
      </c>
      <c r="I9" s="106">
        <v>45807</v>
      </c>
      <c r="J9" s="50">
        <f t="shared" ref="J9:J35" si="2">+E9-F9</f>
        <v>437.89</v>
      </c>
      <c r="K9" s="47">
        <f t="shared" si="0"/>
        <v>177</v>
      </c>
      <c r="L9" s="5">
        <v>0.03</v>
      </c>
      <c r="M9" s="6">
        <f t="shared" si="1"/>
        <v>13.136699999999999</v>
      </c>
      <c r="O9" s="78"/>
    </row>
    <row r="10" spans="1:15" ht="15" customHeight="1" x14ac:dyDescent="0.25">
      <c r="A10" s="171" t="s">
        <v>1037</v>
      </c>
      <c r="B10" s="160" t="s">
        <v>26</v>
      </c>
      <c r="C10" s="184" t="s">
        <v>1039</v>
      </c>
      <c r="D10" s="172">
        <v>45630</v>
      </c>
      <c r="E10" s="87">
        <v>1181.4000000000001</v>
      </c>
      <c r="F10" s="87">
        <v>177.21</v>
      </c>
      <c r="G10" s="94">
        <f>1154.82-10.04-45.19</f>
        <v>1099.5899999999999</v>
      </c>
      <c r="H10" s="87">
        <v>150.63</v>
      </c>
      <c r="I10" s="106">
        <v>45807</v>
      </c>
      <c r="J10" s="50">
        <f t="shared" si="2"/>
        <v>1004.19</v>
      </c>
      <c r="K10" s="47">
        <f t="shared" si="0"/>
        <v>177</v>
      </c>
      <c r="L10" s="5">
        <v>0.03</v>
      </c>
      <c r="M10" s="6">
        <f t="shared" si="1"/>
        <v>30.125700000000002</v>
      </c>
      <c r="O10" s="78"/>
    </row>
    <row r="11" spans="1:15" ht="15" customHeight="1" x14ac:dyDescent="0.25">
      <c r="A11" s="171" t="s">
        <v>1037</v>
      </c>
      <c r="B11" s="160" t="s">
        <v>26</v>
      </c>
      <c r="C11" s="184" t="s">
        <v>1040</v>
      </c>
      <c r="D11" s="172">
        <v>45631</v>
      </c>
      <c r="E11" s="87">
        <v>831.6</v>
      </c>
      <c r="F11" s="87">
        <v>124.74</v>
      </c>
      <c r="G11" s="94">
        <f>812.89-7.07-31.81</f>
        <v>774.01</v>
      </c>
      <c r="H11" s="87">
        <v>106.03</v>
      </c>
      <c r="I11" s="106">
        <v>45804</v>
      </c>
      <c r="J11" s="50">
        <f t="shared" si="2"/>
        <v>706.86</v>
      </c>
      <c r="K11" s="47">
        <f t="shared" si="0"/>
        <v>173</v>
      </c>
      <c r="L11" s="5">
        <v>0.03</v>
      </c>
      <c r="M11" s="6">
        <f t="shared" si="1"/>
        <v>21.2058</v>
      </c>
      <c r="O11" s="78"/>
    </row>
    <row r="12" spans="1:15" ht="15" customHeight="1" x14ac:dyDescent="0.25">
      <c r="A12" s="171" t="s">
        <v>1037</v>
      </c>
      <c r="B12" s="160" t="s">
        <v>26</v>
      </c>
      <c r="C12" s="184" t="s">
        <v>1041</v>
      </c>
      <c r="D12" s="172">
        <v>45631</v>
      </c>
      <c r="E12" s="87">
        <v>611.88</v>
      </c>
      <c r="F12" s="87">
        <v>91.78</v>
      </c>
      <c r="G12" s="94">
        <f>598.11-5.2-23.4</f>
        <v>569.51</v>
      </c>
      <c r="H12" s="87">
        <v>78.010000000000005</v>
      </c>
      <c r="I12" s="106">
        <v>45804</v>
      </c>
      <c r="J12" s="50">
        <f t="shared" si="2"/>
        <v>520.1</v>
      </c>
      <c r="K12" s="47">
        <f t="shared" si="0"/>
        <v>173</v>
      </c>
      <c r="L12" s="5">
        <v>0.03</v>
      </c>
      <c r="M12" s="6">
        <f t="shared" si="1"/>
        <v>15.603</v>
      </c>
      <c r="O12" s="78"/>
    </row>
    <row r="13" spans="1:15" ht="15" customHeight="1" x14ac:dyDescent="0.25">
      <c r="A13" s="171" t="s">
        <v>76</v>
      </c>
      <c r="B13" s="160" t="s">
        <v>18</v>
      </c>
      <c r="C13" s="184" t="s">
        <v>1045</v>
      </c>
      <c r="D13" s="172">
        <v>45667</v>
      </c>
      <c r="E13" s="87">
        <v>46.8</v>
      </c>
      <c r="F13" s="87">
        <v>7.02</v>
      </c>
      <c r="G13" s="94">
        <v>43.56</v>
      </c>
      <c r="H13" s="87">
        <v>5.97</v>
      </c>
      <c r="I13" s="106">
        <v>45789</v>
      </c>
      <c r="J13" s="50">
        <f t="shared" si="2"/>
        <v>39.78</v>
      </c>
      <c r="K13" s="47">
        <f t="shared" si="0"/>
        <v>122</v>
      </c>
      <c r="L13" s="5">
        <v>0.03</v>
      </c>
      <c r="M13" s="6">
        <f t="shared" si="1"/>
        <v>1.1934</v>
      </c>
      <c r="O13" s="78"/>
    </row>
    <row r="14" spans="1:15" ht="15" customHeight="1" x14ac:dyDescent="0.25">
      <c r="A14" s="171" t="s">
        <v>76</v>
      </c>
      <c r="B14" s="160" t="s">
        <v>18</v>
      </c>
      <c r="C14" s="184" t="s">
        <v>1046</v>
      </c>
      <c r="D14" s="172">
        <v>45667</v>
      </c>
      <c r="E14" s="87">
        <v>918</v>
      </c>
      <c r="F14" s="87">
        <v>137.69999999999999</v>
      </c>
      <c r="G14" s="94">
        <v>854.43000000000006</v>
      </c>
      <c r="H14" s="87">
        <v>117.05</v>
      </c>
      <c r="I14" s="106">
        <v>45789</v>
      </c>
      <c r="J14" s="50">
        <f t="shared" si="2"/>
        <v>780.3</v>
      </c>
      <c r="K14" s="47">
        <f t="shared" si="0"/>
        <v>122</v>
      </c>
      <c r="L14" s="5">
        <v>0.03</v>
      </c>
      <c r="M14" s="6">
        <f t="shared" si="1"/>
        <v>23.408999999999999</v>
      </c>
      <c r="O14" s="78"/>
    </row>
    <row r="15" spans="1:15" ht="15" customHeight="1" x14ac:dyDescent="0.25">
      <c r="A15" s="190" t="s">
        <v>1042</v>
      </c>
      <c r="B15" s="160" t="s">
        <v>18</v>
      </c>
      <c r="C15" s="200" t="s">
        <v>1047</v>
      </c>
      <c r="D15" s="172">
        <v>45694</v>
      </c>
      <c r="E15" s="87">
        <v>6916.92</v>
      </c>
      <c r="F15" s="87">
        <v>1383.38</v>
      </c>
      <c r="G15" s="94">
        <v>6017.7199999999993</v>
      </c>
      <c r="H15" s="190">
        <v>830.03</v>
      </c>
      <c r="I15" s="106">
        <v>45804</v>
      </c>
      <c r="J15" s="50">
        <f t="shared" si="2"/>
        <v>5533.54</v>
      </c>
      <c r="K15" s="47">
        <f t="shared" si="0"/>
        <v>110</v>
      </c>
      <c r="L15" s="5">
        <v>0.03</v>
      </c>
      <c r="M15" s="6">
        <f t="shared" si="1"/>
        <v>166.00620000000001</v>
      </c>
      <c r="O15" s="78"/>
    </row>
    <row r="16" spans="1:15" ht="15" customHeight="1" x14ac:dyDescent="0.25">
      <c r="A16" s="190" t="s">
        <v>1042</v>
      </c>
      <c r="B16" s="160" t="s">
        <v>18</v>
      </c>
      <c r="C16" s="200" t="s">
        <v>1048</v>
      </c>
      <c r="D16" s="172">
        <v>45694</v>
      </c>
      <c r="E16" s="87">
        <v>10085.280000000001</v>
      </c>
      <c r="F16" s="87">
        <v>2017.06</v>
      </c>
      <c r="G16" s="94">
        <v>8774.19</v>
      </c>
      <c r="H16" s="190">
        <v>1210.23</v>
      </c>
      <c r="I16" s="106">
        <v>45804</v>
      </c>
      <c r="J16" s="50">
        <f t="shared" si="2"/>
        <v>8068.2200000000012</v>
      </c>
      <c r="K16" s="47">
        <f t="shared" si="0"/>
        <v>110</v>
      </c>
      <c r="L16" s="5">
        <v>0.03</v>
      </c>
      <c r="M16" s="6">
        <f t="shared" si="1"/>
        <v>242.04660000000001</v>
      </c>
      <c r="O16" s="78"/>
    </row>
    <row r="17" spans="1:15" ht="15" customHeight="1" x14ac:dyDescent="0.25">
      <c r="A17" s="171" t="s">
        <v>134</v>
      </c>
      <c r="B17" s="160" t="s">
        <v>95</v>
      </c>
      <c r="C17" s="184" t="s">
        <v>1049</v>
      </c>
      <c r="D17" s="172">
        <v>45706</v>
      </c>
      <c r="E17" s="87">
        <v>410.4</v>
      </c>
      <c r="F17" s="87">
        <v>61.56</v>
      </c>
      <c r="G17" s="94">
        <v>401.17</v>
      </c>
      <c r="H17" s="190">
        <v>52.33</v>
      </c>
      <c r="I17" s="106">
        <v>45786</v>
      </c>
      <c r="J17" s="50">
        <f t="shared" si="2"/>
        <v>348.84</v>
      </c>
      <c r="K17" s="47">
        <f t="shared" si="0"/>
        <v>80</v>
      </c>
      <c r="L17" s="5">
        <v>0.03</v>
      </c>
      <c r="M17" s="6">
        <f t="shared" si="1"/>
        <v>10.465199999999999</v>
      </c>
      <c r="O17" s="78"/>
    </row>
    <row r="18" spans="1:15" ht="15" customHeight="1" x14ac:dyDescent="0.25">
      <c r="A18" s="171" t="s">
        <v>111</v>
      </c>
      <c r="B18" s="160" t="s">
        <v>63</v>
      </c>
      <c r="C18" s="184" t="s">
        <v>1050</v>
      </c>
      <c r="D18" s="172">
        <v>45708</v>
      </c>
      <c r="E18" s="87">
        <v>169.44</v>
      </c>
      <c r="F18" s="87">
        <v>25.42</v>
      </c>
      <c r="G18" s="94">
        <v>157.70000000000002</v>
      </c>
      <c r="H18" s="190">
        <v>21.6</v>
      </c>
      <c r="I18" s="106">
        <v>45798</v>
      </c>
      <c r="J18" s="50">
        <f t="shared" si="2"/>
        <v>144.01999999999998</v>
      </c>
      <c r="K18" s="47">
        <f t="shared" si="0"/>
        <v>90</v>
      </c>
      <c r="L18" s="5">
        <v>0.03</v>
      </c>
      <c r="M18" s="6">
        <f t="shared" si="1"/>
        <v>4.3205999999999989</v>
      </c>
      <c r="O18" s="78"/>
    </row>
    <row r="19" spans="1:15" ht="15" customHeight="1" x14ac:dyDescent="0.25">
      <c r="A19" s="171" t="s">
        <v>1043</v>
      </c>
      <c r="B19" s="160" t="s">
        <v>95</v>
      </c>
      <c r="C19" s="184" t="s">
        <v>1051</v>
      </c>
      <c r="D19" s="172">
        <v>45708</v>
      </c>
      <c r="E19" s="87">
        <v>255.23999999999998</v>
      </c>
      <c r="F19" s="87">
        <v>38.29</v>
      </c>
      <c r="G19" s="94">
        <v>249.49</v>
      </c>
      <c r="H19" s="190">
        <v>32.54</v>
      </c>
      <c r="I19" s="106">
        <v>45785</v>
      </c>
      <c r="J19" s="50">
        <f t="shared" si="2"/>
        <v>216.95</v>
      </c>
      <c r="K19" s="47">
        <f t="shared" si="0"/>
        <v>77</v>
      </c>
      <c r="L19" s="5">
        <v>0.03</v>
      </c>
      <c r="M19" s="6">
        <f t="shared" si="1"/>
        <v>6.5084999999999997</v>
      </c>
      <c r="O19" s="78"/>
    </row>
    <row r="20" spans="1:15" ht="15" customHeight="1" x14ac:dyDescent="0.25">
      <c r="A20" s="171" t="s">
        <v>89</v>
      </c>
      <c r="B20" s="160" t="s">
        <v>18</v>
      </c>
      <c r="C20" s="184" t="s">
        <v>1052</v>
      </c>
      <c r="D20" s="172">
        <v>45712</v>
      </c>
      <c r="E20" s="87">
        <v>429.6</v>
      </c>
      <c r="F20" s="87">
        <v>85.92</v>
      </c>
      <c r="G20" s="94">
        <v>376.32</v>
      </c>
      <c r="H20" s="190">
        <v>51.55</v>
      </c>
      <c r="I20" s="106">
        <v>45799</v>
      </c>
      <c r="J20" s="50">
        <f t="shared" si="2"/>
        <v>343.68</v>
      </c>
      <c r="K20" s="47">
        <f t="shared" si="0"/>
        <v>87</v>
      </c>
      <c r="L20" s="5">
        <v>0.03</v>
      </c>
      <c r="M20" s="6">
        <f t="shared" si="1"/>
        <v>10.3104</v>
      </c>
      <c r="O20" s="78"/>
    </row>
    <row r="21" spans="1:15" ht="15" customHeight="1" x14ac:dyDescent="0.25">
      <c r="A21" s="171" t="s">
        <v>1044</v>
      </c>
      <c r="B21" s="160" t="s">
        <v>61</v>
      </c>
      <c r="C21" s="184" t="s">
        <v>1053</v>
      </c>
      <c r="D21" s="193">
        <v>45716</v>
      </c>
      <c r="E21" s="87">
        <v>277.56</v>
      </c>
      <c r="F21" s="87">
        <v>41.63</v>
      </c>
      <c r="G21" s="94">
        <v>271.32</v>
      </c>
      <c r="H21" s="87">
        <v>35.39</v>
      </c>
      <c r="I21" s="106">
        <v>45786</v>
      </c>
      <c r="J21" s="50">
        <f t="shared" si="2"/>
        <v>235.93</v>
      </c>
      <c r="K21" s="47">
        <f t="shared" si="0"/>
        <v>70</v>
      </c>
      <c r="L21" s="5">
        <v>0.03</v>
      </c>
      <c r="M21" s="6">
        <f t="shared" si="1"/>
        <v>7.0778999999999996</v>
      </c>
      <c r="O21" s="78"/>
    </row>
    <row r="22" spans="1:15" ht="15" customHeight="1" x14ac:dyDescent="0.25">
      <c r="A22" s="171" t="s">
        <v>56</v>
      </c>
      <c r="B22" s="160" t="s">
        <v>57</v>
      </c>
      <c r="C22" s="184" t="s">
        <v>1054</v>
      </c>
      <c r="D22" s="172">
        <v>45726</v>
      </c>
      <c r="E22" s="87">
        <v>232.32</v>
      </c>
      <c r="F22" s="87">
        <v>34.85</v>
      </c>
      <c r="G22" s="94">
        <v>227.09</v>
      </c>
      <c r="H22" s="87">
        <v>29.62</v>
      </c>
      <c r="I22" s="106">
        <v>45798</v>
      </c>
      <c r="J22" s="50">
        <f t="shared" si="2"/>
        <v>197.47</v>
      </c>
      <c r="K22" s="47">
        <f t="shared" si="0"/>
        <v>72</v>
      </c>
      <c r="L22" s="5">
        <v>0.03</v>
      </c>
      <c r="M22" s="6">
        <f t="shared" si="1"/>
        <v>5.9241000000000001</v>
      </c>
      <c r="O22" s="78"/>
    </row>
    <row r="23" spans="1:15" ht="15" customHeight="1" x14ac:dyDescent="0.25">
      <c r="A23" s="171" t="s">
        <v>47</v>
      </c>
      <c r="B23" s="160" t="s">
        <v>18</v>
      </c>
      <c r="C23" s="184" t="s">
        <v>1055</v>
      </c>
      <c r="D23" s="172">
        <v>45729</v>
      </c>
      <c r="E23" s="87">
        <v>389.4</v>
      </c>
      <c r="F23" s="87">
        <v>77.88</v>
      </c>
      <c r="G23" s="94">
        <v>358.25</v>
      </c>
      <c r="H23" s="87">
        <v>46.73</v>
      </c>
      <c r="I23" s="106">
        <v>45804</v>
      </c>
      <c r="J23" s="50">
        <f t="shared" si="2"/>
        <v>311.52</v>
      </c>
      <c r="K23" s="47">
        <f t="shared" si="0"/>
        <v>75</v>
      </c>
      <c r="L23" s="5">
        <v>0.03</v>
      </c>
      <c r="M23" s="6">
        <f t="shared" si="1"/>
        <v>9.3455999999999992</v>
      </c>
      <c r="O23" s="78"/>
    </row>
    <row r="24" spans="1:15" ht="15" customHeight="1" x14ac:dyDescent="0.25">
      <c r="A24" s="171" t="s">
        <v>80</v>
      </c>
      <c r="B24" s="160" t="s">
        <v>18</v>
      </c>
      <c r="C24" s="184" t="s">
        <v>991</v>
      </c>
      <c r="D24" s="172">
        <v>45741</v>
      </c>
      <c r="E24" s="87">
        <v>306</v>
      </c>
      <c r="F24" s="87">
        <v>61.2</v>
      </c>
      <c r="G24" s="94">
        <v>266.22000000000003</v>
      </c>
      <c r="H24" s="199">
        <v>36.72</v>
      </c>
      <c r="I24" s="106">
        <v>45786</v>
      </c>
      <c r="J24" s="50">
        <f t="shared" si="2"/>
        <v>244.8</v>
      </c>
      <c r="K24" s="47">
        <f t="shared" si="0"/>
        <v>45</v>
      </c>
      <c r="L24" s="5">
        <v>0.03</v>
      </c>
      <c r="M24" s="6">
        <f t="shared" si="1"/>
        <v>7.3440000000000003</v>
      </c>
      <c r="O24" s="78"/>
    </row>
    <row r="25" spans="1:15" ht="15" customHeight="1" x14ac:dyDescent="0.25">
      <c r="A25" s="171" t="s">
        <v>922</v>
      </c>
      <c r="B25" s="160" t="s">
        <v>120</v>
      </c>
      <c r="C25" s="184" t="s">
        <v>1056</v>
      </c>
      <c r="D25" s="172">
        <v>45742</v>
      </c>
      <c r="E25" s="87">
        <v>291</v>
      </c>
      <c r="F25" s="87">
        <v>43.65</v>
      </c>
      <c r="G25" s="94">
        <v>268.99</v>
      </c>
      <c r="H25" s="199">
        <v>37.1</v>
      </c>
      <c r="I25" s="106">
        <v>45793</v>
      </c>
      <c r="J25" s="50">
        <f t="shared" si="2"/>
        <v>247.35</v>
      </c>
      <c r="K25" s="47">
        <f t="shared" si="0"/>
        <v>51</v>
      </c>
      <c r="L25" s="5">
        <v>0.03</v>
      </c>
      <c r="M25" s="6">
        <f t="shared" si="1"/>
        <v>7.4204999999999997</v>
      </c>
      <c r="O25" s="78"/>
    </row>
    <row r="26" spans="1:15" ht="15" customHeight="1" x14ac:dyDescent="0.25">
      <c r="A26" s="171" t="s">
        <v>69</v>
      </c>
      <c r="B26" s="160" t="s">
        <v>64</v>
      </c>
      <c r="C26" s="184" t="s">
        <v>1057</v>
      </c>
      <c r="D26" s="172">
        <v>45742</v>
      </c>
      <c r="E26" s="87">
        <v>360.91</v>
      </c>
      <c r="F26" s="87">
        <v>54.14</v>
      </c>
      <c r="G26" s="94">
        <v>352.78</v>
      </c>
      <c r="H26" s="199">
        <v>46.01</v>
      </c>
      <c r="I26" s="106">
        <v>45784</v>
      </c>
      <c r="J26" s="50">
        <f t="shared" si="2"/>
        <v>306.77000000000004</v>
      </c>
      <c r="K26" s="47">
        <f t="shared" si="0"/>
        <v>42</v>
      </c>
      <c r="L26" s="5">
        <v>0.03</v>
      </c>
      <c r="M26" s="6">
        <f t="shared" si="1"/>
        <v>9.2031000000000009</v>
      </c>
      <c r="O26" s="78"/>
    </row>
    <row r="27" spans="1:15" ht="15" customHeight="1" x14ac:dyDescent="0.25">
      <c r="A27" s="171" t="s">
        <v>81</v>
      </c>
      <c r="B27" s="160" t="s">
        <v>26</v>
      </c>
      <c r="C27" s="184" t="s">
        <v>1058</v>
      </c>
      <c r="D27" s="172">
        <v>45742</v>
      </c>
      <c r="E27" s="87">
        <v>543.6</v>
      </c>
      <c r="F27" s="87">
        <v>81.540000000000006</v>
      </c>
      <c r="G27" s="94">
        <v>531.37</v>
      </c>
      <c r="H27" s="199">
        <v>69.31</v>
      </c>
      <c r="I27" s="106">
        <v>45807</v>
      </c>
      <c r="J27" s="50">
        <f t="shared" si="2"/>
        <v>462.06</v>
      </c>
      <c r="K27" s="47">
        <f t="shared" si="0"/>
        <v>65</v>
      </c>
      <c r="L27" s="5">
        <v>0.03</v>
      </c>
      <c r="M27" s="6">
        <f t="shared" si="1"/>
        <v>13.861799999999999</v>
      </c>
      <c r="O27" s="78"/>
    </row>
    <row r="28" spans="1:15" ht="15" customHeight="1" x14ac:dyDescent="0.25">
      <c r="A28" s="171" t="s">
        <v>80</v>
      </c>
      <c r="B28" s="160" t="s">
        <v>18</v>
      </c>
      <c r="C28" s="184" t="s">
        <v>1059</v>
      </c>
      <c r="D28" s="172">
        <v>45743</v>
      </c>
      <c r="E28" s="87">
        <v>102</v>
      </c>
      <c r="F28" s="87">
        <v>20.399999999999999</v>
      </c>
      <c r="G28" s="94">
        <v>88.74</v>
      </c>
      <c r="H28" s="199">
        <v>12.24</v>
      </c>
      <c r="I28" s="106">
        <v>45778</v>
      </c>
      <c r="J28" s="50">
        <f t="shared" si="2"/>
        <v>81.599999999999994</v>
      </c>
      <c r="K28" s="47">
        <f t="shared" si="0"/>
        <v>35</v>
      </c>
      <c r="L28" s="5">
        <v>0.03</v>
      </c>
      <c r="M28" s="6">
        <f t="shared" si="1"/>
        <v>2.448</v>
      </c>
      <c r="O28" s="78"/>
    </row>
    <row r="29" spans="1:15" ht="15" customHeight="1" x14ac:dyDescent="0.25">
      <c r="A29" s="171" t="s">
        <v>35</v>
      </c>
      <c r="B29" s="160" t="s">
        <v>18</v>
      </c>
      <c r="C29" s="184" t="s">
        <v>1060</v>
      </c>
      <c r="D29" s="172">
        <v>45747</v>
      </c>
      <c r="E29" s="87">
        <v>117</v>
      </c>
      <c r="F29" s="87">
        <v>17.55</v>
      </c>
      <c r="G29" s="94">
        <v>114.37</v>
      </c>
      <c r="H29" s="199">
        <v>14.92</v>
      </c>
      <c r="I29" s="106">
        <v>45793</v>
      </c>
      <c r="J29" s="50">
        <f t="shared" si="2"/>
        <v>99.45</v>
      </c>
      <c r="K29" s="47">
        <f t="shared" si="0"/>
        <v>46</v>
      </c>
      <c r="L29" s="5">
        <v>0.03</v>
      </c>
      <c r="M29" s="6">
        <f t="shared" si="1"/>
        <v>2.9834999999999998</v>
      </c>
      <c r="O29" s="78"/>
    </row>
    <row r="30" spans="1:15" ht="15" customHeight="1" x14ac:dyDescent="0.25">
      <c r="A30" s="171" t="s">
        <v>105</v>
      </c>
      <c r="B30" s="160" t="s">
        <v>108</v>
      </c>
      <c r="C30" s="184" t="s">
        <v>1061</v>
      </c>
      <c r="D30" s="172">
        <v>45750</v>
      </c>
      <c r="E30" s="87">
        <v>142.56</v>
      </c>
      <c r="F30" s="87">
        <v>21.38</v>
      </c>
      <c r="G30" s="94">
        <v>139.36000000000001</v>
      </c>
      <c r="H30" s="87">
        <v>18.18</v>
      </c>
      <c r="I30" s="106">
        <v>45798</v>
      </c>
      <c r="J30" s="50">
        <f t="shared" si="2"/>
        <v>121.18</v>
      </c>
      <c r="K30" s="47">
        <f t="shared" si="0"/>
        <v>48</v>
      </c>
      <c r="L30" s="5">
        <v>0.03</v>
      </c>
      <c r="M30" s="6">
        <f t="shared" si="1"/>
        <v>3.6354000000000002</v>
      </c>
      <c r="O30" s="78"/>
    </row>
    <row r="31" spans="1:15" ht="15" customHeight="1" x14ac:dyDescent="0.25">
      <c r="A31" s="171" t="s">
        <v>1037</v>
      </c>
      <c r="B31" s="160" t="s">
        <v>26</v>
      </c>
      <c r="C31" s="184" t="s">
        <v>1062</v>
      </c>
      <c r="D31" s="172">
        <v>45756</v>
      </c>
      <c r="E31" s="87">
        <v>234</v>
      </c>
      <c r="F31" s="87">
        <v>0</v>
      </c>
      <c r="G31" s="94">
        <f>269.1-4.1-10.53</f>
        <v>254.47</v>
      </c>
      <c r="H31" s="87">
        <v>35.1</v>
      </c>
      <c r="I31" s="106">
        <v>45856</v>
      </c>
      <c r="J31" s="50">
        <f t="shared" si="2"/>
        <v>234</v>
      </c>
      <c r="K31" s="47">
        <f t="shared" si="0"/>
        <v>100</v>
      </c>
      <c r="L31" s="5">
        <v>0.03</v>
      </c>
      <c r="M31" s="6">
        <f t="shared" si="1"/>
        <v>7.02</v>
      </c>
      <c r="O31" s="78"/>
    </row>
    <row r="32" spans="1:15" ht="15" customHeight="1" x14ac:dyDescent="0.25">
      <c r="A32" s="171" t="s">
        <v>65</v>
      </c>
      <c r="B32" s="160" t="s">
        <v>32</v>
      </c>
      <c r="C32" s="184" t="s">
        <v>1063</v>
      </c>
      <c r="D32" s="172">
        <v>45757</v>
      </c>
      <c r="E32" s="87">
        <v>601.79999999999995</v>
      </c>
      <c r="F32" s="87">
        <v>90.27</v>
      </c>
      <c r="G32" s="94">
        <v>588.26</v>
      </c>
      <c r="H32" s="87">
        <v>76.73</v>
      </c>
      <c r="I32" s="106">
        <v>45789</v>
      </c>
      <c r="J32" s="50">
        <f t="shared" si="2"/>
        <v>511.53</v>
      </c>
      <c r="K32" s="47">
        <f t="shared" si="0"/>
        <v>32</v>
      </c>
      <c r="L32" s="5">
        <v>0.03</v>
      </c>
      <c r="M32" s="6">
        <f t="shared" si="1"/>
        <v>15.345899999999999</v>
      </c>
      <c r="O32" s="78"/>
    </row>
    <row r="33" spans="1:15" ht="15" customHeight="1" x14ac:dyDescent="0.25">
      <c r="A33" s="171" t="s">
        <v>1037</v>
      </c>
      <c r="B33" s="160" t="s">
        <v>26</v>
      </c>
      <c r="C33" s="184" t="s">
        <v>1064</v>
      </c>
      <c r="D33" s="172">
        <v>45764</v>
      </c>
      <c r="E33" s="87">
        <v>468</v>
      </c>
      <c r="F33" s="87">
        <v>70.2</v>
      </c>
      <c r="G33" s="94">
        <f>457.47-6.96-17.9</f>
        <v>432.61000000000007</v>
      </c>
      <c r="H33" s="87">
        <v>59.67</v>
      </c>
      <c r="I33" s="106">
        <v>45856</v>
      </c>
      <c r="J33" s="50">
        <f t="shared" si="2"/>
        <v>397.8</v>
      </c>
      <c r="K33" s="47">
        <f t="shared" si="0"/>
        <v>92</v>
      </c>
      <c r="L33" s="5">
        <v>0.03</v>
      </c>
      <c r="M33" s="6">
        <f t="shared" si="1"/>
        <v>11.933999999999999</v>
      </c>
      <c r="O33" s="78"/>
    </row>
    <row r="34" spans="1:15" ht="15" customHeight="1" x14ac:dyDescent="0.25">
      <c r="A34" s="171" t="s">
        <v>105</v>
      </c>
      <c r="B34" s="160" t="s">
        <v>108</v>
      </c>
      <c r="C34" s="184" t="s">
        <v>1066</v>
      </c>
      <c r="D34" s="172">
        <v>45771</v>
      </c>
      <c r="E34" s="87">
        <v>61.2</v>
      </c>
      <c r="F34" s="87">
        <v>9.18</v>
      </c>
      <c r="G34" s="94">
        <v>59.82</v>
      </c>
      <c r="H34" s="87">
        <v>7.8</v>
      </c>
      <c r="I34" s="106">
        <v>45798</v>
      </c>
      <c r="J34" s="50">
        <f t="shared" si="2"/>
        <v>52.02</v>
      </c>
      <c r="K34" s="47">
        <f t="shared" si="0"/>
        <v>27</v>
      </c>
      <c r="L34" s="5">
        <v>3.5000000000000003E-2</v>
      </c>
      <c r="M34" s="6">
        <f t="shared" si="1"/>
        <v>1.8207000000000002</v>
      </c>
      <c r="O34" s="78"/>
    </row>
    <row r="35" spans="1:15" ht="15" customHeight="1" x14ac:dyDescent="0.25">
      <c r="A35" s="171" t="s">
        <v>71</v>
      </c>
      <c r="B35" s="160" t="s">
        <v>24</v>
      </c>
      <c r="C35" s="184" t="s">
        <v>1065</v>
      </c>
      <c r="D35" s="172">
        <v>45771</v>
      </c>
      <c r="E35" s="87">
        <v>1455.19</v>
      </c>
      <c r="F35" s="87">
        <v>363.8</v>
      </c>
      <c r="G35" s="94">
        <v>1186.8900000000001</v>
      </c>
      <c r="H35" s="87">
        <v>163.71</v>
      </c>
      <c r="I35" s="106">
        <v>45783</v>
      </c>
      <c r="J35" s="50">
        <f t="shared" si="2"/>
        <v>1091.3900000000001</v>
      </c>
      <c r="K35" s="47">
        <f t="shared" si="0"/>
        <v>12</v>
      </c>
      <c r="L35" s="5">
        <v>3.5000000000000003E-2</v>
      </c>
      <c r="M35" s="6">
        <f t="shared" si="1"/>
        <v>38.198650000000008</v>
      </c>
      <c r="O35" s="78"/>
    </row>
    <row r="36" spans="1:15" ht="15" customHeight="1" x14ac:dyDescent="0.25">
      <c r="A36" s="171" t="s">
        <v>1037</v>
      </c>
      <c r="B36" s="160" t="s">
        <v>26</v>
      </c>
      <c r="C36" s="184" t="s">
        <v>1067</v>
      </c>
      <c r="D36" s="172">
        <v>45772</v>
      </c>
      <c r="E36" s="87">
        <v>1020</v>
      </c>
      <c r="F36" s="87">
        <v>153</v>
      </c>
      <c r="G36" s="94">
        <f>997.05-15.17-39.02-525</f>
        <v>417.86</v>
      </c>
      <c r="H36" s="87">
        <v>130.05000000000001</v>
      </c>
      <c r="I36" s="106">
        <v>45856</v>
      </c>
      <c r="J36" s="50">
        <f>377.5/1.15</f>
        <v>328.26086956521743</v>
      </c>
      <c r="K36" s="47">
        <f t="shared" si="0"/>
        <v>84</v>
      </c>
      <c r="L36" s="5">
        <v>0.03</v>
      </c>
      <c r="M36" s="6">
        <f t="shared" si="1"/>
        <v>9.8478260869565233</v>
      </c>
      <c r="O36" s="78"/>
    </row>
    <row r="37" spans="1:15" ht="15" customHeight="1" x14ac:dyDescent="0.25">
      <c r="A37" s="171" t="s">
        <v>116</v>
      </c>
      <c r="B37" s="160" t="s">
        <v>120</v>
      </c>
      <c r="C37" s="184" t="s">
        <v>1068</v>
      </c>
      <c r="D37" s="172">
        <v>45775</v>
      </c>
      <c r="E37" s="87">
        <v>237.60000000000002</v>
      </c>
      <c r="F37" s="87">
        <v>35.64</v>
      </c>
      <c r="G37" s="94">
        <v>219.63</v>
      </c>
      <c r="H37" s="87">
        <v>30.29</v>
      </c>
      <c r="I37" s="106">
        <v>45798</v>
      </c>
      <c r="J37" s="50">
        <f t="shared" ref="J37:J44" si="3">+E37-F37</f>
        <v>201.96000000000004</v>
      </c>
      <c r="K37" s="47">
        <f t="shared" si="0"/>
        <v>23</v>
      </c>
      <c r="L37" s="5">
        <v>3.5000000000000003E-2</v>
      </c>
      <c r="M37" s="6">
        <f t="shared" si="1"/>
        <v>7.0686000000000018</v>
      </c>
      <c r="O37" s="78"/>
    </row>
    <row r="38" spans="1:15" ht="15" customHeight="1" x14ac:dyDescent="0.25">
      <c r="A38" s="208" t="s">
        <v>73</v>
      </c>
      <c r="B38" s="160" t="s">
        <v>18</v>
      </c>
      <c r="C38" s="209" t="s">
        <v>1069</v>
      </c>
      <c r="D38" s="210">
        <v>45778.675578704002</v>
      </c>
      <c r="E38" s="87">
        <v>850</v>
      </c>
      <c r="F38" s="87">
        <v>170</v>
      </c>
      <c r="G38" s="94">
        <v>673.2</v>
      </c>
      <c r="H38" s="87">
        <v>102</v>
      </c>
      <c r="I38" s="106">
        <v>45804</v>
      </c>
      <c r="J38" s="50">
        <f t="shared" si="3"/>
        <v>680</v>
      </c>
      <c r="K38" s="47">
        <f t="shared" si="0"/>
        <v>25.324421295998036</v>
      </c>
      <c r="L38" s="5">
        <v>3.5000000000000003E-2</v>
      </c>
      <c r="M38" s="6">
        <f t="shared" si="1"/>
        <v>23.8</v>
      </c>
      <c r="O38" s="78"/>
    </row>
    <row r="39" spans="1:15" ht="15" customHeight="1" x14ac:dyDescent="0.25">
      <c r="A39" s="205" t="s">
        <v>944</v>
      </c>
      <c r="B39" s="160" t="s">
        <v>18</v>
      </c>
      <c r="C39" s="206" t="s">
        <v>1084</v>
      </c>
      <c r="D39" s="207">
        <v>45782.647013889</v>
      </c>
      <c r="E39" s="104">
        <f>82.62+9.18</f>
        <v>91.800000000000011</v>
      </c>
      <c r="F39" s="104">
        <v>9.18</v>
      </c>
      <c r="G39" s="96">
        <f>95.01-1.45-3.72</f>
        <v>89.84</v>
      </c>
      <c r="H39" s="104">
        <v>12.39</v>
      </c>
      <c r="I39" s="106">
        <v>45792</v>
      </c>
      <c r="J39" s="50">
        <f t="shared" si="3"/>
        <v>82.62</v>
      </c>
      <c r="K39" s="47">
        <f t="shared" si="0"/>
        <v>9.3529861110000638</v>
      </c>
      <c r="L39" s="5">
        <v>3.5000000000000003E-2</v>
      </c>
      <c r="M39" s="6">
        <f t="shared" si="1"/>
        <v>2.8917000000000006</v>
      </c>
      <c r="O39" s="78"/>
    </row>
    <row r="40" spans="1:15" ht="15" customHeight="1" x14ac:dyDescent="0.25">
      <c r="A40" s="208" t="s">
        <v>125</v>
      </c>
      <c r="B40" s="160" t="s">
        <v>18</v>
      </c>
      <c r="C40" s="209" t="s">
        <v>1070</v>
      </c>
      <c r="D40" s="210">
        <v>45783.529583333002</v>
      </c>
      <c r="E40" s="87">
        <v>61.2</v>
      </c>
      <c r="F40" s="87">
        <v>0</v>
      </c>
      <c r="G40" s="94">
        <v>70.38</v>
      </c>
      <c r="H40" s="87">
        <v>9.18</v>
      </c>
      <c r="I40" s="210">
        <v>45785</v>
      </c>
      <c r="J40" s="50">
        <f t="shared" si="3"/>
        <v>61.2</v>
      </c>
      <c r="K40" s="47">
        <f t="shared" si="0"/>
        <v>1.4704166669980623</v>
      </c>
      <c r="L40" s="5">
        <v>0.04</v>
      </c>
      <c r="M40" s="6">
        <f t="shared" si="1"/>
        <v>2.448</v>
      </c>
      <c r="O40" s="78"/>
    </row>
    <row r="41" spans="1:15" ht="15" customHeight="1" x14ac:dyDescent="0.25">
      <c r="A41" s="208" t="s">
        <v>81</v>
      </c>
      <c r="B41" s="160" t="s">
        <v>26</v>
      </c>
      <c r="C41" s="209" t="s">
        <v>1071</v>
      </c>
      <c r="D41" s="210">
        <v>45784.547060185003</v>
      </c>
      <c r="E41" s="87">
        <v>441.6</v>
      </c>
      <c r="F41" s="87">
        <v>66.239999999999995</v>
      </c>
      <c r="G41" s="94">
        <v>431.66</v>
      </c>
      <c r="H41" s="87">
        <v>56.3</v>
      </c>
      <c r="I41" s="106">
        <v>45807</v>
      </c>
      <c r="J41" s="50">
        <f t="shared" si="3"/>
        <v>375.36</v>
      </c>
      <c r="K41" s="47">
        <f t="shared" si="0"/>
        <v>22.45293981499708</v>
      </c>
      <c r="L41" s="5">
        <v>3.5000000000000003E-2</v>
      </c>
      <c r="M41" s="6">
        <f t="shared" si="1"/>
        <v>13.137600000000003</v>
      </c>
      <c r="O41" s="78"/>
    </row>
    <row r="42" spans="1:15" ht="15" customHeight="1" x14ac:dyDescent="0.25">
      <c r="A42" s="208" t="s">
        <v>89</v>
      </c>
      <c r="B42" s="160" t="s">
        <v>18</v>
      </c>
      <c r="C42" s="209" t="s">
        <v>1072</v>
      </c>
      <c r="D42" s="210">
        <v>45790.625046296002</v>
      </c>
      <c r="E42" s="87">
        <v>125.39999999999999</v>
      </c>
      <c r="F42" s="87">
        <v>25.08</v>
      </c>
      <c r="G42" s="211">
        <v>109.09</v>
      </c>
      <c r="H42" s="87">
        <v>15.05</v>
      </c>
      <c r="I42" s="210">
        <v>45791</v>
      </c>
      <c r="J42" s="50">
        <f t="shared" si="3"/>
        <v>100.32</v>
      </c>
      <c r="K42" s="47">
        <f t="shared" si="0"/>
        <v>0.37495370399847161</v>
      </c>
      <c r="L42" s="5">
        <v>0.04</v>
      </c>
      <c r="M42" s="6">
        <f t="shared" si="1"/>
        <v>4.0127999999999995</v>
      </c>
      <c r="O42" s="78"/>
    </row>
    <row r="43" spans="1:15" ht="15" customHeight="1" x14ac:dyDescent="0.25">
      <c r="A43" s="208" t="s">
        <v>25</v>
      </c>
      <c r="B43" s="160" t="s">
        <v>30</v>
      </c>
      <c r="C43" s="209" t="s">
        <v>1073</v>
      </c>
      <c r="D43" s="210">
        <v>45797.431840277997</v>
      </c>
      <c r="E43" s="87">
        <v>1492.08</v>
      </c>
      <c r="F43" s="87">
        <v>373.02</v>
      </c>
      <c r="G43" s="211">
        <v>1216.9800000000002</v>
      </c>
      <c r="H43" s="87">
        <v>167.86</v>
      </c>
      <c r="I43" s="106">
        <v>45803</v>
      </c>
      <c r="J43" s="50">
        <f t="shared" si="3"/>
        <v>1119.06</v>
      </c>
      <c r="K43" s="47">
        <f t="shared" si="0"/>
        <v>5.568159722002747</v>
      </c>
      <c r="L43" s="5">
        <v>0.04</v>
      </c>
      <c r="M43" s="6">
        <f t="shared" si="1"/>
        <v>44.7624</v>
      </c>
      <c r="O43" s="78"/>
    </row>
    <row r="44" spans="1:15" ht="15" customHeight="1" x14ac:dyDescent="0.25">
      <c r="A44" s="208" t="s">
        <v>226</v>
      </c>
      <c r="B44" s="160" t="s">
        <v>18</v>
      </c>
      <c r="C44" s="209" t="s">
        <v>1074</v>
      </c>
      <c r="D44" s="210">
        <v>45804.598935185</v>
      </c>
      <c r="E44" s="87">
        <v>98.64</v>
      </c>
      <c r="F44" s="87">
        <v>14.8</v>
      </c>
      <c r="G44" s="211">
        <v>96.42</v>
      </c>
      <c r="H44" s="87">
        <v>12.58</v>
      </c>
      <c r="I44" s="210">
        <v>45806</v>
      </c>
      <c r="J44" s="50">
        <f t="shared" si="3"/>
        <v>83.84</v>
      </c>
      <c r="K44" s="47">
        <f t="shared" si="0"/>
        <v>1.4010648149996996</v>
      </c>
      <c r="L44" s="5">
        <v>0.04</v>
      </c>
      <c r="M44" s="6">
        <f t="shared" si="1"/>
        <v>3.3536000000000001</v>
      </c>
      <c r="O44" s="78"/>
    </row>
    <row r="45" spans="1:15" ht="15" customHeight="1" x14ac:dyDescent="0.25">
      <c r="A45" s="115"/>
      <c r="B45" s="136"/>
      <c r="C45" s="117"/>
      <c r="D45" s="118"/>
      <c r="E45" s="119"/>
      <c r="F45" s="119"/>
      <c r="G45" s="120"/>
      <c r="H45" s="119"/>
      <c r="I45" s="121"/>
      <c r="J45" s="50"/>
      <c r="K45" s="47"/>
      <c r="L45" s="5"/>
      <c r="M45" s="6"/>
      <c r="O45" s="78"/>
    </row>
    <row r="46" spans="1:15" ht="15" customHeight="1" x14ac:dyDescent="0.3">
      <c r="G46" s="16">
        <f>SUM(G8:G45)</f>
        <v>28512.780000000002</v>
      </c>
      <c r="J46" s="16">
        <f>SUM(J8:J45)</f>
        <v>25989.252173913046</v>
      </c>
      <c r="M46" s="16">
        <f>SUM(M8:M45)</f>
        <v>799.21677608695632</v>
      </c>
    </row>
    <row r="47" spans="1:15" ht="15" customHeight="1" x14ac:dyDescent="0.25">
      <c r="G47" s="8"/>
      <c r="H47" s="8"/>
    </row>
    <row r="48" spans="1:15" ht="15" customHeight="1" x14ac:dyDescent="0.25">
      <c r="A48" s="17" t="s">
        <v>19</v>
      </c>
      <c r="B48" s="17" t="s">
        <v>20</v>
      </c>
      <c r="C48" s="18" t="s">
        <v>21</v>
      </c>
      <c r="I48" s="181"/>
      <c r="J48" s="8"/>
    </row>
    <row r="49" spans="1:15" s="52" customFormat="1" ht="15" x14ac:dyDescent="0.25">
      <c r="A49" s="101" t="s">
        <v>1037</v>
      </c>
      <c r="B49" s="101" t="s">
        <v>1075</v>
      </c>
      <c r="C49" s="102" t="s">
        <v>1078</v>
      </c>
      <c r="D49" s="105">
        <v>45635</v>
      </c>
      <c r="E49" s="92">
        <v>468</v>
      </c>
      <c r="F49" s="92">
        <v>70.2</v>
      </c>
      <c r="G49" s="90">
        <f>457.47-3.98-17.9</f>
        <v>435.59000000000003</v>
      </c>
      <c r="H49" s="92">
        <v>59.67</v>
      </c>
      <c r="I49" s="105">
        <v>45804</v>
      </c>
      <c r="J49" s="50">
        <f>+E49-F49</f>
        <v>397.8</v>
      </c>
      <c r="K49" s="47">
        <f>+I49-D49</f>
        <v>169</v>
      </c>
      <c r="L49" s="48">
        <v>0.03</v>
      </c>
      <c r="M49" s="49">
        <f>+J49*L49</f>
        <v>11.933999999999999</v>
      </c>
      <c r="N49" s="60"/>
      <c r="O49" s="78"/>
    </row>
    <row r="50" spans="1:15" s="52" customFormat="1" ht="15" x14ac:dyDescent="0.25">
      <c r="A50" s="101" t="s">
        <v>94</v>
      </c>
      <c r="B50" s="101" t="s">
        <v>1081</v>
      </c>
      <c r="C50" s="102" t="s">
        <v>1082</v>
      </c>
      <c r="D50" s="105">
        <v>45769</v>
      </c>
      <c r="E50" s="104">
        <f>219.91+38.81</f>
        <v>258.72000000000003</v>
      </c>
      <c r="F50" s="104">
        <v>38.81</v>
      </c>
      <c r="G50" s="96">
        <f>252.9</f>
        <v>252.9</v>
      </c>
      <c r="H50" s="104">
        <v>32.99</v>
      </c>
      <c r="I50" s="106">
        <v>45810</v>
      </c>
      <c r="J50" s="50">
        <f t="shared" ref="J50:J51" si="4">+E50-F50</f>
        <v>219.91000000000003</v>
      </c>
      <c r="K50" s="47">
        <f t="shared" ref="K50:K51" si="5">+I50-D50</f>
        <v>41</v>
      </c>
      <c r="L50" s="48">
        <v>0.03</v>
      </c>
      <c r="M50" s="49">
        <f t="shared" ref="M50:M51" si="6">+J50*L50</f>
        <v>6.5973000000000006</v>
      </c>
      <c r="N50" s="60"/>
      <c r="O50" s="78"/>
    </row>
    <row r="51" spans="1:15" s="52" customFormat="1" ht="15" x14ac:dyDescent="0.25">
      <c r="A51" s="101" t="s">
        <v>94</v>
      </c>
      <c r="B51" s="101" t="s">
        <v>1081</v>
      </c>
      <c r="C51" s="102" t="s">
        <v>1083</v>
      </c>
      <c r="D51" s="105">
        <v>45776</v>
      </c>
      <c r="E51" s="104">
        <f>276.73+48.83</f>
        <v>325.56</v>
      </c>
      <c r="F51" s="104">
        <v>48.83</v>
      </c>
      <c r="G51" s="96">
        <f>318.24</f>
        <v>318.24</v>
      </c>
      <c r="H51" s="104">
        <v>41.51</v>
      </c>
      <c r="I51" s="106">
        <v>45810</v>
      </c>
      <c r="J51" s="50">
        <f t="shared" si="4"/>
        <v>276.73</v>
      </c>
      <c r="K51" s="47">
        <f t="shared" si="5"/>
        <v>34</v>
      </c>
      <c r="L51" s="48">
        <v>0.03</v>
      </c>
      <c r="M51" s="49">
        <f t="shared" si="6"/>
        <v>8.3018999999999998</v>
      </c>
      <c r="N51" s="60"/>
      <c r="O51" s="78"/>
    </row>
    <row r="52" spans="1:15" s="52" customFormat="1" ht="15" customHeight="1" x14ac:dyDescent="0.25">
      <c r="A52" s="202" t="s">
        <v>38</v>
      </c>
      <c r="B52" s="101" t="s">
        <v>1076</v>
      </c>
      <c r="C52" s="203" t="s">
        <v>1079</v>
      </c>
      <c r="D52" s="204">
        <v>45782.527523147997</v>
      </c>
      <c r="E52" s="104">
        <f>636.48+179.52</f>
        <v>816</v>
      </c>
      <c r="F52" s="104">
        <v>179.52</v>
      </c>
      <c r="G52" s="96">
        <f>731.95-11.14-28.64</f>
        <v>692.17000000000007</v>
      </c>
      <c r="H52" s="104">
        <v>95.47</v>
      </c>
      <c r="I52" s="106">
        <v>45815</v>
      </c>
      <c r="J52" s="50">
        <f>+E52-F52</f>
        <v>636.48</v>
      </c>
      <c r="K52" s="47">
        <f t="shared" ref="K52:K53" si="7">+I52-D52</f>
        <v>32.472476852002728</v>
      </c>
      <c r="L52" s="48">
        <v>0.03</v>
      </c>
      <c r="M52" s="49">
        <f t="shared" ref="M52:M53" si="8">+J52*L52</f>
        <v>19.0944</v>
      </c>
      <c r="N52" s="60"/>
      <c r="O52" s="78"/>
    </row>
    <row r="53" spans="1:15" s="52" customFormat="1" ht="15" customHeight="1" x14ac:dyDescent="0.25">
      <c r="A53" s="202" t="s">
        <v>46</v>
      </c>
      <c r="B53" s="101" t="s">
        <v>1077</v>
      </c>
      <c r="C53" s="203" t="s">
        <v>1080</v>
      </c>
      <c r="D53" s="204">
        <v>45789.413078703998</v>
      </c>
      <c r="E53" s="104">
        <f>59.67+10.53</f>
        <v>70.2</v>
      </c>
      <c r="F53" s="104">
        <v>10.53</v>
      </c>
      <c r="G53" s="96">
        <f>68.62-0.6-2.69</f>
        <v>65.330000000000013</v>
      </c>
      <c r="H53" s="104">
        <v>8.9499999999999993</v>
      </c>
      <c r="I53" s="106">
        <v>45820</v>
      </c>
      <c r="J53" s="50">
        <f>+E53-F53</f>
        <v>59.67</v>
      </c>
      <c r="K53" s="47">
        <f t="shared" si="7"/>
        <v>30.586921296002402</v>
      </c>
      <c r="L53" s="48">
        <v>0.03</v>
      </c>
      <c r="M53" s="49">
        <f t="shared" si="8"/>
        <v>1.7901</v>
      </c>
      <c r="N53" s="60"/>
      <c r="O53" s="78"/>
    </row>
    <row r="54" spans="1:15" s="1" customFormat="1" ht="15" customHeight="1" thickBot="1" x14ac:dyDescent="0.3">
      <c r="A54" s="152"/>
      <c r="B54" s="153"/>
      <c r="C54" s="154"/>
      <c r="D54" s="155"/>
      <c r="E54" s="156"/>
      <c r="F54" s="156"/>
      <c r="G54" s="90"/>
      <c r="H54" s="92"/>
      <c r="I54" s="105"/>
      <c r="J54" s="50"/>
      <c r="K54" s="47"/>
      <c r="L54" s="48"/>
      <c r="M54" s="53"/>
      <c r="N54" s="74"/>
      <c r="O54" s="78"/>
    </row>
    <row r="55" spans="1:15" ht="15" customHeight="1" thickBot="1" x14ac:dyDescent="0.35">
      <c r="A55" s="332" t="s">
        <v>29</v>
      </c>
      <c r="B55" s="332"/>
      <c r="C55" s="332"/>
      <c r="D55" s="332"/>
      <c r="E55" s="332"/>
      <c r="F55" s="332"/>
      <c r="G55" s="16">
        <f>SUM(G46:G54)</f>
        <v>30277.010000000009</v>
      </c>
      <c r="J55" s="16">
        <f>SUM(J46:J54)</f>
        <v>27579.842173913043</v>
      </c>
      <c r="L55" s="20"/>
      <c r="M55" s="21">
        <f>SUM(M46:M54)</f>
        <v>846.93447608695635</v>
      </c>
    </row>
    <row r="56" spans="1:15" ht="15" customHeight="1" x14ac:dyDescent="0.3">
      <c r="A56" s="22"/>
      <c r="G56" s="8"/>
    </row>
    <row r="57" spans="1:15" ht="15" customHeight="1" x14ac:dyDescent="0.3">
      <c r="A57" s="39"/>
      <c r="G57" s="8"/>
      <c r="J57" s="8"/>
    </row>
    <row r="58" spans="1:15" ht="15" customHeight="1" x14ac:dyDescent="0.3">
      <c r="A58" s="39"/>
      <c r="G58" s="8"/>
      <c r="J58" s="8"/>
    </row>
    <row r="59" spans="1:15" ht="15" customHeight="1" x14ac:dyDescent="0.3">
      <c r="A59" s="39"/>
      <c r="G59" s="8"/>
      <c r="J59" s="8">
        <f>J55*2%</f>
        <v>551.59684347826089</v>
      </c>
      <c r="M59" s="185">
        <f>M55/12</f>
        <v>70.577873007246367</v>
      </c>
      <c r="N59" s="59" t="s">
        <v>341</v>
      </c>
    </row>
    <row r="60" spans="1:15" ht="15" customHeight="1" x14ac:dyDescent="0.3">
      <c r="A60" s="39"/>
      <c r="G60" s="8"/>
      <c r="J60" s="185">
        <f>J59/12</f>
        <v>45.966403623188405</v>
      </c>
      <c r="K60" s="7" t="s">
        <v>876</v>
      </c>
      <c r="M60" s="185">
        <f>M55/24</f>
        <v>35.288936503623184</v>
      </c>
      <c r="N60" s="59" t="s">
        <v>341</v>
      </c>
    </row>
    <row r="61" spans="1:15" ht="15" customHeight="1" x14ac:dyDescent="0.3">
      <c r="A61" s="39"/>
      <c r="G61" s="8"/>
      <c r="J61" s="185">
        <f>J59/24</f>
        <v>22.983201811594203</v>
      </c>
      <c r="K61" s="7" t="s">
        <v>876</v>
      </c>
    </row>
    <row r="62" spans="1:15" ht="15" customHeight="1" x14ac:dyDescent="0.3">
      <c r="A62" s="39"/>
      <c r="G62" s="8"/>
      <c r="J62" s="8"/>
      <c r="M62" s="8"/>
    </row>
    <row r="63" spans="1:15" ht="15" customHeight="1" x14ac:dyDescent="0.3">
      <c r="A63" s="39"/>
      <c r="G63" s="8"/>
      <c r="J63" s="8"/>
      <c r="M63" s="8"/>
    </row>
    <row r="64" spans="1:15" ht="15" customHeight="1" x14ac:dyDescent="0.3">
      <c r="A64" s="39"/>
      <c r="G64" s="8"/>
      <c r="J64" s="8"/>
      <c r="M64" s="8"/>
      <c r="O64" s="8"/>
    </row>
    <row r="65" spans="1:15" ht="15" customHeight="1" x14ac:dyDescent="0.3">
      <c r="A65" s="39"/>
      <c r="G65" s="8"/>
      <c r="J65" s="8"/>
      <c r="M65" s="8"/>
      <c r="O65" s="8"/>
    </row>
    <row r="66" spans="1:15" ht="15" customHeight="1" x14ac:dyDescent="0.3">
      <c r="A66" s="39"/>
      <c r="G66" s="8"/>
      <c r="J66" s="8"/>
      <c r="M66" s="8"/>
    </row>
    <row r="67" spans="1:15" ht="15" customHeight="1" x14ac:dyDescent="0.3">
      <c r="A67" s="39"/>
      <c r="G67" s="8"/>
      <c r="J67" s="8"/>
    </row>
    <row r="68" spans="1:15" ht="15" customHeight="1" x14ac:dyDescent="0.3">
      <c r="A68" s="39"/>
      <c r="G68" s="8"/>
      <c r="J68" s="8"/>
    </row>
    <row r="69" spans="1:15" ht="15" customHeight="1" x14ac:dyDescent="0.3">
      <c r="A69" s="39"/>
      <c r="G69" s="8"/>
      <c r="J69" s="8"/>
    </row>
    <row r="70" spans="1:15" ht="15" customHeight="1" x14ac:dyDescent="0.3">
      <c r="A70" s="39"/>
      <c r="G70" s="8"/>
      <c r="J70" s="8"/>
    </row>
    <row r="71" spans="1:15" ht="15" customHeight="1" x14ac:dyDescent="0.3">
      <c r="A71" s="39"/>
      <c r="G71" s="8"/>
      <c r="J71" s="8"/>
    </row>
    <row r="72" spans="1:15" ht="15" customHeight="1" x14ac:dyDescent="0.3">
      <c r="A72" s="22"/>
      <c r="J72" s="15"/>
      <c r="K72" s="15"/>
    </row>
  </sheetData>
  <sortState xmlns:xlrd2="http://schemas.microsoft.com/office/spreadsheetml/2017/richdata2" ref="A8:P44">
    <sortCondition ref="C8:C44"/>
  </sortState>
  <mergeCells count="2">
    <mergeCell ref="A3:F3"/>
    <mergeCell ref="A55:F55"/>
  </mergeCells>
  <pageMargins left="0.39370078740157483" right="0" top="0.19685039370078741" bottom="0" header="0" footer="0"/>
  <pageSetup paperSize="9" scale="70" orientation="landscape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E547-0ACC-4F22-A319-5990C71F2A6A}">
  <dimension ref="A1:O57"/>
  <sheetViews>
    <sheetView topLeftCell="A32" workbookViewId="0">
      <selection activeCell="J54" sqref="J54"/>
    </sheetView>
  </sheetViews>
  <sheetFormatPr baseColWidth="10" defaultColWidth="11.44140625" defaultRowHeight="13.2" x14ac:dyDescent="0.25"/>
  <cols>
    <col min="1" max="1" width="33.5546875" style="7" customWidth="1"/>
    <col min="2" max="2" width="28.6640625" style="7" customWidth="1"/>
    <col min="3" max="3" width="24.88671875" style="19" customWidth="1"/>
    <col min="4" max="4" width="10.33203125" style="67" customWidth="1"/>
    <col min="5" max="5" width="11.6640625" style="7" customWidth="1"/>
    <col min="6" max="6" width="9" style="7" customWidth="1"/>
    <col min="7" max="7" width="11.44140625" style="7" customWidth="1"/>
    <col min="8" max="8" width="9.88671875" style="7" customWidth="1"/>
    <col min="9" max="9" width="10.6640625" style="67" customWidth="1"/>
    <col min="10" max="10" width="11.44140625" style="7"/>
    <col min="11" max="11" width="5.88671875" style="7" customWidth="1"/>
    <col min="12" max="12" width="6.44140625" style="7" customWidth="1"/>
    <col min="13" max="13" width="10.109375" style="7" customWidth="1"/>
    <col min="14" max="14" width="24.33203125" style="59" customWidth="1"/>
    <col min="15" max="16" width="8" style="7" customWidth="1"/>
    <col min="17" max="16384" width="11.44140625" style="7"/>
  </cols>
  <sheetData>
    <row r="1" spans="1:15" ht="15" customHeight="1" x14ac:dyDescent="0.25">
      <c r="B1" s="8"/>
      <c r="C1" s="181"/>
      <c r="G1" s="8"/>
    </row>
    <row r="2" spans="1:15" ht="15" customHeight="1" x14ac:dyDescent="0.25">
      <c r="A2" s="30"/>
      <c r="B2" s="30"/>
      <c r="C2" s="30"/>
      <c r="D2" s="30"/>
      <c r="E2" s="30"/>
      <c r="F2" s="30"/>
      <c r="G2" s="24"/>
      <c r="H2" s="24"/>
      <c r="I2" s="195"/>
      <c r="J2" s="26"/>
      <c r="K2" s="27"/>
      <c r="L2" s="28"/>
      <c r="M2" s="29"/>
    </row>
    <row r="3" spans="1:15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195"/>
      <c r="J3" s="27"/>
      <c r="K3" s="27"/>
      <c r="L3" s="28"/>
      <c r="M3" s="29"/>
    </row>
    <row r="4" spans="1:15" ht="15" customHeight="1" x14ac:dyDescent="0.25">
      <c r="A4" s="30"/>
      <c r="B4" s="31" t="s">
        <v>1085</v>
      </c>
      <c r="C4" s="30"/>
      <c r="D4" s="64"/>
      <c r="E4" s="30"/>
      <c r="F4" s="30"/>
      <c r="G4" s="24"/>
      <c r="H4" s="25"/>
      <c r="I4" s="195"/>
      <c r="J4" s="27"/>
      <c r="K4" s="27"/>
      <c r="L4" s="28"/>
      <c r="M4" s="29"/>
    </row>
    <row r="5" spans="1:15" ht="15" customHeight="1" thickBot="1" x14ac:dyDescent="0.3">
      <c r="A5" s="30"/>
      <c r="B5" s="31" t="s">
        <v>22</v>
      </c>
      <c r="C5" s="30"/>
      <c r="D5" s="64"/>
      <c r="E5" s="30"/>
      <c r="F5" s="30"/>
      <c r="G5" s="32"/>
      <c r="H5" s="24"/>
      <c r="I5" s="64"/>
      <c r="J5" s="33"/>
      <c r="K5" s="27"/>
      <c r="L5" s="28"/>
      <c r="M5" s="29"/>
    </row>
    <row r="6" spans="1:15" ht="15" customHeight="1" x14ac:dyDescent="0.25">
      <c r="A6" s="34"/>
      <c r="B6" s="33"/>
      <c r="C6" s="182"/>
      <c r="D6" s="195"/>
      <c r="E6" s="33"/>
      <c r="F6" s="33"/>
      <c r="G6" s="35" t="s">
        <v>3</v>
      </c>
      <c r="H6" s="27"/>
      <c r="I6" s="195"/>
      <c r="J6" s="36" t="s">
        <v>4</v>
      </c>
      <c r="K6" s="56" t="s">
        <v>5</v>
      </c>
      <c r="L6" s="40" t="s">
        <v>6</v>
      </c>
      <c r="M6" s="36" t="s">
        <v>7</v>
      </c>
    </row>
    <row r="7" spans="1:15" ht="15" customHeight="1" x14ac:dyDescent="0.25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62" t="s">
        <v>13</v>
      </c>
      <c r="H7" s="13" t="s">
        <v>14</v>
      </c>
      <c r="I7" s="197" t="s">
        <v>15</v>
      </c>
      <c r="J7" s="14" t="s">
        <v>16</v>
      </c>
      <c r="K7" s="57"/>
      <c r="L7" s="58" t="s">
        <v>17</v>
      </c>
      <c r="M7" s="14" t="s">
        <v>39</v>
      </c>
    </row>
    <row r="8" spans="1:15" ht="15" customHeight="1" x14ac:dyDescent="0.25">
      <c r="A8" s="171" t="s">
        <v>76</v>
      </c>
      <c r="B8" s="160" t="s">
        <v>18</v>
      </c>
      <c r="C8" s="184" t="s">
        <v>1089</v>
      </c>
      <c r="D8" s="172">
        <v>45672</v>
      </c>
      <c r="E8" s="87">
        <v>70.2</v>
      </c>
      <c r="F8" s="87">
        <v>0</v>
      </c>
      <c r="G8" s="94">
        <v>76.87</v>
      </c>
      <c r="H8" s="87">
        <v>10.53</v>
      </c>
      <c r="I8" s="106">
        <v>45824</v>
      </c>
      <c r="J8" s="50">
        <f t="shared" ref="J8:J17" si="0">+E8-F8</f>
        <v>70.2</v>
      </c>
      <c r="K8" s="47">
        <f t="shared" ref="K8:K35" si="1">+I8-D8</f>
        <v>152</v>
      </c>
      <c r="L8" s="5">
        <v>0.03</v>
      </c>
      <c r="M8" s="6">
        <f t="shared" ref="M8:M35" si="2">+J8*L8</f>
        <v>2.1059999999999999</v>
      </c>
      <c r="O8" s="78"/>
    </row>
    <row r="9" spans="1:15" ht="15" customHeight="1" x14ac:dyDescent="0.25">
      <c r="A9" s="171" t="s">
        <v>76</v>
      </c>
      <c r="B9" s="160" t="s">
        <v>18</v>
      </c>
      <c r="C9" s="184" t="s">
        <v>1090</v>
      </c>
      <c r="D9" s="172">
        <v>45692</v>
      </c>
      <c r="E9" s="87">
        <v>246.36</v>
      </c>
      <c r="F9" s="87">
        <v>36.950000000000003</v>
      </c>
      <c r="G9" s="94">
        <v>227.74</v>
      </c>
      <c r="H9" s="87">
        <v>31.41</v>
      </c>
      <c r="I9" s="106">
        <v>45824</v>
      </c>
      <c r="J9" s="50">
        <f t="shared" si="0"/>
        <v>209.41000000000003</v>
      </c>
      <c r="K9" s="47">
        <f t="shared" si="1"/>
        <v>132</v>
      </c>
      <c r="L9" s="5">
        <v>0.03</v>
      </c>
      <c r="M9" s="6">
        <f t="shared" si="2"/>
        <v>6.2823000000000002</v>
      </c>
      <c r="O9" s="78"/>
    </row>
    <row r="10" spans="1:15" ht="15" customHeight="1" x14ac:dyDescent="0.25">
      <c r="A10" s="171" t="s">
        <v>110</v>
      </c>
      <c r="B10" s="160" t="s">
        <v>95</v>
      </c>
      <c r="C10" s="184" t="s">
        <v>1091</v>
      </c>
      <c r="D10" s="172">
        <v>45705</v>
      </c>
      <c r="E10" s="87">
        <v>418.20000000000005</v>
      </c>
      <c r="F10" s="87">
        <v>62.73</v>
      </c>
      <c r="G10" s="94">
        <v>389.24</v>
      </c>
      <c r="H10" s="190">
        <v>53.32</v>
      </c>
      <c r="I10" s="106">
        <v>45817</v>
      </c>
      <c r="J10" s="50">
        <f t="shared" si="0"/>
        <v>355.47</v>
      </c>
      <c r="K10" s="47">
        <f t="shared" si="1"/>
        <v>112</v>
      </c>
      <c r="L10" s="5">
        <v>0.03</v>
      </c>
      <c r="M10" s="6">
        <f t="shared" si="2"/>
        <v>10.664100000000001</v>
      </c>
      <c r="O10" s="78"/>
    </row>
    <row r="11" spans="1:15" ht="15" customHeight="1" x14ac:dyDescent="0.25">
      <c r="A11" s="171" t="s">
        <v>110</v>
      </c>
      <c r="B11" s="160" t="s">
        <v>95</v>
      </c>
      <c r="C11" s="184" t="s">
        <v>1092</v>
      </c>
      <c r="D11" s="172">
        <v>45705</v>
      </c>
      <c r="E11" s="87">
        <v>858.96</v>
      </c>
      <c r="F11" s="87">
        <v>128.84</v>
      </c>
      <c r="G11" s="94">
        <v>799.48</v>
      </c>
      <c r="H11" s="190">
        <v>109.52</v>
      </c>
      <c r="I11" s="106">
        <v>45817</v>
      </c>
      <c r="J11" s="50">
        <f t="shared" si="0"/>
        <v>730.12</v>
      </c>
      <c r="K11" s="47">
        <f t="shared" si="1"/>
        <v>112</v>
      </c>
      <c r="L11" s="5">
        <v>0.03</v>
      </c>
      <c r="M11" s="6">
        <f t="shared" si="2"/>
        <v>21.903600000000001</v>
      </c>
      <c r="O11" s="78"/>
    </row>
    <row r="12" spans="1:15" ht="15" customHeight="1" x14ac:dyDescent="0.25">
      <c r="A12" s="171" t="s">
        <v>76</v>
      </c>
      <c r="B12" s="160" t="s">
        <v>18</v>
      </c>
      <c r="C12" s="184" t="s">
        <v>1093</v>
      </c>
      <c r="D12" s="172">
        <v>45706</v>
      </c>
      <c r="E12" s="87">
        <v>40.799999999999997</v>
      </c>
      <c r="F12" s="87">
        <v>6.12</v>
      </c>
      <c r="G12" s="94">
        <v>37.71</v>
      </c>
      <c r="H12" s="190">
        <v>5.2</v>
      </c>
      <c r="I12" s="106">
        <v>45824</v>
      </c>
      <c r="J12" s="50">
        <f t="shared" si="0"/>
        <v>34.68</v>
      </c>
      <c r="K12" s="47">
        <f t="shared" si="1"/>
        <v>118</v>
      </c>
      <c r="L12" s="5">
        <v>0.03</v>
      </c>
      <c r="M12" s="6">
        <f t="shared" si="2"/>
        <v>1.0404</v>
      </c>
      <c r="O12" s="78"/>
    </row>
    <row r="13" spans="1:15" ht="15" customHeight="1" x14ac:dyDescent="0.25">
      <c r="A13" s="171" t="s">
        <v>115</v>
      </c>
      <c r="B13" s="160" t="s">
        <v>18</v>
      </c>
      <c r="C13" s="184" t="s">
        <v>1094</v>
      </c>
      <c r="D13" s="172">
        <v>45735</v>
      </c>
      <c r="E13" s="87">
        <v>1579.3200000000002</v>
      </c>
      <c r="F13" s="87">
        <v>315.86</v>
      </c>
      <c r="G13" s="94">
        <v>1374.0100000000002</v>
      </c>
      <c r="H13" s="87">
        <v>189.52</v>
      </c>
      <c r="I13" s="106">
        <v>45838</v>
      </c>
      <c r="J13" s="50">
        <f t="shared" si="0"/>
        <v>1263.46</v>
      </c>
      <c r="K13" s="47">
        <f t="shared" si="1"/>
        <v>103</v>
      </c>
      <c r="L13" s="5">
        <v>0.03</v>
      </c>
      <c r="M13" s="6">
        <f t="shared" si="2"/>
        <v>37.903799999999997</v>
      </c>
      <c r="O13" s="78"/>
    </row>
    <row r="14" spans="1:15" ht="15" customHeight="1" x14ac:dyDescent="0.25">
      <c r="A14" s="171" t="s">
        <v>115</v>
      </c>
      <c r="B14" s="160" t="s">
        <v>18</v>
      </c>
      <c r="C14" s="184" t="s">
        <v>1095</v>
      </c>
      <c r="D14" s="172">
        <v>45742</v>
      </c>
      <c r="E14" s="87">
        <v>2805</v>
      </c>
      <c r="F14" s="87">
        <v>561</v>
      </c>
      <c r="G14" s="94">
        <v>1758.52</v>
      </c>
      <c r="H14" s="199">
        <v>336.6</v>
      </c>
      <c r="I14" s="106">
        <v>45838</v>
      </c>
      <c r="J14" s="50">
        <f t="shared" si="0"/>
        <v>2244</v>
      </c>
      <c r="K14" s="47">
        <f t="shared" si="1"/>
        <v>96</v>
      </c>
      <c r="L14" s="5">
        <v>0.03</v>
      </c>
      <c r="M14" s="6">
        <f t="shared" si="2"/>
        <v>67.319999999999993</v>
      </c>
      <c r="O14" s="78"/>
    </row>
    <row r="15" spans="1:15" ht="15" customHeight="1" x14ac:dyDescent="0.25">
      <c r="A15" s="171" t="s">
        <v>1086</v>
      </c>
      <c r="B15" s="160" t="s">
        <v>123</v>
      </c>
      <c r="C15" s="184" t="s">
        <v>1096</v>
      </c>
      <c r="D15" s="172">
        <v>45742</v>
      </c>
      <c r="E15" s="87">
        <v>403.92</v>
      </c>
      <c r="F15" s="87">
        <v>60.59</v>
      </c>
      <c r="G15" s="94">
        <v>300</v>
      </c>
      <c r="H15" s="199">
        <v>51.5</v>
      </c>
      <c r="I15" s="106">
        <v>45838</v>
      </c>
      <c r="J15" s="50">
        <f t="shared" si="0"/>
        <v>343.33000000000004</v>
      </c>
      <c r="K15" s="47">
        <f t="shared" si="1"/>
        <v>96</v>
      </c>
      <c r="L15" s="5">
        <v>0.03</v>
      </c>
      <c r="M15" s="6">
        <f t="shared" si="2"/>
        <v>10.299900000000001</v>
      </c>
      <c r="O15" s="78"/>
    </row>
    <row r="16" spans="1:15" ht="15" customHeight="1" x14ac:dyDescent="0.25">
      <c r="A16" s="171" t="s">
        <v>52</v>
      </c>
      <c r="B16" s="160" t="s">
        <v>18</v>
      </c>
      <c r="C16" s="184" t="s">
        <v>1097</v>
      </c>
      <c r="D16" s="172">
        <v>45748</v>
      </c>
      <c r="E16" s="87">
        <v>540.96</v>
      </c>
      <c r="F16" s="87">
        <v>135.24</v>
      </c>
      <c r="G16" s="94">
        <v>444.26</v>
      </c>
      <c r="H16" s="87">
        <v>60.86</v>
      </c>
      <c r="I16" s="106">
        <v>45824</v>
      </c>
      <c r="J16" s="50">
        <f t="shared" si="0"/>
        <v>405.72</v>
      </c>
      <c r="K16" s="47">
        <f t="shared" si="1"/>
        <v>76</v>
      </c>
      <c r="L16" s="5">
        <v>0.03</v>
      </c>
      <c r="M16" s="6">
        <f t="shared" si="2"/>
        <v>12.1716</v>
      </c>
      <c r="O16" s="78"/>
    </row>
    <row r="17" spans="1:15" ht="15" customHeight="1" x14ac:dyDescent="0.25">
      <c r="A17" s="171" t="s">
        <v>132</v>
      </c>
      <c r="B17" s="160" t="s">
        <v>18</v>
      </c>
      <c r="C17" s="184" t="s">
        <v>1098</v>
      </c>
      <c r="D17" s="172">
        <v>45755</v>
      </c>
      <c r="E17" s="87">
        <v>306.60000000000002</v>
      </c>
      <c r="F17" s="87">
        <v>45.99</v>
      </c>
      <c r="G17" s="94">
        <v>299.7</v>
      </c>
      <c r="H17" s="87">
        <v>39.090000000000003</v>
      </c>
      <c r="I17" s="106">
        <v>45825</v>
      </c>
      <c r="J17" s="50">
        <f t="shared" si="0"/>
        <v>260.61</v>
      </c>
      <c r="K17" s="47">
        <f t="shared" si="1"/>
        <v>70</v>
      </c>
      <c r="L17" s="5">
        <v>0.03</v>
      </c>
      <c r="M17" s="6">
        <f t="shared" si="2"/>
        <v>7.8182999999999998</v>
      </c>
      <c r="O17" s="78"/>
    </row>
    <row r="18" spans="1:15" ht="15" customHeight="1" x14ac:dyDescent="0.25">
      <c r="A18" s="171" t="s">
        <v>420</v>
      </c>
      <c r="B18" s="160" t="s">
        <v>57</v>
      </c>
      <c r="C18" s="184" t="s">
        <v>1099</v>
      </c>
      <c r="D18" s="172">
        <v>45757</v>
      </c>
      <c r="E18" s="87">
        <v>369</v>
      </c>
      <c r="F18" s="87">
        <v>55.35</v>
      </c>
      <c r="G18" s="94">
        <v>120.7</v>
      </c>
      <c r="H18" s="87">
        <v>47.05</v>
      </c>
      <c r="I18" s="106">
        <v>45831</v>
      </c>
      <c r="J18" s="50">
        <f>120.7/1.15</f>
        <v>104.95652173913045</v>
      </c>
      <c r="K18" s="47">
        <f t="shared" si="1"/>
        <v>74</v>
      </c>
      <c r="L18" s="5">
        <v>0.03</v>
      </c>
      <c r="M18" s="6">
        <f t="shared" si="2"/>
        <v>3.1486956521739136</v>
      </c>
      <c r="O18" s="78"/>
    </row>
    <row r="19" spans="1:15" ht="15" customHeight="1" x14ac:dyDescent="0.25">
      <c r="A19" s="171" t="s">
        <v>76</v>
      </c>
      <c r="B19" s="160" t="s">
        <v>18</v>
      </c>
      <c r="C19" s="184" t="s">
        <v>1100</v>
      </c>
      <c r="D19" s="172">
        <v>45762</v>
      </c>
      <c r="E19" s="87">
        <v>216.95999999999998</v>
      </c>
      <c r="F19" s="87">
        <v>32.54</v>
      </c>
      <c r="G19" s="94">
        <v>200.55</v>
      </c>
      <c r="H19" s="87">
        <v>27.66</v>
      </c>
      <c r="I19" s="106">
        <v>45824</v>
      </c>
      <c r="J19" s="50">
        <f>+E19-F19</f>
        <v>184.42</v>
      </c>
      <c r="K19" s="47">
        <f t="shared" si="1"/>
        <v>62</v>
      </c>
      <c r="L19" s="5">
        <v>0.03</v>
      </c>
      <c r="M19" s="6">
        <f t="shared" si="2"/>
        <v>5.5325999999999995</v>
      </c>
      <c r="O19" s="78"/>
    </row>
    <row r="20" spans="1:15" ht="15" customHeight="1" x14ac:dyDescent="0.25">
      <c r="A20" s="171" t="s">
        <v>47</v>
      </c>
      <c r="B20" s="160" t="s">
        <v>18</v>
      </c>
      <c r="C20" s="184" t="s">
        <v>1129</v>
      </c>
      <c r="D20" s="172">
        <v>45768</v>
      </c>
      <c r="E20" s="87">
        <v>390.6</v>
      </c>
      <c r="F20" s="87">
        <v>78.12</v>
      </c>
      <c r="G20" s="94">
        <f>359.35</f>
        <v>359.35</v>
      </c>
      <c r="H20" s="87">
        <v>46.87</v>
      </c>
      <c r="I20" s="106">
        <v>45832</v>
      </c>
      <c r="J20" s="50">
        <f>+E20-F20</f>
        <v>312.48</v>
      </c>
      <c r="K20" s="47">
        <f t="shared" si="1"/>
        <v>64</v>
      </c>
      <c r="L20" s="5">
        <v>0.03</v>
      </c>
      <c r="M20" s="6">
        <f t="shared" si="2"/>
        <v>9.3743999999999996</v>
      </c>
      <c r="O20" s="78"/>
    </row>
    <row r="21" spans="1:15" ht="15" customHeight="1" x14ac:dyDescent="0.25">
      <c r="A21" s="171" t="s">
        <v>115</v>
      </c>
      <c r="B21" s="160" t="s">
        <v>18</v>
      </c>
      <c r="C21" s="184" t="s">
        <v>1101</v>
      </c>
      <c r="D21" s="172">
        <v>45770</v>
      </c>
      <c r="E21" s="87">
        <v>855.3599999999999</v>
      </c>
      <c r="F21" s="87">
        <v>171.07</v>
      </c>
      <c r="G21" s="94">
        <v>744.16</v>
      </c>
      <c r="H21" s="87">
        <v>102.64</v>
      </c>
      <c r="I21" s="106">
        <v>45838</v>
      </c>
      <c r="J21" s="50">
        <f>+E21-F21</f>
        <v>684.29</v>
      </c>
      <c r="K21" s="47">
        <f t="shared" si="1"/>
        <v>68</v>
      </c>
      <c r="L21" s="5">
        <v>0.03</v>
      </c>
      <c r="M21" s="6">
        <f t="shared" si="2"/>
        <v>20.528699999999997</v>
      </c>
      <c r="O21" s="78"/>
    </row>
    <row r="22" spans="1:15" ht="15" customHeight="1" x14ac:dyDescent="0.25">
      <c r="A22" s="171" t="s">
        <v>292</v>
      </c>
      <c r="B22" s="160" t="s">
        <v>229</v>
      </c>
      <c r="C22" s="184" t="s">
        <v>1102</v>
      </c>
      <c r="D22" s="172">
        <v>45776</v>
      </c>
      <c r="E22" s="87">
        <v>105.60000000000001</v>
      </c>
      <c r="F22" s="87">
        <v>17.95</v>
      </c>
      <c r="G22" s="94">
        <v>95.97</v>
      </c>
      <c r="H22" s="87">
        <v>13.15</v>
      </c>
      <c r="I22" s="106">
        <v>45819</v>
      </c>
      <c r="J22" s="50">
        <f>+E22-F22</f>
        <v>87.65</v>
      </c>
      <c r="K22" s="47">
        <f t="shared" si="1"/>
        <v>43</v>
      </c>
      <c r="L22" s="5">
        <v>0.03</v>
      </c>
      <c r="M22" s="6">
        <f t="shared" si="2"/>
        <v>2.6295000000000002</v>
      </c>
      <c r="O22" s="78"/>
    </row>
    <row r="23" spans="1:15" ht="15" customHeight="1" x14ac:dyDescent="0.25">
      <c r="A23" s="208" t="s">
        <v>42</v>
      </c>
      <c r="B23" s="160" t="s">
        <v>18</v>
      </c>
      <c r="C23" s="209" t="s">
        <v>1103</v>
      </c>
      <c r="D23" s="210">
        <v>45783.335601851999</v>
      </c>
      <c r="E23" s="87">
        <v>114</v>
      </c>
      <c r="F23" s="87">
        <v>17.100000000000001</v>
      </c>
      <c r="G23" s="94">
        <v>105.38</v>
      </c>
      <c r="H23" s="87">
        <v>14.54</v>
      </c>
      <c r="I23" s="106">
        <v>45828</v>
      </c>
      <c r="J23" s="50">
        <f>+E23-F23</f>
        <v>96.9</v>
      </c>
      <c r="K23" s="47">
        <f t="shared" si="1"/>
        <v>44.664398148001055</v>
      </c>
      <c r="L23" s="5">
        <v>0.03</v>
      </c>
      <c r="M23" s="6">
        <f t="shared" si="2"/>
        <v>2.907</v>
      </c>
      <c r="O23" s="78"/>
    </row>
    <row r="24" spans="1:15" ht="15" customHeight="1" x14ac:dyDescent="0.25">
      <c r="A24" s="208" t="s">
        <v>106</v>
      </c>
      <c r="B24" s="160" t="s">
        <v>61</v>
      </c>
      <c r="C24" s="209" t="s">
        <v>1104</v>
      </c>
      <c r="D24" s="210">
        <v>45785.677662037</v>
      </c>
      <c r="E24" s="87">
        <v>954.24</v>
      </c>
      <c r="F24" s="87">
        <v>143.13999999999999</v>
      </c>
      <c r="G24" s="94">
        <v>400</v>
      </c>
      <c r="H24" s="87">
        <v>121.67</v>
      </c>
      <c r="I24" s="106">
        <v>45828</v>
      </c>
      <c r="J24" s="50">
        <f>400/1.15</f>
        <v>347.82608695652175</v>
      </c>
      <c r="K24" s="47">
        <f t="shared" si="1"/>
        <v>42.322337962999882</v>
      </c>
      <c r="L24" s="5">
        <v>0.03</v>
      </c>
      <c r="M24" s="6">
        <f t="shared" si="2"/>
        <v>10.434782608695652</v>
      </c>
      <c r="O24" s="78"/>
    </row>
    <row r="25" spans="1:15" ht="15" customHeight="1" x14ac:dyDescent="0.25">
      <c r="A25" s="208" t="s">
        <v>1087</v>
      </c>
      <c r="B25" s="160" t="s">
        <v>61</v>
      </c>
      <c r="C25" s="209" t="s">
        <v>1105</v>
      </c>
      <c r="D25" s="210">
        <v>45786.345717593002</v>
      </c>
      <c r="E25" s="87">
        <v>200.88</v>
      </c>
      <c r="F25" s="87">
        <v>30.13</v>
      </c>
      <c r="G25" s="94">
        <v>196.36</v>
      </c>
      <c r="H25" s="87">
        <v>25.61</v>
      </c>
      <c r="I25" s="106">
        <v>45832</v>
      </c>
      <c r="J25" s="50">
        <f t="shared" ref="J25:J35" si="3">+E25-F25</f>
        <v>170.75</v>
      </c>
      <c r="K25" s="47">
        <f t="shared" si="1"/>
        <v>45.654282406998391</v>
      </c>
      <c r="L25" s="5">
        <v>0.03</v>
      </c>
      <c r="M25" s="6">
        <f t="shared" si="2"/>
        <v>5.1224999999999996</v>
      </c>
      <c r="O25" s="78"/>
    </row>
    <row r="26" spans="1:15" ht="15" customHeight="1" x14ac:dyDescent="0.25">
      <c r="A26" s="208" t="s">
        <v>93</v>
      </c>
      <c r="B26" s="160" t="s">
        <v>95</v>
      </c>
      <c r="C26" s="209" t="s">
        <v>1106</v>
      </c>
      <c r="D26" s="210">
        <v>45786.345717593002</v>
      </c>
      <c r="E26" s="87">
        <v>163.68</v>
      </c>
      <c r="F26" s="87">
        <v>24.55</v>
      </c>
      <c r="G26" s="94">
        <v>160</v>
      </c>
      <c r="H26" s="87">
        <v>20.87</v>
      </c>
      <c r="I26" s="106">
        <v>45828</v>
      </c>
      <c r="J26" s="50">
        <f t="shared" si="3"/>
        <v>139.13</v>
      </c>
      <c r="K26" s="47">
        <f t="shared" si="1"/>
        <v>41.654282406998391</v>
      </c>
      <c r="L26" s="5">
        <v>0.03</v>
      </c>
      <c r="M26" s="6">
        <f t="shared" si="2"/>
        <v>4.1738999999999997</v>
      </c>
      <c r="O26" s="78"/>
    </row>
    <row r="27" spans="1:15" ht="15" customHeight="1" x14ac:dyDescent="0.25">
      <c r="A27" s="208" t="s">
        <v>54</v>
      </c>
      <c r="B27" s="160" t="s">
        <v>32</v>
      </c>
      <c r="C27" s="209" t="s">
        <v>1107</v>
      </c>
      <c r="D27" s="210">
        <v>45786.345717593002</v>
      </c>
      <c r="E27" s="87">
        <v>828.95999999999992</v>
      </c>
      <c r="F27" s="87">
        <v>140.91999999999999</v>
      </c>
      <c r="G27" s="94">
        <v>748.25</v>
      </c>
      <c r="H27" s="87">
        <v>103.21</v>
      </c>
      <c r="I27" s="106">
        <v>45825</v>
      </c>
      <c r="J27" s="50">
        <f t="shared" si="3"/>
        <v>688.04</v>
      </c>
      <c r="K27" s="47">
        <f t="shared" si="1"/>
        <v>38.654282406998391</v>
      </c>
      <c r="L27" s="5">
        <v>0.03</v>
      </c>
      <c r="M27" s="6">
        <f t="shared" si="2"/>
        <v>20.641199999999998</v>
      </c>
      <c r="O27" s="78"/>
    </row>
    <row r="28" spans="1:15" ht="15" customHeight="1" x14ac:dyDescent="0.25">
      <c r="A28" s="208" t="s">
        <v>80</v>
      </c>
      <c r="B28" s="160" t="s">
        <v>18</v>
      </c>
      <c r="C28" s="209" t="s">
        <v>1108</v>
      </c>
      <c r="D28" s="210">
        <v>45790.381238426002</v>
      </c>
      <c r="E28" s="87">
        <v>714</v>
      </c>
      <c r="F28" s="87">
        <v>142.80000000000001</v>
      </c>
      <c r="G28" s="94">
        <v>621.17999999999995</v>
      </c>
      <c r="H28" s="87">
        <v>85.68</v>
      </c>
      <c r="I28" s="106">
        <v>45814</v>
      </c>
      <c r="J28" s="50">
        <f t="shared" si="3"/>
        <v>571.20000000000005</v>
      </c>
      <c r="K28" s="47">
        <f t="shared" si="1"/>
        <v>23.618761573998199</v>
      </c>
      <c r="L28" s="5">
        <v>3.5000000000000003E-2</v>
      </c>
      <c r="M28" s="6">
        <f t="shared" si="2"/>
        <v>19.992000000000004</v>
      </c>
      <c r="O28" s="78"/>
    </row>
    <row r="29" spans="1:15" ht="15" customHeight="1" x14ac:dyDescent="0.25">
      <c r="A29" s="208" t="s">
        <v>71</v>
      </c>
      <c r="B29" s="160" t="s">
        <v>24</v>
      </c>
      <c r="C29" s="209" t="s">
        <v>1109</v>
      </c>
      <c r="D29" s="210">
        <v>45792.455324073999</v>
      </c>
      <c r="E29" s="87">
        <v>722.28</v>
      </c>
      <c r="F29" s="87">
        <v>180.57</v>
      </c>
      <c r="G29" s="94">
        <v>622.97</v>
      </c>
      <c r="H29" s="87">
        <v>81.260000000000005</v>
      </c>
      <c r="I29" s="210">
        <v>45824</v>
      </c>
      <c r="J29" s="50">
        <f t="shared" si="3"/>
        <v>541.71</v>
      </c>
      <c r="K29" s="47">
        <f t="shared" si="1"/>
        <v>31.544675926001219</v>
      </c>
      <c r="L29" s="5">
        <v>0.03</v>
      </c>
      <c r="M29" s="6">
        <f t="shared" si="2"/>
        <v>16.251300000000001</v>
      </c>
      <c r="O29" s="78"/>
    </row>
    <row r="30" spans="1:15" ht="15" customHeight="1" x14ac:dyDescent="0.25">
      <c r="A30" s="208" t="s">
        <v>476</v>
      </c>
      <c r="B30" s="160" t="s">
        <v>61</v>
      </c>
      <c r="C30" s="209" t="s">
        <v>1110</v>
      </c>
      <c r="D30" s="210">
        <v>45793.601643519003</v>
      </c>
      <c r="E30" s="87">
        <v>127.32</v>
      </c>
      <c r="F30" s="87">
        <v>19.100000000000001</v>
      </c>
      <c r="G30" s="94">
        <v>124.45</v>
      </c>
      <c r="H30" s="87">
        <v>16.23</v>
      </c>
      <c r="I30" s="210">
        <v>45832</v>
      </c>
      <c r="J30" s="50">
        <f t="shared" si="3"/>
        <v>108.22</v>
      </c>
      <c r="K30" s="47">
        <f t="shared" si="1"/>
        <v>38.398356480996881</v>
      </c>
      <c r="L30" s="5">
        <v>0.03</v>
      </c>
      <c r="M30" s="6">
        <f t="shared" si="2"/>
        <v>3.2465999999999999</v>
      </c>
      <c r="O30" s="78"/>
    </row>
    <row r="31" spans="1:15" ht="15" customHeight="1" x14ac:dyDescent="0.25">
      <c r="A31" s="208" t="s">
        <v>80</v>
      </c>
      <c r="B31" s="160" t="s">
        <v>18</v>
      </c>
      <c r="C31" s="209" t="s">
        <v>1111</v>
      </c>
      <c r="D31" s="210">
        <v>45798.358009258998</v>
      </c>
      <c r="E31" s="87">
        <v>367.2</v>
      </c>
      <c r="F31" s="87">
        <v>73.44</v>
      </c>
      <c r="G31" s="94">
        <v>319.45999999999998</v>
      </c>
      <c r="H31" s="87">
        <v>44.06</v>
      </c>
      <c r="I31" s="106">
        <v>45828</v>
      </c>
      <c r="J31" s="50">
        <f t="shared" si="3"/>
        <v>293.76</v>
      </c>
      <c r="K31" s="47">
        <f t="shared" si="1"/>
        <v>29.641990741001791</v>
      </c>
      <c r="L31" s="5">
        <v>3.5000000000000003E-2</v>
      </c>
      <c r="M31" s="6">
        <f t="shared" si="2"/>
        <v>10.281600000000001</v>
      </c>
      <c r="O31" s="78"/>
    </row>
    <row r="32" spans="1:15" ht="15" customHeight="1" x14ac:dyDescent="0.25">
      <c r="A32" s="208" t="s">
        <v>38</v>
      </c>
      <c r="B32" s="160" t="s">
        <v>18</v>
      </c>
      <c r="C32" s="209" t="s">
        <v>1112</v>
      </c>
      <c r="D32" s="210">
        <v>45807.414432869999</v>
      </c>
      <c r="E32" s="87">
        <v>456</v>
      </c>
      <c r="F32" s="87">
        <v>100.32</v>
      </c>
      <c r="G32" s="94">
        <v>386.79999999999995</v>
      </c>
      <c r="H32" s="87">
        <v>53.35</v>
      </c>
      <c r="I32" s="106">
        <v>45838</v>
      </c>
      <c r="J32" s="50">
        <f t="shared" si="3"/>
        <v>355.68</v>
      </c>
      <c r="K32" s="47">
        <f t="shared" si="1"/>
        <v>30.585567130001436</v>
      </c>
      <c r="L32" s="5">
        <v>0.03</v>
      </c>
      <c r="M32" s="6">
        <f t="shared" si="2"/>
        <v>10.670399999999999</v>
      </c>
      <c r="O32" s="78"/>
    </row>
    <row r="33" spans="1:15" ht="15" customHeight="1" x14ac:dyDescent="0.25">
      <c r="A33" s="171" t="s">
        <v>89</v>
      </c>
      <c r="B33" s="160" t="s">
        <v>18</v>
      </c>
      <c r="C33" s="184" t="s">
        <v>1113</v>
      </c>
      <c r="D33" s="201">
        <v>45827.405520833003</v>
      </c>
      <c r="E33" s="87">
        <v>162.24</v>
      </c>
      <c r="F33" s="87">
        <v>32.450000000000003</v>
      </c>
      <c r="G33" s="94">
        <v>141.14999999999998</v>
      </c>
      <c r="H33" s="87">
        <v>19.47</v>
      </c>
      <c r="I33" s="106">
        <v>45828</v>
      </c>
      <c r="J33" s="50">
        <f t="shared" si="3"/>
        <v>129.79000000000002</v>
      </c>
      <c r="K33" s="47">
        <f t="shared" si="1"/>
        <v>0.59447916699718917</v>
      </c>
      <c r="L33" s="5">
        <v>0.04</v>
      </c>
      <c r="M33" s="6">
        <f t="shared" si="2"/>
        <v>5.1916000000000011</v>
      </c>
      <c r="O33" s="78"/>
    </row>
    <row r="34" spans="1:15" ht="15" customHeight="1" x14ac:dyDescent="0.25">
      <c r="A34" s="171" t="s">
        <v>923</v>
      </c>
      <c r="B34" s="160" t="s">
        <v>59</v>
      </c>
      <c r="C34" s="184" t="s">
        <v>1114</v>
      </c>
      <c r="D34" s="201">
        <v>45828.467557869997</v>
      </c>
      <c r="E34" s="87">
        <v>132</v>
      </c>
      <c r="F34" s="87">
        <v>19.8</v>
      </c>
      <c r="G34" s="94">
        <v>129.03</v>
      </c>
      <c r="H34" s="87">
        <v>16.829999999999998</v>
      </c>
      <c r="I34" s="106">
        <v>45831</v>
      </c>
      <c r="J34" s="50">
        <f t="shared" si="3"/>
        <v>112.2</v>
      </c>
      <c r="K34" s="47">
        <f t="shared" si="1"/>
        <v>2.5324421300028916</v>
      </c>
      <c r="L34" s="5">
        <v>3.5000000000000003E-2</v>
      </c>
      <c r="M34" s="6">
        <f t="shared" si="2"/>
        <v>3.9270000000000005</v>
      </c>
      <c r="O34" s="78"/>
    </row>
    <row r="35" spans="1:15" ht="15" customHeight="1" x14ac:dyDescent="0.25">
      <c r="A35" s="171" t="s">
        <v>1088</v>
      </c>
      <c r="B35" s="160" t="s">
        <v>57</v>
      </c>
      <c r="C35" s="184" t="s">
        <v>1115</v>
      </c>
      <c r="D35" s="201">
        <v>45838.403171295999</v>
      </c>
      <c r="E35" s="87">
        <v>93</v>
      </c>
      <c r="F35" s="87">
        <v>13.95</v>
      </c>
      <c r="G35" s="94">
        <v>90.91</v>
      </c>
      <c r="H35" s="87">
        <v>11.86</v>
      </c>
      <c r="I35" s="106">
        <v>45838</v>
      </c>
      <c r="J35" s="50">
        <f t="shared" si="3"/>
        <v>79.05</v>
      </c>
      <c r="K35" s="47">
        <f t="shared" si="1"/>
        <v>-0.40317129599861801</v>
      </c>
      <c r="L35" s="5">
        <v>0.04</v>
      </c>
      <c r="M35" s="6">
        <f t="shared" si="2"/>
        <v>3.1619999999999999</v>
      </c>
      <c r="O35" s="78"/>
    </row>
    <row r="36" spans="1:15" ht="15" customHeight="1" x14ac:dyDescent="0.25">
      <c r="A36" s="208"/>
      <c r="B36" s="160"/>
      <c r="C36" s="209"/>
      <c r="D36" s="210"/>
      <c r="E36" s="87"/>
      <c r="F36" s="87"/>
      <c r="G36" s="211"/>
      <c r="H36" s="87"/>
      <c r="I36" s="210"/>
      <c r="J36" s="50"/>
      <c r="K36" s="47"/>
      <c r="L36" s="5"/>
      <c r="M36" s="6"/>
      <c r="O36" s="78"/>
    </row>
    <row r="37" spans="1:15" ht="15" customHeight="1" x14ac:dyDescent="0.25">
      <c r="A37" s="115"/>
      <c r="B37" s="136"/>
      <c r="C37" s="117"/>
      <c r="D37" s="118"/>
      <c r="E37" s="119"/>
      <c r="F37" s="119"/>
      <c r="G37" s="120"/>
      <c r="H37" s="119"/>
      <c r="I37" s="121"/>
      <c r="J37" s="50"/>
      <c r="K37" s="47"/>
      <c r="L37" s="5"/>
      <c r="M37" s="6"/>
      <c r="O37" s="78"/>
    </row>
    <row r="38" spans="1:15" ht="15" customHeight="1" x14ac:dyDescent="0.3">
      <c r="G38" s="16">
        <f>SUM(G8:G37)</f>
        <v>11274.199999999999</v>
      </c>
      <c r="J38" s="16">
        <f>SUM(J8:J37)</f>
        <v>10925.052608695652</v>
      </c>
      <c r="M38" s="16">
        <f>SUM(M8:M37)</f>
        <v>334.72577826086962</v>
      </c>
    </row>
    <row r="39" spans="1:15" ht="15" customHeight="1" x14ac:dyDescent="0.25">
      <c r="G39" s="8"/>
      <c r="H39" s="8"/>
    </row>
    <row r="40" spans="1:15" ht="15" customHeight="1" x14ac:dyDescent="0.25">
      <c r="A40" s="17" t="s">
        <v>19</v>
      </c>
      <c r="B40" s="17" t="s">
        <v>20</v>
      </c>
      <c r="C40" s="18" t="s">
        <v>21</v>
      </c>
      <c r="I40" s="181"/>
      <c r="J40" s="8"/>
    </row>
    <row r="41" spans="1:15" s="52" customFormat="1" ht="15" x14ac:dyDescent="0.25">
      <c r="A41" s="101" t="s">
        <v>99</v>
      </c>
      <c r="B41" s="101" t="s">
        <v>1116</v>
      </c>
      <c r="C41" s="102" t="s">
        <v>1122</v>
      </c>
      <c r="D41" s="105">
        <v>45742</v>
      </c>
      <c r="E41" s="92">
        <v>1115.1600000000001</v>
      </c>
      <c r="F41" s="92">
        <v>167.27</v>
      </c>
      <c r="G41" s="90">
        <v>1080.5899999999999</v>
      </c>
      <c r="H41" s="92">
        <v>142.18</v>
      </c>
      <c r="I41" s="105">
        <v>45869</v>
      </c>
      <c r="J41" s="50">
        <f>+E41-F41</f>
        <v>947.8900000000001</v>
      </c>
      <c r="K41" s="47">
        <f>+I41-D41</f>
        <v>127</v>
      </c>
      <c r="L41" s="48">
        <v>0.03</v>
      </c>
      <c r="M41" s="49">
        <f>+J41*L41</f>
        <v>28.436700000000002</v>
      </c>
      <c r="N41" s="60"/>
      <c r="O41" s="78"/>
    </row>
    <row r="42" spans="1:15" s="52" customFormat="1" ht="15" x14ac:dyDescent="0.25">
      <c r="A42" s="202" t="s">
        <v>42</v>
      </c>
      <c r="B42" s="101" t="s">
        <v>1117</v>
      </c>
      <c r="C42" s="203" t="s">
        <v>1123</v>
      </c>
      <c r="D42" s="204">
        <v>45784.277442129998</v>
      </c>
      <c r="E42" s="104">
        <v>22.799999999999997</v>
      </c>
      <c r="F42" s="104">
        <v>3.42</v>
      </c>
      <c r="G42" s="96">
        <v>21.08</v>
      </c>
      <c r="H42" s="104">
        <v>2.91</v>
      </c>
      <c r="I42" s="106">
        <v>45857</v>
      </c>
      <c r="J42" s="50">
        <f t="shared" ref="J42" si="4">+E42-F42</f>
        <v>19.379999999999995</v>
      </c>
      <c r="K42" s="47">
        <f t="shared" ref="K42:K47" si="5">+I42-D42</f>
        <v>72.722557870001765</v>
      </c>
      <c r="L42" s="48">
        <v>0.03</v>
      </c>
      <c r="M42" s="49">
        <f t="shared" ref="M42:M47" si="6">+J42*L42</f>
        <v>0.58139999999999981</v>
      </c>
      <c r="N42" s="60"/>
      <c r="O42" s="78"/>
    </row>
    <row r="43" spans="1:15" s="52" customFormat="1" ht="15" x14ac:dyDescent="0.25">
      <c r="A43" s="101" t="s">
        <v>42</v>
      </c>
      <c r="B43" s="101" t="s">
        <v>1117</v>
      </c>
      <c r="C43" s="102" t="s">
        <v>1124</v>
      </c>
      <c r="D43" s="214">
        <v>45811.460555555997</v>
      </c>
      <c r="E43" s="104">
        <v>151.80000000000001</v>
      </c>
      <c r="F43" s="104">
        <v>22.77</v>
      </c>
      <c r="G43" s="96">
        <v>140.31</v>
      </c>
      <c r="H43" s="104">
        <v>19.350000000000001</v>
      </c>
      <c r="I43" s="106">
        <v>45857</v>
      </c>
      <c r="J43" s="50">
        <f t="shared" ref="J43:J46" si="7">+E43-F43</f>
        <v>129.03</v>
      </c>
      <c r="K43" s="47">
        <f t="shared" ref="K43:K46" si="8">+I43-D43</f>
        <v>45.539444444002584</v>
      </c>
      <c r="L43" s="48">
        <v>0.03</v>
      </c>
      <c r="M43" s="49">
        <f t="shared" ref="M43:M46" si="9">+J43*L43</f>
        <v>3.8708999999999998</v>
      </c>
      <c r="N43" s="60"/>
      <c r="O43" s="78"/>
    </row>
    <row r="44" spans="1:15" s="52" customFormat="1" ht="15" x14ac:dyDescent="0.25">
      <c r="A44" s="101" t="s">
        <v>40</v>
      </c>
      <c r="B44" s="101" t="s">
        <v>1118</v>
      </c>
      <c r="C44" s="102" t="s">
        <v>1125</v>
      </c>
      <c r="D44" s="214">
        <v>45811.563969907002</v>
      </c>
      <c r="E44" s="104">
        <v>744.6</v>
      </c>
      <c r="F44" s="104">
        <v>186.15</v>
      </c>
      <c r="G44" s="96">
        <v>607.32000000000005</v>
      </c>
      <c r="H44" s="104">
        <v>83.77</v>
      </c>
      <c r="I44" s="106">
        <v>45841</v>
      </c>
      <c r="J44" s="50">
        <f t="shared" si="7"/>
        <v>558.45000000000005</v>
      </c>
      <c r="K44" s="47">
        <f t="shared" si="8"/>
        <v>29.436030092998408</v>
      </c>
      <c r="L44" s="48">
        <v>0.03</v>
      </c>
      <c r="M44" s="49">
        <f t="shared" si="9"/>
        <v>16.753500000000003</v>
      </c>
      <c r="N44" s="60"/>
      <c r="O44" s="78"/>
    </row>
    <row r="45" spans="1:15" s="52" customFormat="1" ht="15" x14ac:dyDescent="0.25">
      <c r="A45" s="101" t="s">
        <v>42</v>
      </c>
      <c r="B45" s="101" t="s">
        <v>1119</v>
      </c>
      <c r="C45" s="102" t="s">
        <v>1126</v>
      </c>
      <c r="D45" s="214">
        <v>45824.487789352002</v>
      </c>
      <c r="E45" s="104">
        <v>756</v>
      </c>
      <c r="F45" s="104">
        <v>113.4</v>
      </c>
      <c r="G45" s="96">
        <v>698.82</v>
      </c>
      <c r="H45" s="104">
        <v>96.39</v>
      </c>
      <c r="I45" s="106">
        <v>45873</v>
      </c>
      <c r="J45" s="50">
        <f t="shared" si="7"/>
        <v>642.6</v>
      </c>
      <c r="K45" s="47">
        <f t="shared" si="8"/>
        <v>48.512210647997563</v>
      </c>
      <c r="L45" s="48">
        <v>0.03</v>
      </c>
      <c r="M45" s="49">
        <f t="shared" si="9"/>
        <v>19.277999999999999</v>
      </c>
      <c r="N45" s="60"/>
      <c r="O45" s="78"/>
    </row>
    <row r="46" spans="1:15" s="52" customFormat="1" ht="15" x14ac:dyDescent="0.25">
      <c r="A46" s="101" t="s">
        <v>46</v>
      </c>
      <c r="B46" s="101" t="s">
        <v>1120</v>
      </c>
      <c r="C46" s="102" t="s">
        <v>1127</v>
      </c>
      <c r="D46" s="214">
        <v>45826.629039352003</v>
      </c>
      <c r="E46" s="104">
        <v>426.96000000000004</v>
      </c>
      <c r="F46" s="104">
        <v>64.040000000000006</v>
      </c>
      <c r="G46" s="96">
        <v>397.40000000000003</v>
      </c>
      <c r="H46" s="104">
        <v>54.44</v>
      </c>
      <c r="I46" s="106">
        <v>45856</v>
      </c>
      <c r="J46" s="50">
        <f t="shared" si="7"/>
        <v>362.92</v>
      </c>
      <c r="K46" s="47">
        <f t="shared" si="8"/>
        <v>29.370960647996981</v>
      </c>
      <c r="L46" s="48">
        <v>0.03</v>
      </c>
      <c r="M46" s="49">
        <f t="shared" si="9"/>
        <v>10.887600000000001</v>
      </c>
      <c r="N46" s="60"/>
      <c r="O46" s="78"/>
    </row>
    <row r="47" spans="1:15" s="52" customFormat="1" ht="15" customHeight="1" x14ac:dyDescent="0.25">
      <c r="A47" s="101" t="s">
        <v>40</v>
      </c>
      <c r="B47" s="101" t="s">
        <v>1121</v>
      </c>
      <c r="C47" s="102" t="s">
        <v>1128</v>
      </c>
      <c r="D47" s="214">
        <v>45835.521921296</v>
      </c>
      <c r="E47" s="104">
        <v>489.6</v>
      </c>
      <c r="F47" s="104">
        <v>122.4</v>
      </c>
      <c r="G47" s="96">
        <v>399.33</v>
      </c>
      <c r="H47" s="104">
        <v>55.08</v>
      </c>
      <c r="I47" s="106">
        <v>45865</v>
      </c>
      <c r="J47" s="50">
        <f>+E47-F47</f>
        <v>367.20000000000005</v>
      </c>
      <c r="K47" s="47">
        <f t="shared" si="5"/>
        <v>29.478078703999927</v>
      </c>
      <c r="L47" s="48">
        <v>0.03</v>
      </c>
      <c r="M47" s="49">
        <f t="shared" si="6"/>
        <v>11.016000000000002</v>
      </c>
      <c r="N47" s="60"/>
      <c r="O47" s="78"/>
    </row>
    <row r="48" spans="1:15" s="52" customFormat="1" ht="15" customHeight="1" x14ac:dyDescent="0.25">
      <c r="A48" s="202"/>
      <c r="B48" s="101"/>
      <c r="C48" s="203"/>
      <c r="D48" s="204"/>
      <c r="E48" s="104"/>
      <c r="F48" s="104"/>
      <c r="G48" s="96"/>
      <c r="H48" s="104"/>
      <c r="I48" s="106"/>
      <c r="J48" s="50"/>
      <c r="K48" s="47"/>
      <c r="L48" s="48"/>
      <c r="M48" s="49"/>
      <c r="N48" s="60"/>
      <c r="O48" s="78"/>
    </row>
    <row r="49" spans="1:15" s="1" customFormat="1" ht="15" customHeight="1" thickBot="1" x14ac:dyDescent="0.3">
      <c r="A49" s="152"/>
      <c r="B49" s="153"/>
      <c r="C49" s="154"/>
      <c r="D49" s="155"/>
      <c r="E49" s="156"/>
      <c r="F49" s="156"/>
      <c r="G49" s="90"/>
      <c r="H49" s="92"/>
      <c r="I49" s="105"/>
      <c r="J49" s="50"/>
      <c r="K49" s="47"/>
      <c r="L49" s="48"/>
      <c r="M49" s="53"/>
      <c r="N49" s="74"/>
      <c r="O49" s="78"/>
    </row>
    <row r="50" spans="1:15" ht="15" customHeight="1" thickBot="1" x14ac:dyDescent="0.35">
      <c r="A50" s="332" t="s">
        <v>29</v>
      </c>
      <c r="B50" s="332"/>
      <c r="C50" s="332"/>
      <c r="D50" s="332"/>
      <c r="E50" s="332"/>
      <c r="F50" s="332"/>
      <c r="G50" s="16">
        <f>SUM(G38:G49)</f>
        <v>14619.049999999997</v>
      </c>
      <c r="J50" s="16">
        <f>SUM(J38:J49)</f>
        <v>13952.522608695654</v>
      </c>
      <c r="L50" s="20"/>
      <c r="M50" s="21">
        <f>SUM(M38:M49)</f>
        <v>425.54987826086966</v>
      </c>
    </row>
    <row r="51" spans="1:15" ht="15" customHeight="1" x14ac:dyDescent="0.3">
      <c r="A51" s="22"/>
      <c r="G51" s="8"/>
    </row>
    <row r="52" spans="1:15" ht="15" customHeight="1" x14ac:dyDescent="0.3">
      <c r="A52" s="39"/>
      <c r="G52" s="8"/>
      <c r="J52" s="8"/>
    </row>
    <row r="53" spans="1:15" ht="15" customHeight="1" x14ac:dyDescent="0.3">
      <c r="A53" s="39"/>
      <c r="G53" s="8"/>
      <c r="J53" s="8"/>
    </row>
    <row r="54" spans="1:15" ht="15" customHeight="1" x14ac:dyDescent="0.3">
      <c r="A54" s="39"/>
      <c r="G54" s="8"/>
      <c r="J54" s="8">
        <f>J50*2%</f>
        <v>279.05045217391307</v>
      </c>
      <c r="M54" s="185">
        <f>M50/12</f>
        <v>35.462489855072469</v>
      </c>
      <c r="N54" s="59" t="s">
        <v>341</v>
      </c>
    </row>
    <row r="55" spans="1:15" ht="15" customHeight="1" x14ac:dyDescent="0.3">
      <c r="A55" s="39"/>
      <c r="G55" s="8"/>
      <c r="J55" s="185">
        <f>J54/12</f>
        <v>23.254204347826089</v>
      </c>
      <c r="K55" s="7" t="s">
        <v>876</v>
      </c>
      <c r="M55" s="185">
        <f>M50/24</f>
        <v>17.731244927536235</v>
      </c>
      <c r="N55" s="59" t="s">
        <v>341</v>
      </c>
    </row>
    <row r="56" spans="1:15" ht="15" customHeight="1" x14ac:dyDescent="0.3">
      <c r="A56" s="39"/>
      <c r="G56" s="8"/>
      <c r="J56" s="185">
        <f>J54/24</f>
        <v>11.627102173913045</v>
      </c>
      <c r="K56" s="7" t="s">
        <v>876</v>
      </c>
    </row>
    <row r="57" spans="1:15" ht="15" customHeight="1" x14ac:dyDescent="0.3">
      <c r="A57" s="39"/>
      <c r="G57" s="8"/>
      <c r="J57" s="8"/>
    </row>
  </sheetData>
  <sortState xmlns:xlrd2="http://schemas.microsoft.com/office/spreadsheetml/2017/richdata2" ref="A8:P35">
    <sortCondition ref="C8:C35"/>
  </sortState>
  <mergeCells count="2">
    <mergeCell ref="A3:F3"/>
    <mergeCell ref="A50:F50"/>
  </mergeCells>
  <pageMargins left="0.19685039370078741" right="0" top="0.19685039370078741" bottom="0" header="0" footer="0"/>
  <pageSetup paperSize="9" scale="78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626A1-D9B9-46BC-94D1-D98F7771FD38}">
  <dimension ref="A1:O93"/>
  <sheetViews>
    <sheetView workbookViewId="0">
      <selection activeCell="L78" sqref="L78"/>
    </sheetView>
  </sheetViews>
  <sheetFormatPr baseColWidth="10" defaultColWidth="11.44140625" defaultRowHeight="13.2" x14ac:dyDescent="0.25"/>
  <cols>
    <col min="1" max="1" width="39.88671875" style="7" customWidth="1"/>
    <col min="2" max="2" width="28.6640625" style="7" customWidth="1"/>
    <col min="3" max="3" width="24.88671875" style="19" customWidth="1"/>
    <col min="4" max="4" width="10.33203125" style="67" customWidth="1"/>
    <col min="5" max="5" width="11.6640625" style="7" customWidth="1"/>
    <col min="6" max="6" width="9.88671875" style="7" customWidth="1"/>
    <col min="7" max="7" width="13" style="7" customWidth="1"/>
    <col min="8" max="8" width="9.88671875" style="7" customWidth="1"/>
    <col min="9" max="9" width="10.6640625" style="67" customWidth="1"/>
    <col min="10" max="10" width="13" style="7" customWidth="1"/>
    <col min="11" max="11" width="7.33203125" style="7" customWidth="1"/>
    <col min="12" max="12" width="6.44140625" style="7" customWidth="1"/>
    <col min="13" max="13" width="10.109375" style="7" customWidth="1"/>
    <col min="14" max="14" width="24.33203125" style="59" customWidth="1"/>
    <col min="15" max="16" width="8" style="7" customWidth="1"/>
    <col min="17" max="16384" width="11.44140625" style="7"/>
  </cols>
  <sheetData>
    <row r="1" spans="1:15" ht="15" customHeight="1" x14ac:dyDescent="0.25">
      <c r="B1" s="8"/>
      <c r="C1" s="181"/>
      <c r="G1" s="8"/>
    </row>
    <row r="2" spans="1:15" ht="15" customHeight="1" x14ac:dyDescent="0.25">
      <c r="A2" s="30"/>
      <c r="B2" s="30"/>
      <c r="C2" s="30"/>
      <c r="D2" s="30"/>
      <c r="E2" s="30"/>
      <c r="F2" s="30"/>
      <c r="G2" s="24"/>
      <c r="H2" s="24"/>
      <c r="I2" s="195"/>
      <c r="J2" s="26"/>
      <c r="K2" s="27"/>
      <c r="L2" s="28"/>
      <c r="M2" s="29"/>
    </row>
    <row r="3" spans="1:15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195"/>
      <c r="J3" s="27"/>
      <c r="K3" s="27"/>
      <c r="L3" s="28"/>
      <c r="M3" s="29"/>
    </row>
    <row r="4" spans="1:15" ht="15" customHeight="1" x14ac:dyDescent="0.25">
      <c r="A4" s="30"/>
      <c r="B4" s="31" t="s">
        <v>1131</v>
      </c>
      <c r="C4" s="30"/>
      <c r="D4" s="64"/>
      <c r="E4" s="30"/>
      <c r="F4" s="30"/>
      <c r="G4" s="24"/>
      <c r="H4" s="25"/>
      <c r="I4" s="195"/>
      <c r="J4" s="27"/>
      <c r="K4" s="27"/>
      <c r="L4" s="28"/>
      <c r="M4" s="29"/>
    </row>
    <row r="5" spans="1:15" ht="15" customHeight="1" thickBot="1" x14ac:dyDescent="0.3">
      <c r="A5" s="30"/>
      <c r="B5" s="31" t="s">
        <v>22</v>
      </c>
      <c r="C5" s="30"/>
      <c r="D5" s="64"/>
      <c r="E5" s="30"/>
      <c r="F5" s="30"/>
      <c r="G5" s="32"/>
      <c r="H5" s="24"/>
      <c r="I5" s="64"/>
      <c r="J5" s="33"/>
      <c r="K5" s="27"/>
      <c r="L5" s="28"/>
      <c r="M5" s="29"/>
    </row>
    <row r="6" spans="1:15" ht="15" customHeight="1" x14ac:dyDescent="0.25">
      <c r="A6" s="34"/>
      <c r="B6" s="33"/>
      <c r="C6" s="182"/>
      <c r="D6" s="195"/>
      <c r="E6" s="33"/>
      <c r="F6" s="33"/>
      <c r="G6" s="35" t="s">
        <v>3</v>
      </c>
      <c r="H6" s="27"/>
      <c r="I6" s="195"/>
      <c r="J6" s="36" t="s">
        <v>4</v>
      </c>
      <c r="K6" s="56" t="s">
        <v>5</v>
      </c>
      <c r="L6" s="40" t="s">
        <v>6</v>
      </c>
      <c r="M6" s="36" t="s">
        <v>7</v>
      </c>
    </row>
    <row r="7" spans="1:15" ht="15" customHeight="1" x14ac:dyDescent="0.25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62" t="s">
        <v>13</v>
      </c>
      <c r="H7" s="13" t="s">
        <v>14</v>
      </c>
      <c r="I7" s="197" t="s">
        <v>15</v>
      </c>
      <c r="J7" s="14" t="s">
        <v>16</v>
      </c>
      <c r="K7" s="57"/>
      <c r="L7" s="58" t="s">
        <v>17</v>
      </c>
      <c r="M7" s="14" t="s">
        <v>39</v>
      </c>
    </row>
    <row r="8" spans="1:15" ht="15" customHeight="1" x14ac:dyDescent="0.25">
      <c r="A8" s="83" t="s">
        <v>86</v>
      </c>
      <c r="B8" s="55" t="s">
        <v>37</v>
      </c>
      <c r="C8" s="95" t="s">
        <v>567</v>
      </c>
      <c r="D8" s="85">
        <v>45446</v>
      </c>
      <c r="E8" s="86">
        <v>6974.4</v>
      </c>
      <c r="F8" s="86">
        <v>2092.3200000000002</v>
      </c>
      <c r="G8" s="94">
        <v>511.58</v>
      </c>
      <c r="H8" s="86">
        <v>732.31</v>
      </c>
      <c r="I8" s="106">
        <v>45839</v>
      </c>
      <c r="J8" s="50">
        <f>511.58/1.15</f>
        <v>444.85217391304349</v>
      </c>
      <c r="K8" s="47">
        <f t="shared" ref="K8:K31" si="0">+I8-D8</f>
        <v>393</v>
      </c>
      <c r="L8" s="5">
        <v>0</v>
      </c>
      <c r="M8" s="6">
        <f t="shared" ref="M8:M32" si="1">+J8*L8</f>
        <v>0</v>
      </c>
      <c r="O8" s="78"/>
    </row>
    <row r="9" spans="1:15" ht="15" customHeight="1" x14ac:dyDescent="0.25">
      <c r="A9" s="171" t="s">
        <v>90</v>
      </c>
      <c r="B9" s="160" t="s">
        <v>18</v>
      </c>
      <c r="C9" s="184" t="s">
        <v>1196</v>
      </c>
      <c r="D9" s="172">
        <v>45713</v>
      </c>
      <c r="E9" s="87">
        <v>93.12</v>
      </c>
      <c r="F9" s="87">
        <v>13.97</v>
      </c>
      <c r="G9" s="94">
        <v>91.02</v>
      </c>
      <c r="H9" s="217">
        <v>11.87</v>
      </c>
      <c r="I9" s="106">
        <v>45868</v>
      </c>
      <c r="J9" s="50">
        <f>+E9-F9</f>
        <v>79.150000000000006</v>
      </c>
      <c r="K9" s="47">
        <f t="shared" si="0"/>
        <v>155</v>
      </c>
      <c r="L9" s="5">
        <v>0.03</v>
      </c>
      <c r="M9" s="6">
        <f t="shared" si="1"/>
        <v>2.3745000000000003</v>
      </c>
      <c r="O9" s="78"/>
    </row>
    <row r="10" spans="1:15" ht="15" customHeight="1" x14ac:dyDescent="0.25">
      <c r="A10" s="171" t="s">
        <v>34</v>
      </c>
      <c r="B10" s="160" t="s">
        <v>18</v>
      </c>
      <c r="C10" s="184" t="s">
        <v>1134</v>
      </c>
      <c r="D10" s="172">
        <v>45722</v>
      </c>
      <c r="E10" s="87">
        <v>981.24</v>
      </c>
      <c r="F10" s="87">
        <v>147.19</v>
      </c>
      <c r="G10" s="94">
        <v>913.29</v>
      </c>
      <c r="H10" s="86">
        <v>125.11</v>
      </c>
      <c r="I10" s="105">
        <v>45845</v>
      </c>
      <c r="J10" s="50">
        <f>+E10-F10</f>
        <v>834.05</v>
      </c>
      <c r="K10" s="47">
        <f t="shared" si="0"/>
        <v>123</v>
      </c>
      <c r="L10" s="5">
        <v>0.03</v>
      </c>
      <c r="M10" s="6">
        <f t="shared" si="1"/>
        <v>25.021499999999996</v>
      </c>
      <c r="O10" s="78"/>
    </row>
    <row r="11" spans="1:15" ht="15" customHeight="1" x14ac:dyDescent="0.25">
      <c r="A11" s="171" t="s">
        <v>86</v>
      </c>
      <c r="B11" s="160" t="s">
        <v>37</v>
      </c>
      <c r="C11" s="184" t="s">
        <v>1135</v>
      </c>
      <c r="D11" s="172">
        <v>45740</v>
      </c>
      <c r="E11" s="87">
        <v>332.4</v>
      </c>
      <c r="F11" s="87">
        <v>83.1</v>
      </c>
      <c r="G11" s="94">
        <v>88.42</v>
      </c>
      <c r="H11" s="199">
        <v>37.4</v>
      </c>
      <c r="I11" s="216">
        <v>45839</v>
      </c>
      <c r="J11" s="50">
        <f>88.42/1.15</f>
        <v>76.886956521739137</v>
      </c>
      <c r="K11" s="47">
        <f t="shared" si="0"/>
        <v>99</v>
      </c>
      <c r="L11" s="5">
        <v>0.03</v>
      </c>
      <c r="M11" s="6">
        <f t="shared" si="1"/>
        <v>2.3066086956521739</v>
      </c>
      <c r="O11" s="78"/>
    </row>
    <row r="12" spans="1:15" ht="15" customHeight="1" x14ac:dyDescent="0.25">
      <c r="A12" s="171" t="s">
        <v>1086</v>
      </c>
      <c r="B12" s="160" t="s">
        <v>123</v>
      </c>
      <c r="C12" s="184" t="s">
        <v>1096</v>
      </c>
      <c r="D12" s="172">
        <v>45742</v>
      </c>
      <c r="E12" s="87">
        <v>403.92</v>
      </c>
      <c r="F12" s="87">
        <v>60.59</v>
      </c>
      <c r="G12" s="94">
        <v>150</v>
      </c>
      <c r="H12" s="215">
        <v>51.5</v>
      </c>
      <c r="I12" s="106">
        <v>45848</v>
      </c>
      <c r="J12" s="50">
        <f>150/1.15</f>
        <v>130.43478260869566</v>
      </c>
      <c r="K12" s="47">
        <f t="shared" si="0"/>
        <v>106</v>
      </c>
      <c r="L12" s="5">
        <v>0.03</v>
      </c>
      <c r="M12" s="6">
        <f t="shared" si="1"/>
        <v>3.9130434782608696</v>
      </c>
      <c r="O12" s="78"/>
    </row>
    <row r="13" spans="1:15" ht="15" customHeight="1" x14ac:dyDescent="0.25">
      <c r="A13" s="171" t="s">
        <v>34</v>
      </c>
      <c r="B13" s="160" t="s">
        <v>18</v>
      </c>
      <c r="C13" s="184" t="s">
        <v>1136</v>
      </c>
      <c r="D13" s="172">
        <v>45751</v>
      </c>
      <c r="E13" s="87">
        <v>306</v>
      </c>
      <c r="F13" s="87">
        <v>45.9</v>
      </c>
      <c r="G13" s="94">
        <v>282.86</v>
      </c>
      <c r="H13" s="87">
        <v>39.020000000000003</v>
      </c>
      <c r="I13" s="105">
        <v>45845</v>
      </c>
      <c r="J13" s="50">
        <f>+E13-F13</f>
        <v>260.10000000000002</v>
      </c>
      <c r="K13" s="47">
        <f t="shared" si="0"/>
        <v>94</v>
      </c>
      <c r="L13" s="5">
        <v>0.03</v>
      </c>
      <c r="M13" s="6">
        <f t="shared" si="1"/>
        <v>7.8030000000000008</v>
      </c>
      <c r="O13" s="78"/>
    </row>
    <row r="14" spans="1:15" ht="15" customHeight="1" x14ac:dyDescent="0.25">
      <c r="A14" s="171" t="s">
        <v>100</v>
      </c>
      <c r="B14" s="160" t="s">
        <v>75</v>
      </c>
      <c r="C14" s="184" t="s">
        <v>1137</v>
      </c>
      <c r="D14" s="172">
        <v>45756</v>
      </c>
      <c r="E14" s="87">
        <v>57.36</v>
      </c>
      <c r="F14" s="87">
        <v>8.6</v>
      </c>
      <c r="G14" s="94">
        <v>56.07</v>
      </c>
      <c r="H14" s="87">
        <v>7.31</v>
      </c>
      <c r="I14" s="216">
        <v>45867</v>
      </c>
      <c r="J14" s="50">
        <f>+E14-F14</f>
        <v>48.76</v>
      </c>
      <c r="K14" s="47">
        <f t="shared" si="0"/>
        <v>111</v>
      </c>
      <c r="L14" s="5">
        <v>0.03</v>
      </c>
      <c r="M14" s="6">
        <f t="shared" si="1"/>
        <v>1.4627999999999999</v>
      </c>
      <c r="O14" s="78"/>
    </row>
    <row r="15" spans="1:15" ht="15" customHeight="1" x14ac:dyDescent="0.25">
      <c r="A15" s="171" t="s">
        <v>89</v>
      </c>
      <c r="B15" s="160" t="s">
        <v>18</v>
      </c>
      <c r="C15" s="184" t="s">
        <v>1141</v>
      </c>
      <c r="D15" s="172">
        <v>45763</v>
      </c>
      <c r="E15" s="87">
        <v>717</v>
      </c>
      <c r="F15" s="87">
        <v>143.4</v>
      </c>
      <c r="G15" s="94">
        <v>623.79</v>
      </c>
      <c r="H15" s="86">
        <v>86.04</v>
      </c>
      <c r="I15" s="106">
        <v>45839</v>
      </c>
      <c r="J15" s="50">
        <f>+E15-F15</f>
        <v>573.6</v>
      </c>
      <c r="K15" s="47">
        <f t="shared" si="0"/>
        <v>76</v>
      </c>
      <c r="L15" s="5">
        <v>0.03</v>
      </c>
      <c r="M15" s="6">
        <f t="shared" si="1"/>
        <v>17.207999999999998</v>
      </c>
      <c r="O15" s="78"/>
    </row>
    <row r="16" spans="1:15" ht="15" customHeight="1" x14ac:dyDescent="0.25">
      <c r="A16" s="171" t="s">
        <v>52</v>
      </c>
      <c r="B16" s="160" t="s">
        <v>18</v>
      </c>
      <c r="C16" s="184" t="s">
        <v>1142</v>
      </c>
      <c r="D16" s="172">
        <v>45777</v>
      </c>
      <c r="E16" s="87">
        <v>612</v>
      </c>
      <c r="F16" s="87">
        <v>153</v>
      </c>
      <c r="G16" s="94">
        <v>502.6</v>
      </c>
      <c r="H16" s="87">
        <v>68.849999999999994</v>
      </c>
      <c r="I16" s="106">
        <v>45848</v>
      </c>
      <c r="J16" s="50">
        <f>+E16-F16</f>
        <v>459</v>
      </c>
      <c r="K16" s="47">
        <f t="shared" si="0"/>
        <v>71</v>
      </c>
      <c r="L16" s="5">
        <v>0.03</v>
      </c>
      <c r="M16" s="6">
        <f t="shared" si="1"/>
        <v>13.77</v>
      </c>
      <c r="O16" s="78"/>
    </row>
    <row r="17" spans="1:15" ht="15" customHeight="1" x14ac:dyDescent="0.25">
      <c r="A17" s="208" t="s">
        <v>106</v>
      </c>
      <c r="B17" s="160" t="s">
        <v>61</v>
      </c>
      <c r="C17" s="209" t="s">
        <v>1104</v>
      </c>
      <c r="D17" s="210">
        <v>45785.677662037</v>
      </c>
      <c r="E17" s="87">
        <v>954.24</v>
      </c>
      <c r="F17" s="87">
        <v>143.13999999999999</v>
      </c>
      <c r="G17" s="94">
        <v>532.77</v>
      </c>
      <c r="H17" s="87">
        <v>121.67</v>
      </c>
      <c r="I17" s="106">
        <v>45849</v>
      </c>
      <c r="J17" s="50">
        <f>532.77/1.15</f>
        <v>463.27826086956526</v>
      </c>
      <c r="K17" s="47">
        <f t="shared" si="0"/>
        <v>63.322337962999882</v>
      </c>
      <c r="L17" s="5">
        <v>0.03</v>
      </c>
      <c r="M17" s="6">
        <f t="shared" si="1"/>
        <v>13.898347826086956</v>
      </c>
      <c r="O17" s="78"/>
    </row>
    <row r="18" spans="1:15" ht="15" customHeight="1" x14ac:dyDescent="0.25">
      <c r="A18" s="205" t="s">
        <v>58</v>
      </c>
      <c r="B18" s="160" t="s">
        <v>59</v>
      </c>
      <c r="C18" s="206" t="s">
        <v>1145</v>
      </c>
      <c r="D18" s="207">
        <v>45798.358009258998</v>
      </c>
      <c r="E18" s="104">
        <v>570.24</v>
      </c>
      <c r="F18" s="104">
        <v>96.94</v>
      </c>
      <c r="G18" s="96">
        <v>536.01</v>
      </c>
      <c r="H18" s="104">
        <v>70.989999999999995</v>
      </c>
      <c r="I18" s="106">
        <v>45858</v>
      </c>
      <c r="J18" s="50">
        <f t="shared" ref="J18:J29" si="2">+E18-F18</f>
        <v>473.3</v>
      </c>
      <c r="K18" s="47">
        <f t="shared" si="0"/>
        <v>59.641990741001791</v>
      </c>
      <c r="L18" s="5">
        <v>0.03</v>
      </c>
      <c r="M18" s="6">
        <f t="shared" si="1"/>
        <v>14.199</v>
      </c>
      <c r="O18" s="78"/>
    </row>
    <row r="19" spans="1:15" ht="15" customHeight="1" x14ac:dyDescent="0.25">
      <c r="A19" s="208" t="s">
        <v>847</v>
      </c>
      <c r="B19" s="160" t="s">
        <v>18</v>
      </c>
      <c r="C19" s="209" t="s">
        <v>1146</v>
      </c>
      <c r="D19" s="210">
        <v>45803.428969907</v>
      </c>
      <c r="E19" s="87">
        <v>252</v>
      </c>
      <c r="F19" s="87">
        <v>37.799999999999997</v>
      </c>
      <c r="G19" s="94">
        <v>232.94</v>
      </c>
      <c r="H19" s="87">
        <v>32.130000000000003</v>
      </c>
      <c r="I19" s="106">
        <v>45846</v>
      </c>
      <c r="J19" s="50">
        <f t="shared" si="2"/>
        <v>214.2</v>
      </c>
      <c r="K19" s="47">
        <f t="shared" si="0"/>
        <v>42.571030093000445</v>
      </c>
      <c r="L19" s="5">
        <v>0.03</v>
      </c>
      <c r="M19" s="6">
        <f t="shared" si="1"/>
        <v>6.4259999999999993</v>
      </c>
      <c r="O19" s="78"/>
    </row>
    <row r="20" spans="1:15" ht="15" customHeight="1" x14ac:dyDescent="0.25">
      <c r="A20" s="171" t="s">
        <v>71</v>
      </c>
      <c r="B20" s="160" t="s">
        <v>24</v>
      </c>
      <c r="C20" s="184" t="s">
        <v>1148</v>
      </c>
      <c r="D20" s="172">
        <v>45821.358333333003</v>
      </c>
      <c r="E20" s="87">
        <v>3494.28</v>
      </c>
      <c r="F20" s="87">
        <v>873.57</v>
      </c>
      <c r="G20" s="94">
        <v>2850.03</v>
      </c>
      <c r="H20" s="87">
        <v>393.11</v>
      </c>
      <c r="I20" s="106">
        <v>45854</v>
      </c>
      <c r="J20" s="50">
        <f t="shared" si="2"/>
        <v>2620.71</v>
      </c>
      <c r="K20" s="47">
        <f t="shared" si="0"/>
        <v>32.64166666699748</v>
      </c>
      <c r="L20" s="5">
        <v>0.03</v>
      </c>
      <c r="M20" s="6">
        <f t="shared" si="1"/>
        <v>78.621300000000005</v>
      </c>
      <c r="O20" s="78"/>
    </row>
    <row r="21" spans="1:15" ht="15" customHeight="1" x14ac:dyDescent="0.25">
      <c r="A21" s="171" t="s">
        <v>35</v>
      </c>
      <c r="B21" s="160" t="s">
        <v>18</v>
      </c>
      <c r="C21" s="184" t="s">
        <v>1149</v>
      </c>
      <c r="D21" s="172">
        <v>45821.540555555999</v>
      </c>
      <c r="E21" s="87">
        <v>140.4</v>
      </c>
      <c r="F21" s="87">
        <v>21.06</v>
      </c>
      <c r="G21" s="94">
        <v>137.24</v>
      </c>
      <c r="H21" s="87">
        <v>17.899999999999999</v>
      </c>
      <c r="I21" s="106">
        <v>45853</v>
      </c>
      <c r="J21" s="50">
        <f t="shared" si="2"/>
        <v>119.34</v>
      </c>
      <c r="K21" s="47">
        <f t="shared" si="0"/>
        <v>31.459444444000837</v>
      </c>
      <c r="L21" s="5">
        <v>0.03</v>
      </c>
      <c r="M21" s="6">
        <f t="shared" si="1"/>
        <v>3.5802</v>
      </c>
      <c r="O21" s="78"/>
    </row>
    <row r="22" spans="1:15" ht="15" customHeight="1" x14ac:dyDescent="0.25">
      <c r="A22" s="173" t="s">
        <v>847</v>
      </c>
      <c r="B22" s="160" t="s">
        <v>18</v>
      </c>
      <c r="C22" s="183" t="s">
        <v>1150</v>
      </c>
      <c r="D22" s="174">
        <v>45827.351342593</v>
      </c>
      <c r="E22" s="104">
        <v>286.08</v>
      </c>
      <c r="F22" s="104">
        <v>42.91</v>
      </c>
      <c r="G22" s="96">
        <v>264.45</v>
      </c>
      <c r="H22" s="104">
        <v>36.479999999999997</v>
      </c>
      <c r="I22" s="106">
        <v>45860</v>
      </c>
      <c r="J22" s="50">
        <f t="shared" si="2"/>
        <v>243.17</v>
      </c>
      <c r="K22" s="47">
        <f t="shared" si="0"/>
        <v>32.648657407000428</v>
      </c>
      <c r="L22" s="5">
        <v>0.03</v>
      </c>
      <c r="M22" s="6">
        <f t="shared" si="1"/>
        <v>7.2950999999999997</v>
      </c>
      <c r="O22" s="78"/>
    </row>
    <row r="23" spans="1:15" ht="15" customHeight="1" x14ac:dyDescent="0.25">
      <c r="A23" s="171" t="s">
        <v>56</v>
      </c>
      <c r="B23" s="160" t="s">
        <v>57</v>
      </c>
      <c r="C23" s="184" t="s">
        <v>1151</v>
      </c>
      <c r="D23" s="172">
        <v>45831.558969906997</v>
      </c>
      <c r="E23" s="87">
        <v>203.16</v>
      </c>
      <c r="F23" s="87">
        <v>30.47</v>
      </c>
      <c r="G23" s="94">
        <v>198.59</v>
      </c>
      <c r="H23" s="87">
        <v>25.9</v>
      </c>
      <c r="I23" s="106">
        <v>45868</v>
      </c>
      <c r="J23" s="50">
        <f t="shared" si="2"/>
        <v>172.69</v>
      </c>
      <c r="K23" s="47">
        <f t="shared" si="0"/>
        <v>36.441030093003064</v>
      </c>
      <c r="L23" s="5">
        <v>0.03</v>
      </c>
      <c r="M23" s="6">
        <f t="shared" si="1"/>
        <v>5.1806999999999999</v>
      </c>
      <c r="O23" s="78"/>
    </row>
    <row r="24" spans="1:15" ht="15" customHeight="1" x14ac:dyDescent="0.25">
      <c r="A24" s="171" t="s">
        <v>116</v>
      </c>
      <c r="B24" s="160" t="s">
        <v>120</v>
      </c>
      <c r="C24" s="171" t="s">
        <v>1156</v>
      </c>
      <c r="D24" s="172">
        <v>45846.453912037003</v>
      </c>
      <c r="E24" s="87">
        <v>142.56</v>
      </c>
      <c r="F24" s="87">
        <v>21.38</v>
      </c>
      <c r="G24" s="94">
        <v>131.79000000000002</v>
      </c>
      <c r="H24" s="87">
        <v>18.18</v>
      </c>
      <c r="I24" s="106">
        <v>45860</v>
      </c>
      <c r="J24" s="50">
        <f t="shared" si="2"/>
        <v>121.18</v>
      </c>
      <c r="K24" s="47">
        <f t="shared" si="0"/>
        <v>13.546087962997262</v>
      </c>
      <c r="L24" s="5">
        <v>3.5000000000000003E-2</v>
      </c>
      <c r="M24" s="6">
        <f t="shared" si="1"/>
        <v>4.2413000000000007</v>
      </c>
      <c r="O24" s="78"/>
    </row>
    <row r="25" spans="1:15" ht="15" customHeight="1" x14ac:dyDescent="0.25">
      <c r="A25" s="171" t="s">
        <v>125</v>
      </c>
      <c r="B25" s="160" t="s">
        <v>18</v>
      </c>
      <c r="C25" s="171" t="s">
        <v>1157</v>
      </c>
      <c r="D25" s="172">
        <v>45848.354942129998</v>
      </c>
      <c r="E25" s="87">
        <v>81.599999999999994</v>
      </c>
      <c r="F25" s="87">
        <v>0</v>
      </c>
      <c r="G25" s="94">
        <v>93.84</v>
      </c>
      <c r="H25" s="87">
        <v>12.24</v>
      </c>
      <c r="I25" s="106">
        <v>45848</v>
      </c>
      <c r="J25" s="50">
        <f t="shared" si="2"/>
        <v>81.599999999999994</v>
      </c>
      <c r="K25" s="47">
        <f t="shared" si="0"/>
        <v>-0.35494212999765296</v>
      </c>
      <c r="L25" s="5">
        <v>0.04</v>
      </c>
      <c r="M25" s="6">
        <f t="shared" si="1"/>
        <v>3.2639999999999998</v>
      </c>
      <c r="O25" s="78"/>
    </row>
    <row r="26" spans="1:15" ht="15" customHeight="1" x14ac:dyDescent="0.25">
      <c r="A26" s="171" t="s">
        <v>60</v>
      </c>
      <c r="B26" s="160" t="s">
        <v>61</v>
      </c>
      <c r="C26" s="171" t="s">
        <v>1160</v>
      </c>
      <c r="D26" s="201">
        <v>45853.558252315001</v>
      </c>
      <c r="E26" s="87">
        <v>132.96</v>
      </c>
      <c r="F26" s="87">
        <v>19.940000000000001</v>
      </c>
      <c r="G26" s="94">
        <v>129.97</v>
      </c>
      <c r="H26" s="87">
        <v>16.95</v>
      </c>
      <c r="I26" s="106">
        <v>45868</v>
      </c>
      <c r="J26" s="50">
        <f t="shared" si="2"/>
        <v>113.02000000000001</v>
      </c>
      <c r="K26" s="47">
        <f t="shared" si="0"/>
        <v>14.441747684999427</v>
      </c>
      <c r="L26" s="5">
        <v>3.5000000000000003E-2</v>
      </c>
      <c r="M26" s="6">
        <f t="shared" si="1"/>
        <v>3.9557000000000007</v>
      </c>
      <c r="O26" s="78"/>
    </row>
    <row r="27" spans="1:15" ht="15" customHeight="1" x14ac:dyDescent="0.25">
      <c r="A27" s="171" t="s">
        <v>69</v>
      </c>
      <c r="B27" s="160" t="s">
        <v>64</v>
      </c>
      <c r="C27" s="171" t="s">
        <v>1161</v>
      </c>
      <c r="D27" s="201">
        <v>45853.672569444003</v>
      </c>
      <c r="E27" s="87">
        <v>52.800000000000004</v>
      </c>
      <c r="F27" s="87">
        <v>7.92</v>
      </c>
      <c r="G27" s="94">
        <v>51.61</v>
      </c>
      <c r="H27" s="87">
        <v>6.73</v>
      </c>
      <c r="I27" s="106">
        <v>45859</v>
      </c>
      <c r="J27" s="50">
        <f t="shared" si="2"/>
        <v>44.88</v>
      </c>
      <c r="K27" s="47">
        <f t="shared" si="0"/>
        <v>5.3274305559971253</v>
      </c>
      <c r="L27" s="5">
        <v>3.5000000000000003E-2</v>
      </c>
      <c r="M27" s="6">
        <f t="shared" si="1"/>
        <v>1.5708000000000002</v>
      </c>
      <c r="O27" s="78"/>
    </row>
    <row r="28" spans="1:15" ht="15" customHeight="1" x14ac:dyDescent="0.25">
      <c r="A28" s="171" t="s">
        <v>89</v>
      </c>
      <c r="B28" s="160" t="s">
        <v>18</v>
      </c>
      <c r="C28" s="171" t="s">
        <v>1162</v>
      </c>
      <c r="D28" s="201">
        <v>45855.603773148003</v>
      </c>
      <c r="E28" s="87">
        <v>30.6</v>
      </c>
      <c r="F28" s="87">
        <v>4.59</v>
      </c>
      <c r="G28" s="94">
        <v>28.28</v>
      </c>
      <c r="H28" s="87">
        <v>3.9</v>
      </c>
      <c r="I28" s="106">
        <v>45856</v>
      </c>
      <c r="J28" s="50">
        <f t="shared" si="2"/>
        <v>26.01</v>
      </c>
      <c r="K28" s="47">
        <f t="shared" si="0"/>
        <v>0.39622685199719854</v>
      </c>
      <c r="L28" s="5">
        <v>0.04</v>
      </c>
      <c r="M28" s="6">
        <f t="shared" si="1"/>
        <v>1.0404</v>
      </c>
      <c r="O28" s="78"/>
    </row>
    <row r="29" spans="1:15" ht="15" customHeight="1" x14ac:dyDescent="0.25">
      <c r="A29" s="171" t="s">
        <v>226</v>
      </c>
      <c r="B29" s="160" t="s">
        <v>18</v>
      </c>
      <c r="C29" s="171" t="s">
        <v>1163</v>
      </c>
      <c r="D29" s="201">
        <v>45855.603773148003</v>
      </c>
      <c r="E29" s="87">
        <v>297</v>
      </c>
      <c r="F29" s="87">
        <v>44.55</v>
      </c>
      <c r="G29" s="94">
        <v>290.32</v>
      </c>
      <c r="H29" s="87">
        <v>37.869999999999997</v>
      </c>
      <c r="I29" s="106">
        <v>45860</v>
      </c>
      <c r="J29" s="50">
        <f t="shared" si="2"/>
        <v>252.45</v>
      </c>
      <c r="K29" s="47">
        <f t="shared" si="0"/>
        <v>4.3962268519971985</v>
      </c>
      <c r="L29" s="5">
        <v>3.5000000000000003E-2</v>
      </c>
      <c r="M29" s="6">
        <f t="shared" si="1"/>
        <v>8.8357500000000009</v>
      </c>
      <c r="O29" s="78"/>
    </row>
    <row r="30" spans="1:15" ht="15" customHeight="1" x14ac:dyDescent="0.25">
      <c r="A30" s="171" t="s">
        <v>25</v>
      </c>
      <c r="B30" s="160" t="s">
        <v>30</v>
      </c>
      <c r="C30" s="171" t="s">
        <v>1164</v>
      </c>
      <c r="D30" s="201">
        <v>45855.603773148003</v>
      </c>
      <c r="E30" s="87">
        <v>3660.36</v>
      </c>
      <c r="F30" s="87">
        <v>915.09</v>
      </c>
      <c r="G30" s="94">
        <v>2485.48</v>
      </c>
      <c r="H30" s="87">
        <v>411.79</v>
      </c>
      <c r="I30" s="106">
        <v>45859</v>
      </c>
      <c r="J30" s="50">
        <f>2485.48/1.15</f>
        <v>2161.2869565217393</v>
      </c>
      <c r="K30" s="47">
        <f t="shared" si="0"/>
        <v>3.3962268519971985</v>
      </c>
      <c r="L30" s="5">
        <v>0.04</v>
      </c>
      <c r="M30" s="6">
        <f t="shared" si="1"/>
        <v>86.451478260869578</v>
      </c>
      <c r="O30" s="78"/>
    </row>
    <row r="31" spans="1:15" ht="15" customHeight="1" x14ac:dyDescent="0.25">
      <c r="A31" s="171" t="s">
        <v>802</v>
      </c>
      <c r="B31" s="160" t="s">
        <v>27</v>
      </c>
      <c r="C31" s="171" t="s">
        <v>1167</v>
      </c>
      <c r="D31" s="201">
        <v>45866.376446759001</v>
      </c>
      <c r="E31" s="87">
        <v>59.400000000000006</v>
      </c>
      <c r="F31" s="87">
        <v>8.91</v>
      </c>
      <c r="G31" s="94">
        <v>58.06</v>
      </c>
      <c r="H31" s="87">
        <v>7.57</v>
      </c>
      <c r="I31" s="106">
        <v>45867</v>
      </c>
      <c r="J31" s="50">
        <f>+E31-F31</f>
        <v>50.490000000000009</v>
      </c>
      <c r="K31" s="47">
        <f t="shared" si="0"/>
        <v>0.62355324099917198</v>
      </c>
      <c r="L31" s="5">
        <v>0.04</v>
      </c>
      <c r="M31" s="6">
        <f t="shared" si="1"/>
        <v>2.0196000000000005</v>
      </c>
      <c r="O31" s="78"/>
    </row>
    <row r="32" spans="1:15" ht="15" customHeight="1" x14ac:dyDescent="0.25">
      <c r="A32" s="171" t="s">
        <v>226</v>
      </c>
      <c r="B32" s="160" t="s">
        <v>18</v>
      </c>
      <c r="C32" s="171" t="s">
        <v>1197</v>
      </c>
      <c r="D32" s="201">
        <v>45868.611828704001</v>
      </c>
      <c r="E32" s="87">
        <v>115.2</v>
      </c>
      <c r="F32" s="87">
        <v>17.28</v>
      </c>
      <c r="G32" s="94">
        <v>112.61</v>
      </c>
      <c r="H32" s="87">
        <v>14.69</v>
      </c>
      <c r="I32" s="106">
        <v>45868</v>
      </c>
      <c r="J32" s="50">
        <f>+E32-F32</f>
        <v>97.92</v>
      </c>
      <c r="K32" s="47">
        <v>0</v>
      </c>
      <c r="L32" s="5">
        <v>0.04</v>
      </c>
      <c r="M32" s="6">
        <f t="shared" si="1"/>
        <v>3.9168000000000003</v>
      </c>
      <c r="O32" s="78"/>
    </row>
    <row r="33" spans="1:15" ht="15" customHeight="1" x14ac:dyDescent="0.25">
      <c r="A33" s="171"/>
      <c r="B33" s="160"/>
      <c r="C33" s="184"/>
      <c r="D33" s="201"/>
      <c r="E33" s="87"/>
      <c r="F33" s="87"/>
      <c r="G33" s="94"/>
      <c r="H33" s="87"/>
      <c r="I33" s="106"/>
      <c r="J33" s="50"/>
      <c r="K33" s="47"/>
      <c r="L33" s="5"/>
      <c r="M33" s="6"/>
      <c r="O33" s="78"/>
    </row>
    <row r="34" spans="1:15" ht="15" customHeight="1" x14ac:dyDescent="0.25">
      <c r="A34" s="171"/>
      <c r="B34" s="160"/>
      <c r="C34" s="184"/>
      <c r="D34" s="201"/>
      <c r="E34" s="87"/>
      <c r="F34" s="87"/>
      <c r="G34" s="94"/>
      <c r="H34" s="87"/>
      <c r="I34" s="106"/>
      <c r="J34" s="50"/>
      <c r="K34" s="47"/>
      <c r="L34" s="5"/>
      <c r="M34" s="6"/>
      <c r="O34" s="78"/>
    </row>
    <row r="35" spans="1:15" ht="15" customHeight="1" x14ac:dyDescent="0.25">
      <c r="A35" s="171"/>
      <c r="B35" s="160"/>
      <c r="C35" s="184"/>
      <c r="D35" s="201"/>
      <c r="E35" s="87"/>
      <c r="F35" s="87"/>
      <c r="G35" s="94"/>
      <c r="H35" s="87"/>
      <c r="I35" s="106"/>
      <c r="J35" s="50"/>
      <c r="K35" s="47"/>
      <c r="L35" s="5"/>
      <c r="M35" s="6"/>
      <c r="O35" s="78"/>
    </row>
    <row r="36" spans="1:15" ht="15" customHeight="1" x14ac:dyDescent="0.25">
      <c r="A36" s="208"/>
      <c r="B36" s="160"/>
      <c r="C36" s="209"/>
      <c r="D36" s="210"/>
      <c r="E36" s="87"/>
      <c r="F36" s="87"/>
      <c r="G36" s="211"/>
      <c r="H36" s="87"/>
      <c r="I36" s="210"/>
      <c r="J36" s="50"/>
      <c r="K36" s="47"/>
      <c r="L36" s="5"/>
      <c r="M36" s="6"/>
      <c r="O36" s="78"/>
    </row>
    <row r="37" spans="1:15" ht="15" customHeight="1" x14ac:dyDescent="0.25">
      <c r="A37" s="115"/>
      <c r="B37" s="136"/>
      <c r="C37" s="117"/>
      <c r="D37" s="118"/>
      <c r="E37" s="119"/>
      <c r="F37" s="119"/>
      <c r="G37" s="120"/>
      <c r="H37" s="119"/>
      <c r="I37" s="121"/>
      <c r="J37" s="50"/>
      <c r="K37" s="47"/>
      <c r="L37" s="5"/>
      <c r="M37" s="6"/>
      <c r="O37" s="78"/>
    </row>
    <row r="38" spans="1:15" ht="15" customHeight="1" x14ac:dyDescent="0.3">
      <c r="G38" s="16">
        <f>SUM(G8:G37)</f>
        <v>11353.619999999999</v>
      </c>
      <c r="J38" s="16">
        <f>SUM(J8:J37)</f>
        <v>10162.359130434785</v>
      </c>
      <c r="M38" s="16">
        <f>SUM(M8:M37)</f>
        <v>318.35592826086963</v>
      </c>
    </row>
    <row r="39" spans="1:15" ht="15" customHeight="1" x14ac:dyDescent="0.25">
      <c r="G39" s="8"/>
      <c r="H39" s="8"/>
    </row>
    <row r="40" spans="1:15" ht="15" customHeight="1" x14ac:dyDescent="0.25">
      <c r="A40" s="17" t="s">
        <v>19</v>
      </c>
      <c r="B40" s="17" t="s">
        <v>20</v>
      </c>
      <c r="C40" s="18" t="s">
        <v>21</v>
      </c>
      <c r="I40" s="181"/>
      <c r="J40" s="8"/>
    </row>
    <row r="41" spans="1:15" s="52" customFormat="1" ht="15" x14ac:dyDescent="0.25">
      <c r="A41" s="101" t="s">
        <v>1132</v>
      </c>
      <c r="B41" s="101" t="s">
        <v>1168</v>
      </c>
      <c r="C41" s="102" t="s">
        <v>1138</v>
      </c>
      <c r="D41" s="105">
        <v>45756</v>
      </c>
      <c r="E41" s="92">
        <v>462.24</v>
      </c>
      <c r="F41" s="92">
        <v>69.34</v>
      </c>
      <c r="G41" s="90">
        <v>451.84</v>
      </c>
      <c r="H41" s="92">
        <v>58.94</v>
      </c>
      <c r="I41" s="105">
        <v>45874</v>
      </c>
      <c r="J41" s="50">
        <f>+E41-F41</f>
        <v>392.9</v>
      </c>
      <c r="K41" s="47">
        <f>+I41-D41</f>
        <v>118</v>
      </c>
      <c r="L41" s="48">
        <v>0.03</v>
      </c>
      <c r="M41" s="49">
        <f>+J41*L41</f>
        <v>11.786999999999999</v>
      </c>
      <c r="N41" s="60"/>
      <c r="O41" s="78"/>
    </row>
    <row r="42" spans="1:15" s="52" customFormat="1" ht="15" x14ac:dyDescent="0.25">
      <c r="A42" s="101" t="s">
        <v>1132</v>
      </c>
      <c r="B42" s="101" t="s">
        <v>1169</v>
      </c>
      <c r="C42" s="102" t="s">
        <v>1139</v>
      </c>
      <c r="D42" s="105">
        <v>45756</v>
      </c>
      <c r="E42" s="92">
        <v>463.91999999999996</v>
      </c>
      <c r="F42" s="92">
        <v>69.59</v>
      </c>
      <c r="G42" s="90">
        <v>453.48</v>
      </c>
      <c r="H42" s="92">
        <v>59.15</v>
      </c>
      <c r="I42" s="105">
        <v>45874</v>
      </c>
      <c r="J42" s="50">
        <f t="shared" ref="J42:J53" si="3">+E42-F42</f>
        <v>394.32999999999993</v>
      </c>
      <c r="K42" s="47">
        <f t="shared" ref="K42:K54" si="4">+I42-D42</f>
        <v>118</v>
      </c>
      <c r="L42" s="48">
        <v>0.03</v>
      </c>
      <c r="M42" s="49">
        <f t="shared" ref="M42:M54" si="5">+J42*L42</f>
        <v>11.829899999999997</v>
      </c>
      <c r="N42" s="60"/>
      <c r="O42" s="78"/>
    </row>
    <row r="43" spans="1:15" s="52" customFormat="1" ht="15" x14ac:dyDescent="0.25">
      <c r="A43" s="101" t="s">
        <v>1133</v>
      </c>
      <c r="B43" s="101" t="s">
        <v>1170</v>
      </c>
      <c r="C43" s="102" t="s">
        <v>1140</v>
      </c>
      <c r="D43" s="105">
        <v>45757</v>
      </c>
      <c r="E43" s="92">
        <v>321.12</v>
      </c>
      <c r="F43" s="92">
        <v>48.17</v>
      </c>
      <c r="G43" s="90">
        <v>296.83</v>
      </c>
      <c r="H43" s="92">
        <v>40.94</v>
      </c>
      <c r="I43" s="105">
        <v>45874</v>
      </c>
      <c r="J43" s="50">
        <f t="shared" si="3"/>
        <v>272.95</v>
      </c>
      <c r="K43" s="47">
        <f t="shared" si="4"/>
        <v>117</v>
      </c>
      <c r="L43" s="48">
        <v>0.03</v>
      </c>
      <c r="M43" s="49">
        <f t="shared" si="5"/>
        <v>8.1884999999999994</v>
      </c>
      <c r="N43" s="60"/>
      <c r="O43" s="78"/>
    </row>
    <row r="44" spans="1:15" s="52" customFormat="1" ht="15" x14ac:dyDescent="0.25">
      <c r="A44" s="202" t="s">
        <v>1037</v>
      </c>
      <c r="B44" s="101" t="s">
        <v>1171</v>
      </c>
      <c r="C44" s="203" t="s">
        <v>1143</v>
      </c>
      <c r="D44" s="204">
        <v>45791.509803241002</v>
      </c>
      <c r="E44" s="92">
        <v>468</v>
      </c>
      <c r="F44" s="92">
        <v>70.2</v>
      </c>
      <c r="G44" s="90">
        <v>432.61</v>
      </c>
      <c r="H44" s="92">
        <v>59.67</v>
      </c>
      <c r="I44" s="204">
        <v>45926</v>
      </c>
      <c r="J44" s="50">
        <f t="shared" si="3"/>
        <v>397.8</v>
      </c>
      <c r="K44" s="47">
        <f t="shared" si="4"/>
        <v>134.49019675899763</v>
      </c>
      <c r="L44" s="48">
        <v>0.03</v>
      </c>
      <c r="M44" s="49">
        <f t="shared" si="5"/>
        <v>11.933999999999999</v>
      </c>
      <c r="N44" s="60"/>
      <c r="O44" s="78"/>
    </row>
    <row r="45" spans="1:15" s="52" customFormat="1" ht="15" x14ac:dyDescent="0.25">
      <c r="A45" s="202" t="s">
        <v>1037</v>
      </c>
      <c r="B45" s="101" t="s">
        <v>1171</v>
      </c>
      <c r="C45" s="203" t="s">
        <v>1144</v>
      </c>
      <c r="D45" s="204">
        <v>45792.472812499997</v>
      </c>
      <c r="E45" s="92">
        <v>1370.6399999999999</v>
      </c>
      <c r="F45" s="92">
        <v>205.6</v>
      </c>
      <c r="G45" s="90">
        <v>1266.98</v>
      </c>
      <c r="H45" s="92">
        <v>174.76</v>
      </c>
      <c r="I45" s="204">
        <v>45926</v>
      </c>
      <c r="J45" s="50">
        <f t="shared" ref="J45:J52" si="6">+E45-F45</f>
        <v>1165.04</v>
      </c>
      <c r="K45" s="47">
        <f t="shared" ref="K45:K52" si="7">+I45-D45</f>
        <v>133.52718750000349</v>
      </c>
      <c r="L45" s="48">
        <v>0.03</v>
      </c>
      <c r="M45" s="49">
        <f t="shared" ref="M45:M52" si="8">+J45*L45</f>
        <v>34.9512</v>
      </c>
      <c r="N45" s="60"/>
      <c r="O45" s="78"/>
    </row>
    <row r="46" spans="1:15" s="52" customFormat="1" ht="15" x14ac:dyDescent="0.25">
      <c r="A46" s="101" t="s">
        <v>42</v>
      </c>
      <c r="B46" s="101" t="s">
        <v>1172</v>
      </c>
      <c r="C46" s="102" t="s">
        <v>1147</v>
      </c>
      <c r="D46" s="105">
        <v>45820.435752315003</v>
      </c>
      <c r="E46" s="92">
        <v>337.8</v>
      </c>
      <c r="F46" s="92">
        <v>50.67</v>
      </c>
      <c r="G46" s="90">
        <v>312.26</v>
      </c>
      <c r="H46" s="92">
        <v>43.07</v>
      </c>
      <c r="I46" s="105">
        <v>45884</v>
      </c>
      <c r="J46" s="50">
        <f t="shared" si="6"/>
        <v>287.13</v>
      </c>
      <c r="K46" s="47">
        <f t="shared" si="7"/>
        <v>63.564247684997099</v>
      </c>
      <c r="L46" s="48">
        <v>0.03</v>
      </c>
      <c r="M46" s="49">
        <f t="shared" si="8"/>
        <v>8.6138999999999992</v>
      </c>
      <c r="N46" s="60"/>
      <c r="O46" s="78"/>
    </row>
    <row r="47" spans="1:15" s="52" customFormat="1" ht="15" x14ac:dyDescent="0.25">
      <c r="A47" s="101" t="s">
        <v>42</v>
      </c>
      <c r="B47" s="101" t="s">
        <v>1173</v>
      </c>
      <c r="C47" s="102" t="s">
        <v>1152</v>
      </c>
      <c r="D47" s="105">
        <v>45832.531342593</v>
      </c>
      <c r="E47" s="92">
        <v>228</v>
      </c>
      <c r="F47" s="92">
        <v>34.200000000000003</v>
      </c>
      <c r="G47" s="90">
        <v>210.76</v>
      </c>
      <c r="H47" s="92">
        <v>29.07</v>
      </c>
      <c r="I47" s="105">
        <v>45897</v>
      </c>
      <c r="J47" s="50">
        <f t="shared" si="6"/>
        <v>193.8</v>
      </c>
      <c r="K47" s="47">
        <f t="shared" si="7"/>
        <v>64.468657407000137</v>
      </c>
      <c r="L47" s="48">
        <v>0.03</v>
      </c>
      <c r="M47" s="49">
        <f t="shared" si="8"/>
        <v>5.8140000000000001</v>
      </c>
      <c r="N47" s="60"/>
      <c r="O47" s="78"/>
    </row>
    <row r="48" spans="1:15" s="52" customFormat="1" ht="15" x14ac:dyDescent="0.25">
      <c r="A48" s="101" t="s">
        <v>42</v>
      </c>
      <c r="B48" s="101" t="s">
        <v>1173</v>
      </c>
      <c r="C48" s="102" t="s">
        <v>1153</v>
      </c>
      <c r="D48" s="105">
        <v>45834.611226852001</v>
      </c>
      <c r="E48" s="92">
        <v>22.799999999999997</v>
      </c>
      <c r="F48" s="92">
        <v>3.42</v>
      </c>
      <c r="G48" s="90">
        <v>21.08</v>
      </c>
      <c r="H48" s="92">
        <v>2.91</v>
      </c>
      <c r="I48" s="105">
        <v>45897</v>
      </c>
      <c r="J48" s="50">
        <f t="shared" si="6"/>
        <v>19.379999999999995</v>
      </c>
      <c r="K48" s="47">
        <f t="shared" si="7"/>
        <v>62.388773147999018</v>
      </c>
      <c r="L48" s="48">
        <v>0.03</v>
      </c>
      <c r="M48" s="49">
        <f t="shared" si="8"/>
        <v>0.58139999999999981</v>
      </c>
      <c r="N48" s="60"/>
      <c r="O48" s="78"/>
    </row>
    <row r="49" spans="1:15" s="52" customFormat="1" ht="15" x14ac:dyDescent="0.25">
      <c r="A49" s="101" t="s">
        <v>52</v>
      </c>
      <c r="B49" s="101" t="s">
        <v>1174</v>
      </c>
      <c r="C49" s="102" t="s">
        <v>1154</v>
      </c>
      <c r="D49" s="105">
        <v>45841.433611111002</v>
      </c>
      <c r="E49" s="92">
        <v>865.8</v>
      </c>
      <c r="F49" s="92">
        <v>216.45</v>
      </c>
      <c r="G49" s="90">
        <v>711.04</v>
      </c>
      <c r="H49" s="92">
        <v>97.4</v>
      </c>
      <c r="I49" s="105">
        <v>45906</v>
      </c>
      <c r="J49" s="50">
        <f t="shared" si="6"/>
        <v>649.34999999999991</v>
      </c>
      <c r="K49" s="47">
        <f t="shared" si="7"/>
        <v>64.566388888997608</v>
      </c>
      <c r="L49" s="48">
        <v>0.03</v>
      </c>
      <c r="M49" s="49">
        <f t="shared" si="8"/>
        <v>19.480499999999996</v>
      </c>
      <c r="N49" s="60"/>
      <c r="O49" s="78"/>
    </row>
    <row r="50" spans="1:15" s="52" customFormat="1" ht="15" x14ac:dyDescent="0.25">
      <c r="A50" s="101" t="s">
        <v>38</v>
      </c>
      <c r="B50" s="101" t="s">
        <v>1175</v>
      </c>
      <c r="C50" s="101" t="s">
        <v>1155</v>
      </c>
      <c r="D50" s="105">
        <v>45846.423402777997</v>
      </c>
      <c r="E50" s="92">
        <v>122.4</v>
      </c>
      <c r="F50" s="92">
        <v>26.93</v>
      </c>
      <c r="G50" s="90">
        <v>103.82000000000001</v>
      </c>
      <c r="H50" s="92">
        <v>14.32</v>
      </c>
      <c r="I50" s="105">
        <v>45877</v>
      </c>
      <c r="J50" s="50">
        <f t="shared" si="6"/>
        <v>95.47</v>
      </c>
      <c r="K50" s="47">
        <f t="shared" si="7"/>
        <v>30.576597222003329</v>
      </c>
      <c r="L50" s="48">
        <v>0.03</v>
      </c>
      <c r="M50" s="49">
        <f t="shared" si="8"/>
        <v>2.8640999999999996</v>
      </c>
      <c r="N50" s="60"/>
      <c r="O50" s="78"/>
    </row>
    <row r="51" spans="1:15" s="52" customFormat="1" ht="15" x14ac:dyDescent="0.25">
      <c r="A51" s="101" t="s">
        <v>43</v>
      </c>
      <c r="B51" s="101" t="s">
        <v>1176</v>
      </c>
      <c r="C51" s="101" t="s">
        <v>1158</v>
      </c>
      <c r="D51" s="105">
        <v>45849.468113426003</v>
      </c>
      <c r="E51" s="92">
        <v>83.600000000000009</v>
      </c>
      <c r="F51" s="92">
        <v>10.87</v>
      </c>
      <c r="G51" s="90">
        <v>83.64</v>
      </c>
      <c r="H51" s="92">
        <v>10.91</v>
      </c>
      <c r="I51" s="105">
        <v>45882</v>
      </c>
      <c r="J51" s="50">
        <f t="shared" si="6"/>
        <v>72.73</v>
      </c>
      <c r="K51" s="47">
        <f t="shared" si="7"/>
        <v>32.531886573997326</v>
      </c>
      <c r="L51" s="48">
        <v>0.03</v>
      </c>
      <c r="M51" s="49">
        <f t="shared" si="8"/>
        <v>2.1819000000000002</v>
      </c>
      <c r="N51" s="60"/>
      <c r="O51" s="78"/>
    </row>
    <row r="52" spans="1:15" s="52" customFormat="1" ht="15" x14ac:dyDescent="0.25">
      <c r="A52" s="101" t="s">
        <v>46</v>
      </c>
      <c r="B52" s="101" t="s">
        <v>1177</v>
      </c>
      <c r="C52" s="101" t="s">
        <v>1159</v>
      </c>
      <c r="D52" s="105">
        <v>45849.520902778</v>
      </c>
      <c r="E52" s="92">
        <v>975.83999999999992</v>
      </c>
      <c r="F52" s="92">
        <v>195.17</v>
      </c>
      <c r="G52" s="90">
        <v>854.82999999999993</v>
      </c>
      <c r="H52" s="92">
        <v>117.1</v>
      </c>
      <c r="I52" s="105">
        <v>45899</v>
      </c>
      <c r="J52" s="50">
        <f t="shared" si="6"/>
        <v>780.67</v>
      </c>
      <c r="K52" s="47">
        <f t="shared" si="7"/>
        <v>49.479097221999837</v>
      </c>
      <c r="L52" s="48">
        <v>0.03</v>
      </c>
      <c r="M52" s="49">
        <f t="shared" si="8"/>
        <v>23.420099999999998</v>
      </c>
      <c r="N52" s="60"/>
      <c r="O52" s="78"/>
    </row>
    <row r="53" spans="1:15" s="52" customFormat="1" ht="15" x14ac:dyDescent="0.25">
      <c r="A53" s="101" t="s">
        <v>1003</v>
      </c>
      <c r="B53" s="101" t="s">
        <v>1178</v>
      </c>
      <c r="C53" s="101" t="s">
        <v>1165</v>
      </c>
      <c r="D53" s="214">
        <v>45859.380613426001</v>
      </c>
      <c r="E53" s="92">
        <v>52.800000000000004</v>
      </c>
      <c r="F53" s="92">
        <v>7.92</v>
      </c>
      <c r="G53" s="90">
        <v>51.61</v>
      </c>
      <c r="H53" s="92">
        <v>6.73</v>
      </c>
      <c r="I53" s="105">
        <v>45870</v>
      </c>
      <c r="J53" s="50">
        <f t="shared" si="3"/>
        <v>44.88</v>
      </c>
      <c r="K53" s="47">
        <f t="shared" si="4"/>
        <v>10.619386573998781</v>
      </c>
      <c r="L53" s="48">
        <v>0.03</v>
      </c>
      <c r="M53" s="49">
        <f t="shared" si="5"/>
        <v>1.3464</v>
      </c>
      <c r="N53" s="60"/>
      <c r="O53" s="78"/>
    </row>
    <row r="54" spans="1:15" s="52" customFormat="1" ht="15" customHeight="1" x14ac:dyDescent="0.25">
      <c r="A54" s="101" t="s">
        <v>52</v>
      </c>
      <c r="B54" s="101" t="s">
        <v>1174</v>
      </c>
      <c r="C54" s="101" t="s">
        <v>1166</v>
      </c>
      <c r="D54" s="214">
        <v>45861.626956018998</v>
      </c>
      <c r="E54" s="92">
        <v>174</v>
      </c>
      <c r="F54" s="92">
        <v>43.5</v>
      </c>
      <c r="G54" s="90">
        <v>142.9</v>
      </c>
      <c r="H54" s="92">
        <v>19.579999999999998</v>
      </c>
      <c r="I54" s="105">
        <v>45906</v>
      </c>
      <c r="J54" s="50">
        <f>+E54-F54</f>
        <v>130.5</v>
      </c>
      <c r="K54" s="47">
        <f t="shared" si="4"/>
        <v>44.373043981002411</v>
      </c>
      <c r="L54" s="48">
        <v>0.03</v>
      </c>
      <c r="M54" s="49">
        <f t="shared" si="5"/>
        <v>3.915</v>
      </c>
      <c r="N54" s="60"/>
      <c r="O54" s="78"/>
    </row>
    <row r="55" spans="1:15" s="52" customFormat="1" ht="15" customHeight="1" x14ac:dyDescent="0.25">
      <c r="A55" s="202"/>
      <c r="B55" s="101"/>
      <c r="C55" s="203"/>
      <c r="D55" s="204"/>
      <c r="E55" s="104"/>
      <c r="F55" s="104"/>
      <c r="G55" s="96"/>
      <c r="H55" s="104"/>
      <c r="I55" s="106"/>
      <c r="J55" s="50"/>
      <c r="K55" s="47"/>
      <c r="L55" s="48"/>
      <c r="M55" s="49"/>
      <c r="N55" s="60"/>
      <c r="O55" s="78"/>
    </row>
    <row r="56" spans="1:15" s="1" customFormat="1" ht="15" customHeight="1" thickBot="1" x14ac:dyDescent="0.3">
      <c r="A56" s="152"/>
      <c r="B56" s="153"/>
      <c r="C56" s="154"/>
      <c r="D56" s="155"/>
      <c r="E56" s="156"/>
      <c r="F56" s="156"/>
      <c r="G56" s="90"/>
      <c r="H56" s="92"/>
      <c r="I56" s="105"/>
      <c r="J56" s="50"/>
      <c r="K56" s="47"/>
      <c r="L56" s="48"/>
      <c r="M56" s="53"/>
      <c r="N56" s="74"/>
      <c r="O56" s="78"/>
    </row>
    <row r="57" spans="1:15" ht="15" customHeight="1" thickBot="1" x14ac:dyDescent="0.35">
      <c r="A57" s="332" t="s">
        <v>29</v>
      </c>
      <c r="B57" s="332"/>
      <c r="C57" s="332"/>
      <c r="D57" s="332"/>
      <c r="E57" s="332"/>
      <c r="F57" s="332"/>
      <c r="G57" s="16">
        <f>SUM(G38:G56)</f>
        <v>16747.300000000003</v>
      </c>
      <c r="J57" s="16">
        <f>SUM(J38:J56)</f>
        <v>15059.28913043478</v>
      </c>
      <c r="L57" s="20"/>
      <c r="M57" s="21">
        <f>SUM(M38:M56)</f>
        <v>465.26382826086967</v>
      </c>
    </row>
    <row r="58" spans="1:15" ht="15" customHeight="1" x14ac:dyDescent="0.3">
      <c r="A58" s="22"/>
      <c r="G58" s="8"/>
    </row>
    <row r="59" spans="1:15" ht="15" customHeight="1" x14ac:dyDescent="0.3">
      <c r="A59" s="39"/>
      <c r="G59" s="8"/>
      <c r="J59" s="8"/>
    </row>
    <row r="60" spans="1:15" ht="15" customHeight="1" x14ac:dyDescent="0.3">
      <c r="A60" s="39"/>
      <c r="G60" s="8"/>
      <c r="J60" s="8"/>
    </row>
    <row r="61" spans="1:15" ht="15" customHeight="1" x14ac:dyDescent="0.3">
      <c r="A61" s="39"/>
      <c r="G61" s="8"/>
      <c r="J61" s="8"/>
    </row>
    <row r="62" spans="1:15" ht="15" customHeight="1" x14ac:dyDescent="0.3">
      <c r="A62" s="39"/>
      <c r="G62" s="8"/>
      <c r="J62" s="8"/>
      <c r="M62" s="185">
        <f>M57/12</f>
        <v>38.771985688405806</v>
      </c>
      <c r="N62" s="59" t="s">
        <v>1505</v>
      </c>
    </row>
    <row r="63" spans="1:15" ht="15" customHeight="1" x14ac:dyDescent="0.3">
      <c r="A63" s="39"/>
      <c r="G63" s="8"/>
      <c r="J63" s="8"/>
      <c r="M63" s="185">
        <f>M57/24</f>
        <v>19.385992844202903</v>
      </c>
      <c r="N63" s="59" t="s">
        <v>1505</v>
      </c>
    </row>
    <row r="64" spans="1:15" ht="15" customHeight="1" x14ac:dyDescent="0.25">
      <c r="A64" s="30" t="s">
        <v>0</v>
      </c>
      <c r="B64" s="30"/>
      <c r="C64" s="30"/>
      <c r="D64" s="30"/>
      <c r="E64" s="30"/>
      <c r="F64" s="30"/>
      <c r="G64" s="24"/>
      <c r="H64" s="25"/>
      <c r="I64" s="65"/>
      <c r="J64" s="26"/>
      <c r="K64" s="27"/>
      <c r="L64" s="28"/>
    </row>
    <row r="65" spans="1:15" ht="15" customHeight="1" x14ac:dyDescent="0.25">
      <c r="A65" s="30" t="s">
        <v>1</v>
      </c>
      <c r="B65" s="30"/>
      <c r="C65" s="30"/>
      <c r="D65" s="30"/>
      <c r="E65" s="30"/>
      <c r="F65" s="30"/>
      <c r="G65" s="24"/>
      <c r="H65" s="25"/>
      <c r="I65" s="65"/>
      <c r="J65" s="27"/>
      <c r="K65" s="27"/>
      <c r="L65" s="28"/>
    </row>
    <row r="66" spans="1:15" ht="15" customHeight="1" x14ac:dyDescent="0.25">
      <c r="A66" s="30"/>
      <c r="B66" s="31" t="s">
        <v>1131</v>
      </c>
      <c r="C66" s="30"/>
      <c r="D66" s="64"/>
      <c r="E66" s="30"/>
      <c r="F66" s="30"/>
      <c r="G66" s="24"/>
      <c r="H66" s="25"/>
      <c r="I66" s="65"/>
      <c r="J66" s="27"/>
      <c r="K66" s="27"/>
      <c r="L66" s="28"/>
      <c r="M66" s="29"/>
    </row>
    <row r="67" spans="1:15" ht="15" customHeight="1" thickBot="1" x14ac:dyDescent="0.3">
      <c r="A67" s="30"/>
      <c r="B67" s="31" t="s">
        <v>1130</v>
      </c>
      <c r="C67" s="30"/>
      <c r="D67" s="64"/>
      <c r="E67" s="30"/>
      <c r="F67" s="30"/>
      <c r="G67" s="32"/>
      <c r="H67" s="24"/>
      <c r="I67" s="69"/>
      <c r="J67" s="33"/>
      <c r="K67" s="27"/>
      <c r="L67" s="28"/>
      <c r="M67" s="29"/>
    </row>
    <row r="68" spans="1:15" ht="15" customHeight="1" x14ac:dyDescent="0.25">
      <c r="A68" s="34" t="s">
        <v>66</v>
      </c>
      <c r="B68" s="33"/>
      <c r="C68" s="33"/>
      <c r="D68" s="65"/>
      <c r="E68" s="33"/>
      <c r="F68" s="33"/>
      <c r="G68" s="35" t="s">
        <v>3</v>
      </c>
      <c r="H68" s="27"/>
      <c r="I68" s="65"/>
      <c r="J68" s="36" t="s">
        <v>4</v>
      </c>
      <c r="K68" s="56" t="s">
        <v>5</v>
      </c>
      <c r="L68" s="40" t="s">
        <v>6</v>
      </c>
      <c r="M68" s="36" t="s">
        <v>7</v>
      </c>
      <c r="O68" s="8"/>
    </row>
    <row r="69" spans="1:15" ht="15" customHeight="1" thickBot="1" x14ac:dyDescent="0.3">
      <c r="A69" s="11" t="s">
        <v>8</v>
      </c>
      <c r="B69" s="11" t="s">
        <v>9</v>
      </c>
      <c r="C69" s="11" t="s">
        <v>10</v>
      </c>
      <c r="D69" s="66" t="s">
        <v>11</v>
      </c>
      <c r="E69" s="11" t="s">
        <v>12</v>
      </c>
      <c r="F69" s="54" t="s">
        <v>50</v>
      </c>
      <c r="G69" s="12" t="s">
        <v>13</v>
      </c>
      <c r="H69" s="13" t="s">
        <v>14</v>
      </c>
      <c r="I69" s="70" t="s">
        <v>15</v>
      </c>
      <c r="J69" s="14" t="s">
        <v>16</v>
      </c>
      <c r="K69" s="57"/>
      <c r="L69" s="58" t="s">
        <v>17</v>
      </c>
      <c r="M69" s="14" t="s">
        <v>39</v>
      </c>
      <c r="O69" s="8"/>
    </row>
    <row r="70" spans="1:15" ht="15" customHeight="1" x14ac:dyDescent="0.25">
      <c r="A70" s="171" t="s">
        <v>1179</v>
      </c>
      <c r="B70" s="160" t="s">
        <v>75</v>
      </c>
      <c r="C70" s="184" t="s">
        <v>1185</v>
      </c>
      <c r="D70" s="172">
        <v>45812.419317129999</v>
      </c>
      <c r="E70" s="87">
        <v>172.56</v>
      </c>
      <c r="F70" s="87">
        <v>17.260000000000002</v>
      </c>
      <c r="G70" s="94">
        <v>168.9</v>
      </c>
      <c r="H70" s="87">
        <v>23.3</v>
      </c>
      <c r="I70" s="106">
        <v>45858</v>
      </c>
      <c r="J70" s="50">
        <f>+E70-F70</f>
        <v>155.30000000000001</v>
      </c>
      <c r="K70" s="47">
        <f>+I70-D70</f>
        <v>45.580682870000601</v>
      </c>
      <c r="L70" s="48">
        <v>0.03</v>
      </c>
      <c r="M70" s="49">
        <f>+J70*L70</f>
        <v>4.6589999999999998</v>
      </c>
    </row>
    <row r="71" spans="1:15" ht="15" customHeight="1" x14ac:dyDescent="0.25">
      <c r="A71" s="171" t="s">
        <v>1180</v>
      </c>
      <c r="B71" s="160" t="s">
        <v>1191</v>
      </c>
      <c r="C71" s="184" t="s">
        <v>1186</v>
      </c>
      <c r="D71" s="172">
        <v>45832.425127315</v>
      </c>
      <c r="E71" s="87">
        <v>124.32</v>
      </c>
      <c r="F71" s="87">
        <v>18.649999999999999</v>
      </c>
      <c r="G71" s="94">
        <v>121.52</v>
      </c>
      <c r="H71" s="87">
        <v>15.85</v>
      </c>
      <c r="I71" s="106">
        <v>45859</v>
      </c>
      <c r="J71" s="50">
        <f>+E71-F71</f>
        <v>105.66999999999999</v>
      </c>
      <c r="K71" s="47">
        <f>+I71-D71</f>
        <v>26.574872684999718</v>
      </c>
      <c r="L71" s="48">
        <v>3.5000000000000003E-2</v>
      </c>
      <c r="M71" s="49">
        <f>+J71*L71</f>
        <v>3.6984499999999998</v>
      </c>
    </row>
    <row r="72" spans="1:15" ht="15" customHeight="1" x14ac:dyDescent="0.25">
      <c r="A72" s="171" t="s">
        <v>1181</v>
      </c>
      <c r="B72" s="160" t="s">
        <v>18</v>
      </c>
      <c r="C72" s="184" t="s">
        <v>1187</v>
      </c>
      <c r="D72" s="172">
        <v>45839.375775462999</v>
      </c>
      <c r="E72" s="87">
        <v>1048.32</v>
      </c>
      <c r="F72" s="87">
        <v>209.66</v>
      </c>
      <c r="G72" s="94">
        <v>949.78000000000009</v>
      </c>
      <c r="H72" s="87">
        <v>125.8</v>
      </c>
      <c r="I72" s="106">
        <v>45852</v>
      </c>
      <c r="J72" s="50">
        <f t="shared" ref="J72:J75" si="9">+E72-F72</f>
        <v>838.66</v>
      </c>
      <c r="K72" s="47">
        <f t="shared" ref="K72:K75" si="10">+I72-D72</f>
        <v>12.624224537001282</v>
      </c>
      <c r="L72" s="48">
        <v>3.5000000000000003E-2</v>
      </c>
      <c r="M72" s="49">
        <f t="shared" ref="M72:M75" si="11">+J72*L72</f>
        <v>29.353100000000001</v>
      </c>
    </row>
    <row r="73" spans="1:15" ht="15" customHeight="1" x14ac:dyDescent="0.25">
      <c r="A73" s="171" t="s">
        <v>1182</v>
      </c>
      <c r="B73" s="160" t="s">
        <v>1192</v>
      </c>
      <c r="C73" s="171" t="s">
        <v>1188</v>
      </c>
      <c r="D73" s="172">
        <v>45848.593923610999</v>
      </c>
      <c r="E73" s="87">
        <v>100.32</v>
      </c>
      <c r="F73" s="87">
        <v>13.04</v>
      </c>
      <c r="G73" s="94">
        <v>100.37</v>
      </c>
      <c r="H73" s="87">
        <v>13.09</v>
      </c>
      <c r="I73" s="106">
        <v>45852</v>
      </c>
      <c r="J73" s="50">
        <f t="shared" si="9"/>
        <v>87.28</v>
      </c>
      <c r="K73" s="47">
        <f t="shared" si="10"/>
        <v>3.4060763890011003</v>
      </c>
      <c r="L73" s="48">
        <v>0.04</v>
      </c>
      <c r="M73" s="49">
        <f t="shared" si="11"/>
        <v>3.4912000000000001</v>
      </c>
    </row>
    <row r="74" spans="1:15" ht="15" customHeight="1" x14ac:dyDescent="0.25">
      <c r="A74" s="171" t="s">
        <v>1183</v>
      </c>
      <c r="B74" s="160" t="s">
        <v>1192</v>
      </c>
      <c r="C74" s="171" t="s">
        <v>1189</v>
      </c>
      <c r="D74" s="172">
        <v>45848.603587963</v>
      </c>
      <c r="E74" s="87">
        <v>541.92000000000007</v>
      </c>
      <c r="F74" s="87">
        <v>70.45</v>
      </c>
      <c r="G74" s="94">
        <v>542.19000000000005</v>
      </c>
      <c r="H74" s="87">
        <v>70.72</v>
      </c>
      <c r="I74" s="106">
        <v>45852</v>
      </c>
      <c r="J74" s="50">
        <f t="shared" si="9"/>
        <v>471.47000000000008</v>
      </c>
      <c r="K74" s="47">
        <f t="shared" si="10"/>
        <v>3.3964120370001183</v>
      </c>
      <c r="L74" s="48">
        <v>0.04</v>
      </c>
      <c r="M74" s="49">
        <f t="shared" si="11"/>
        <v>18.858800000000002</v>
      </c>
    </row>
    <row r="75" spans="1:15" ht="15" customHeight="1" x14ac:dyDescent="0.25">
      <c r="A75" s="171" t="s">
        <v>1184</v>
      </c>
      <c r="B75" s="160" t="s">
        <v>1193</v>
      </c>
      <c r="C75" s="171" t="s">
        <v>1190</v>
      </c>
      <c r="D75" s="172">
        <v>45849.666226852001</v>
      </c>
      <c r="E75" s="87">
        <v>12.9</v>
      </c>
      <c r="F75" s="87">
        <v>0</v>
      </c>
      <c r="G75" s="94">
        <v>14.84</v>
      </c>
      <c r="H75" s="87">
        <v>1.94</v>
      </c>
      <c r="I75" s="172">
        <v>45849.666226852001</v>
      </c>
      <c r="J75" s="50">
        <f t="shared" si="9"/>
        <v>12.9</v>
      </c>
      <c r="K75" s="47">
        <f t="shared" si="10"/>
        <v>0</v>
      </c>
      <c r="L75" s="48">
        <v>0.04</v>
      </c>
      <c r="M75" s="49">
        <f t="shared" si="11"/>
        <v>0.51600000000000001</v>
      </c>
    </row>
    <row r="76" spans="1:15" ht="15" customHeight="1" x14ac:dyDescent="0.25">
      <c r="A76" s="83"/>
      <c r="B76" s="55"/>
      <c r="C76" s="95"/>
      <c r="D76" s="85"/>
      <c r="E76" s="86"/>
      <c r="F76" s="86"/>
      <c r="G76" s="94"/>
      <c r="H76" s="86"/>
      <c r="I76" s="106"/>
      <c r="J76" s="50"/>
      <c r="K76" s="47"/>
      <c r="L76" s="48"/>
      <c r="M76" s="49"/>
    </row>
    <row r="77" spans="1:15" ht="15" customHeight="1" x14ac:dyDescent="0.25">
      <c r="A77" s="83"/>
      <c r="B77" s="113"/>
      <c r="C77" s="95"/>
      <c r="D77" s="85"/>
      <c r="E77" s="86"/>
      <c r="F77" s="86"/>
      <c r="G77" s="94"/>
      <c r="H77" s="86"/>
      <c r="I77" s="105"/>
      <c r="J77" s="50"/>
      <c r="K77" s="47"/>
      <c r="L77" s="48"/>
      <c r="M77" s="49"/>
    </row>
    <row r="78" spans="1:15" ht="15" customHeight="1" x14ac:dyDescent="0.3">
      <c r="A78" s="42"/>
      <c r="B78" s="43"/>
      <c r="C78" s="43"/>
      <c r="D78" s="68"/>
      <c r="E78" s="44"/>
      <c r="F78" s="44"/>
      <c r="G78" s="45"/>
      <c r="H78" s="46"/>
      <c r="I78" s="72"/>
      <c r="J78" s="50"/>
      <c r="K78" s="47"/>
      <c r="L78" s="48"/>
      <c r="M78" s="49"/>
    </row>
    <row r="79" spans="1:15" ht="15" customHeight="1" x14ac:dyDescent="0.25">
      <c r="A79" s="213"/>
      <c r="B79" s="213"/>
      <c r="C79" s="213"/>
      <c r="D79" s="213"/>
      <c r="E79" s="213"/>
      <c r="F79" s="213"/>
      <c r="G79" s="75">
        <f>SUM(G70:G78)</f>
        <v>1897.6000000000001</v>
      </c>
      <c r="H79" s="80"/>
      <c r="I79" s="81"/>
      <c r="J79" s="75">
        <f>SUM(J70:J78)</f>
        <v>1671.2800000000002</v>
      </c>
      <c r="K79" s="82"/>
      <c r="L79" s="82"/>
      <c r="M79" s="75">
        <f>SUM(M70:M78)</f>
        <v>60.576549999999997</v>
      </c>
    </row>
    <row r="80" spans="1:15" ht="15" customHeight="1" x14ac:dyDescent="0.25">
      <c r="A80" s="76"/>
      <c r="B80" s="76"/>
      <c r="C80" s="76"/>
      <c r="D80" s="77"/>
      <c r="E80" s="76"/>
      <c r="F80" s="76"/>
      <c r="G80" s="78"/>
      <c r="H80" s="52"/>
      <c r="I80" s="79"/>
      <c r="J80" s="52"/>
      <c r="K80" s="52"/>
      <c r="L80" s="52"/>
      <c r="M80" s="52"/>
    </row>
    <row r="81" spans="1:14" x14ac:dyDescent="0.25">
      <c r="A81" s="76"/>
      <c r="B81" s="76"/>
      <c r="C81" s="76"/>
      <c r="D81" s="77"/>
      <c r="E81" s="76"/>
      <c r="F81" s="76"/>
      <c r="G81" s="78"/>
      <c r="H81" s="52"/>
      <c r="I81" s="79"/>
      <c r="J81" s="78"/>
      <c r="K81" s="52"/>
      <c r="L81" s="52"/>
      <c r="M81" s="78"/>
    </row>
    <row r="82" spans="1:14" x14ac:dyDescent="0.25">
      <c r="A82" s="52" t="s">
        <v>19</v>
      </c>
      <c r="B82" s="52" t="s">
        <v>20</v>
      </c>
      <c r="C82" s="76" t="s">
        <v>21</v>
      </c>
      <c r="D82" s="79"/>
      <c r="E82" s="52"/>
      <c r="F82" s="52"/>
      <c r="G82" s="78"/>
      <c r="H82" s="52"/>
      <c r="I82" s="79"/>
      <c r="J82" s="52"/>
      <c r="K82" s="52"/>
      <c r="L82" s="52"/>
      <c r="M82" s="52"/>
    </row>
    <row r="83" spans="1:14" s="52" customFormat="1" ht="15" x14ac:dyDescent="0.25">
      <c r="A83" s="202" t="s">
        <v>86</v>
      </c>
      <c r="B83" s="101" t="s">
        <v>1194</v>
      </c>
      <c r="C83" s="203" t="s">
        <v>1195</v>
      </c>
      <c r="D83" s="204">
        <v>45804.587164352</v>
      </c>
      <c r="E83" s="92">
        <f>3860.1+1286.7</f>
        <v>5146.8</v>
      </c>
      <c r="F83" s="92">
        <v>1286.7</v>
      </c>
      <c r="G83" s="90">
        <f>4439.12-241.26</f>
        <v>4197.8599999999997</v>
      </c>
      <c r="H83" s="92">
        <v>579.02</v>
      </c>
      <c r="I83" s="105">
        <v>45901</v>
      </c>
      <c r="J83" s="50">
        <f t="shared" ref="J83" si="12">+E83-F83</f>
        <v>3860.1000000000004</v>
      </c>
      <c r="K83" s="47">
        <f>+I83-D83</f>
        <v>96.4128356479996</v>
      </c>
      <c r="L83" s="48">
        <v>0.03</v>
      </c>
      <c r="M83" s="49">
        <f t="shared" ref="M83" si="13">+J83*L83</f>
        <v>115.80300000000001</v>
      </c>
      <c r="N83" s="60"/>
    </row>
    <row r="84" spans="1:14" ht="15" x14ac:dyDescent="0.25">
      <c r="A84" s="91"/>
      <c r="B84" s="101"/>
      <c r="C84" s="93"/>
      <c r="D84" s="88"/>
      <c r="E84" s="92"/>
      <c r="F84" s="92"/>
      <c r="G84" s="90"/>
      <c r="H84" s="92"/>
      <c r="I84" s="105"/>
      <c r="J84" s="50"/>
      <c r="K84" s="47"/>
      <c r="L84" s="48"/>
      <c r="M84" s="49"/>
    </row>
    <row r="85" spans="1:14" ht="15.6" thickBot="1" x14ac:dyDescent="0.3">
      <c r="A85" s="91"/>
      <c r="B85" s="101"/>
      <c r="C85" s="93"/>
      <c r="D85" s="88"/>
      <c r="E85" s="92"/>
      <c r="F85" s="92"/>
      <c r="G85" s="90"/>
      <c r="H85" s="92"/>
      <c r="I85" s="105"/>
      <c r="J85" s="50"/>
      <c r="K85" s="47"/>
      <c r="L85" s="48"/>
      <c r="M85" s="49"/>
    </row>
    <row r="86" spans="1:14" ht="16.2" thickBot="1" x14ac:dyDescent="0.35">
      <c r="A86" s="212" t="s">
        <v>29</v>
      </c>
      <c r="B86" s="212"/>
      <c r="C86" s="212"/>
      <c r="D86" s="212"/>
      <c r="E86" s="212"/>
      <c r="F86" s="212"/>
      <c r="G86" s="37">
        <f>SUM(G79:G85)</f>
        <v>6095.46</v>
      </c>
      <c r="I86" s="63"/>
      <c r="J86" s="37">
        <f>SUM(J79:J85)</f>
        <v>5531.380000000001</v>
      </c>
      <c r="L86" s="20"/>
      <c r="M86" s="38">
        <f>SUM(M79:M85)</f>
        <v>176.37954999999999</v>
      </c>
    </row>
    <row r="87" spans="1:14" x14ac:dyDescent="0.25">
      <c r="A87" s="19"/>
      <c r="B87" s="19"/>
      <c r="E87" s="19"/>
      <c r="F87" s="19"/>
      <c r="G87" s="8"/>
      <c r="I87" s="63"/>
    </row>
    <row r="88" spans="1:14" x14ac:dyDescent="0.25">
      <c r="A88" s="19"/>
      <c r="B88" s="19"/>
      <c r="E88" s="19"/>
      <c r="F88" s="19"/>
      <c r="G88" s="8"/>
      <c r="I88" s="63"/>
    </row>
    <row r="89" spans="1:14" x14ac:dyDescent="0.25">
      <c r="J89" s="8"/>
    </row>
    <row r="90" spans="1:14" x14ac:dyDescent="0.25">
      <c r="J90" s="8"/>
    </row>
    <row r="91" spans="1:14" x14ac:dyDescent="0.25">
      <c r="J91" s="8">
        <f>(J57+J86)*2%</f>
        <v>411.81338260869563</v>
      </c>
      <c r="M91" s="185">
        <f>M86/12</f>
        <v>14.698295833333333</v>
      </c>
      <c r="N91" s="59" t="s">
        <v>1504</v>
      </c>
    </row>
    <row r="92" spans="1:14" x14ac:dyDescent="0.25">
      <c r="J92" s="185">
        <f>J91/12</f>
        <v>34.317781884057972</v>
      </c>
      <c r="K92" s="7" t="s">
        <v>876</v>
      </c>
      <c r="M92" s="185">
        <f>M86/24</f>
        <v>7.3491479166666664</v>
      </c>
      <c r="N92" s="59" t="s">
        <v>1504</v>
      </c>
    </row>
    <row r="93" spans="1:14" x14ac:dyDescent="0.25">
      <c r="J93" s="185">
        <f>J91/24</f>
        <v>17.158890942028986</v>
      </c>
      <c r="K93" s="7" t="s">
        <v>876</v>
      </c>
    </row>
  </sheetData>
  <sortState xmlns:xlrd2="http://schemas.microsoft.com/office/spreadsheetml/2017/richdata2" ref="A8:P32">
    <sortCondition ref="C8:C32"/>
  </sortState>
  <mergeCells count="2">
    <mergeCell ref="A3:F3"/>
    <mergeCell ref="A57:F57"/>
  </mergeCells>
  <pageMargins left="0.39370078740157483" right="0" top="7.874015748031496E-2" bottom="0" header="0" footer="0"/>
  <pageSetup paperSize="9" scale="70" orientation="landscape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547FA-4AE2-4B55-ACA6-177AF3E1B339}">
  <dimension ref="A1:O83"/>
  <sheetViews>
    <sheetView workbookViewId="0">
      <selection activeCell="K78" sqref="K78"/>
    </sheetView>
  </sheetViews>
  <sheetFormatPr baseColWidth="10" defaultColWidth="11.44140625" defaultRowHeight="13.2" x14ac:dyDescent="0.25"/>
  <cols>
    <col min="1" max="1" width="43.33203125" style="7" customWidth="1"/>
    <col min="2" max="2" width="22.44140625" style="19" customWidth="1"/>
    <col min="3" max="3" width="24.88671875" style="19" customWidth="1"/>
    <col min="4" max="4" width="10.33203125" style="67" customWidth="1"/>
    <col min="5" max="5" width="11.6640625" style="7" customWidth="1"/>
    <col min="6" max="6" width="9.88671875" style="7" customWidth="1"/>
    <col min="7" max="7" width="13" style="7" customWidth="1"/>
    <col min="8" max="8" width="9.88671875" style="7" customWidth="1"/>
    <col min="9" max="9" width="10.6640625" style="67" customWidth="1"/>
    <col min="10" max="10" width="13" style="7" customWidth="1"/>
    <col min="11" max="11" width="7.33203125" style="7" customWidth="1"/>
    <col min="12" max="12" width="6.44140625" style="7" customWidth="1"/>
    <col min="13" max="13" width="10.109375" style="7" customWidth="1"/>
    <col min="14" max="14" width="24.33203125" style="59" customWidth="1"/>
    <col min="15" max="16" width="8" style="7" customWidth="1"/>
    <col min="17" max="16384" width="11.44140625" style="7"/>
  </cols>
  <sheetData>
    <row r="1" spans="1:15" ht="15" customHeight="1" x14ac:dyDescent="0.25">
      <c r="B1" s="181"/>
      <c r="C1" s="181"/>
      <c r="G1" s="8"/>
    </row>
    <row r="2" spans="1:15" ht="15" customHeight="1" x14ac:dyDescent="0.25">
      <c r="A2" s="30"/>
      <c r="B2" s="30"/>
      <c r="C2" s="30"/>
      <c r="D2" s="30"/>
      <c r="E2" s="30"/>
      <c r="F2" s="30"/>
      <c r="G2" s="24"/>
      <c r="H2" s="24"/>
      <c r="I2" s="195"/>
      <c r="J2" s="26"/>
      <c r="K2" s="27"/>
      <c r="L2" s="28"/>
      <c r="M2" s="29"/>
    </row>
    <row r="3" spans="1:15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195"/>
      <c r="J3" s="27"/>
      <c r="K3" s="27"/>
      <c r="L3" s="28"/>
      <c r="M3" s="29"/>
    </row>
    <row r="4" spans="1:15" ht="15" customHeight="1" x14ac:dyDescent="0.25">
      <c r="A4" s="30"/>
      <c r="B4" s="30" t="s">
        <v>1198</v>
      </c>
      <c r="C4" s="30"/>
      <c r="D4" s="64"/>
      <c r="E4" s="30"/>
      <c r="F4" s="30"/>
      <c r="G4" s="24"/>
      <c r="H4" s="25"/>
      <c r="I4" s="195"/>
      <c r="J4" s="27"/>
      <c r="K4" s="27"/>
      <c r="L4" s="28"/>
      <c r="M4" s="29"/>
    </row>
    <row r="5" spans="1:15" ht="15" customHeight="1" thickBot="1" x14ac:dyDescent="0.3">
      <c r="A5" s="30"/>
      <c r="B5" s="30" t="s">
        <v>22</v>
      </c>
      <c r="C5" s="30"/>
      <c r="D5" s="64"/>
      <c r="E5" s="30"/>
      <c r="F5" s="30"/>
      <c r="G5" s="32"/>
      <c r="H5" s="24"/>
      <c r="I5" s="64"/>
      <c r="J5" s="33"/>
      <c r="K5" s="27"/>
      <c r="L5" s="28"/>
      <c r="M5" s="29"/>
    </row>
    <row r="6" spans="1:15" ht="15" customHeight="1" x14ac:dyDescent="0.25">
      <c r="A6" s="34"/>
      <c r="B6" s="182"/>
      <c r="C6" s="182"/>
      <c r="D6" s="195"/>
      <c r="E6" s="33"/>
      <c r="F6" s="33"/>
      <c r="G6" s="35" t="s">
        <v>3</v>
      </c>
      <c r="H6" s="27"/>
      <c r="I6" s="195"/>
      <c r="J6" s="36" t="s">
        <v>4</v>
      </c>
      <c r="K6" s="56" t="s">
        <v>5</v>
      </c>
      <c r="L6" s="40" t="s">
        <v>6</v>
      </c>
      <c r="M6" s="36" t="s">
        <v>7</v>
      </c>
    </row>
    <row r="7" spans="1:15" ht="15" customHeight="1" x14ac:dyDescent="0.25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62" t="s">
        <v>13</v>
      </c>
      <c r="H7" s="13" t="s">
        <v>14</v>
      </c>
      <c r="I7" s="197" t="s">
        <v>15</v>
      </c>
      <c r="J7" s="14" t="s">
        <v>16</v>
      </c>
      <c r="K7" s="57"/>
      <c r="L7" s="58" t="s">
        <v>17</v>
      </c>
      <c r="M7" s="14" t="s">
        <v>39</v>
      </c>
    </row>
    <row r="8" spans="1:15" ht="15" customHeight="1" x14ac:dyDescent="0.25">
      <c r="A8" s="171" t="s">
        <v>115</v>
      </c>
      <c r="B8" s="160" t="s">
        <v>18</v>
      </c>
      <c r="C8" s="184" t="s">
        <v>1199</v>
      </c>
      <c r="D8" s="172">
        <v>45770</v>
      </c>
      <c r="E8" s="87">
        <v>102</v>
      </c>
      <c r="F8" s="87">
        <v>20.399999999999999</v>
      </c>
      <c r="G8" s="94">
        <v>88.740000000000009</v>
      </c>
      <c r="H8" s="87">
        <v>12.24</v>
      </c>
      <c r="I8" s="106">
        <v>45895</v>
      </c>
      <c r="J8" s="50">
        <f t="shared" ref="J8:J14" si="0">+E8-F8</f>
        <v>81.599999999999994</v>
      </c>
      <c r="K8" s="47">
        <f t="shared" ref="K8:K31" si="1">+I8-D8</f>
        <v>125</v>
      </c>
      <c r="L8" s="5">
        <v>0.03</v>
      </c>
      <c r="M8" s="6">
        <f t="shared" ref="M8:M34" si="2">+J8*L8</f>
        <v>2.448</v>
      </c>
      <c r="O8" s="78">
        <f t="shared" ref="O8:O34" si="3">G8-J8</f>
        <v>7.1400000000000148</v>
      </c>
    </row>
    <row r="9" spans="1:15" ht="15" customHeight="1" x14ac:dyDescent="0.25">
      <c r="A9" s="171" t="s">
        <v>85</v>
      </c>
      <c r="B9" s="160" t="s">
        <v>23</v>
      </c>
      <c r="C9" s="184" t="s">
        <v>1200</v>
      </c>
      <c r="D9" s="172">
        <v>45771</v>
      </c>
      <c r="E9" s="87">
        <v>118.80000000000001</v>
      </c>
      <c r="F9" s="87">
        <v>23.76</v>
      </c>
      <c r="G9" s="94">
        <v>109.3</v>
      </c>
      <c r="H9" s="87">
        <v>14.26</v>
      </c>
      <c r="I9" s="106">
        <v>45877</v>
      </c>
      <c r="J9" s="50">
        <f t="shared" si="0"/>
        <v>95.04</v>
      </c>
      <c r="K9" s="47">
        <f t="shared" si="1"/>
        <v>106</v>
      </c>
      <c r="L9" s="5">
        <v>0.03</v>
      </c>
      <c r="M9" s="6">
        <f t="shared" si="2"/>
        <v>2.8512</v>
      </c>
      <c r="O9" s="78">
        <f t="shared" si="3"/>
        <v>14.259999999999991</v>
      </c>
    </row>
    <row r="10" spans="1:15" ht="15" customHeight="1" x14ac:dyDescent="0.25">
      <c r="A10" s="171" t="s">
        <v>115</v>
      </c>
      <c r="B10" s="160" t="s">
        <v>18</v>
      </c>
      <c r="C10" s="184" t="s">
        <v>1201</v>
      </c>
      <c r="D10" s="172">
        <v>45775</v>
      </c>
      <c r="E10" s="87">
        <v>652.32000000000005</v>
      </c>
      <c r="F10" s="87">
        <v>130.46</v>
      </c>
      <c r="G10" s="94">
        <v>567.53</v>
      </c>
      <c r="H10" s="87">
        <v>78.28</v>
      </c>
      <c r="I10" s="106">
        <v>45895</v>
      </c>
      <c r="J10" s="50">
        <f t="shared" si="0"/>
        <v>521.86</v>
      </c>
      <c r="K10" s="47">
        <f t="shared" si="1"/>
        <v>120</v>
      </c>
      <c r="L10" s="5">
        <v>0.03</v>
      </c>
      <c r="M10" s="6">
        <f t="shared" si="2"/>
        <v>15.655799999999999</v>
      </c>
      <c r="O10" s="78">
        <f t="shared" si="3"/>
        <v>45.669999999999959</v>
      </c>
    </row>
    <row r="11" spans="1:15" ht="15" customHeight="1" x14ac:dyDescent="0.25">
      <c r="A11" s="208" t="s">
        <v>115</v>
      </c>
      <c r="B11" s="160" t="s">
        <v>18</v>
      </c>
      <c r="C11" s="209" t="s">
        <v>1202</v>
      </c>
      <c r="D11" s="210">
        <v>45778.371446759003</v>
      </c>
      <c r="E11" s="87">
        <v>158.4</v>
      </c>
      <c r="F11" s="87">
        <v>31.68</v>
      </c>
      <c r="G11" s="94">
        <v>137.81</v>
      </c>
      <c r="H11" s="87">
        <v>19.010000000000002</v>
      </c>
      <c r="I11" s="106">
        <v>45895</v>
      </c>
      <c r="J11" s="50">
        <f t="shared" si="0"/>
        <v>126.72</v>
      </c>
      <c r="K11" s="47">
        <f t="shared" si="1"/>
        <v>116.62855324099655</v>
      </c>
      <c r="L11" s="5">
        <v>0.03</v>
      </c>
      <c r="M11" s="6">
        <f t="shared" si="2"/>
        <v>3.8015999999999996</v>
      </c>
      <c r="O11" s="78">
        <f t="shared" si="3"/>
        <v>11.090000000000003</v>
      </c>
    </row>
    <row r="12" spans="1:15" ht="15" customHeight="1" x14ac:dyDescent="0.25">
      <c r="A12" s="208" t="s">
        <v>115</v>
      </c>
      <c r="B12" s="160" t="s">
        <v>18</v>
      </c>
      <c r="C12" s="209" t="s">
        <v>1203</v>
      </c>
      <c r="D12" s="210">
        <v>45782.496145833</v>
      </c>
      <c r="E12" s="87">
        <v>601.19999999999993</v>
      </c>
      <c r="F12" s="87">
        <v>120.24</v>
      </c>
      <c r="G12" s="94">
        <v>523.04000000000008</v>
      </c>
      <c r="H12" s="87">
        <v>72.14</v>
      </c>
      <c r="I12" s="106">
        <v>45895</v>
      </c>
      <c r="J12" s="50">
        <f t="shared" si="0"/>
        <v>480.95999999999992</v>
      </c>
      <c r="K12" s="47">
        <f t="shared" si="1"/>
        <v>112.5038541670001</v>
      </c>
      <c r="L12" s="5">
        <v>0.03</v>
      </c>
      <c r="M12" s="6">
        <f t="shared" si="2"/>
        <v>14.428799999999997</v>
      </c>
      <c r="O12" s="78">
        <f t="shared" si="3"/>
        <v>42.080000000000155</v>
      </c>
    </row>
    <row r="13" spans="1:15" ht="15" customHeight="1" x14ac:dyDescent="0.25">
      <c r="A13" s="208" t="s">
        <v>89</v>
      </c>
      <c r="B13" s="160" t="s">
        <v>18</v>
      </c>
      <c r="C13" s="209" t="s">
        <v>1204</v>
      </c>
      <c r="D13" s="210">
        <v>45786.432060184998</v>
      </c>
      <c r="E13" s="87">
        <v>416.4</v>
      </c>
      <c r="F13" s="87">
        <v>83.28</v>
      </c>
      <c r="G13" s="94">
        <v>362.27</v>
      </c>
      <c r="H13" s="87">
        <v>49.97</v>
      </c>
      <c r="I13" s="106">
        <v>45870</v>
      </c>
      <c r="J13" s="50">
        <f t="shared" si="0"/>
        <v>333.12</v>
      </c>
      <c r="K13" s="47">
        <f t="shared" si="1"/>
        <v>83.567939815002319</v>
      </c>
      <c r="L13" s="5">
        <v>0.03</v>
      </c>
      <c r="M13" s="6">
        <f t="shared" si="2"/>
        <v>9.9935999999999989</v>
      </c>
      <c r="O13" s="78">
        <f t="shared" si="3"/>
        <v>29.149999999999977</v>
      </c>
    </row>
    <row r="14" spans="1:15" ht="15" customHeight="1" x14ac:dyDescent="0.25">
      <c r="A14" s="208" t="s">
        <v>89</v>
      </c>
      <c r="B14" s="160" t="s">
        <v>18</v>
      </c>
      <c r="C14" s="209" t="s">
        <v>1205</v>
      </c>
      <c r="D14" s="210">
        <v>45799.444710648</v>
      </c>
      <c r="E14" s="87">
        <f>456.86+114.22</f>
        <v>571.08000000000004</v>
      </c>
      <c r="F14" s="87">
        <v>114.22</v>
      </c>
      <c r="G14" s="94">
        <v>496.83</v>
      </c>
      <c r="H14" s="87">
        <v>68.53</v>
      </c>
      <c r="I14" s="106">
        <v>45870</v>
      </c>
      <c r="J14" s="50">
        <f t="shared" si="0"/>
        <v>456.86</v>
      </c>
      <c r="K14" s="47">
        <f t="shared" si="1"/>
        <v>70.555289351999818</v>
      </c>
      <c r="L14" s="5">
        <v>0.03</v>
      </c>
      <c r="M14" s="6">
        <f t="shared" si="2"/>
        <v>13.7058</v>
      </c>
      <c r="O14" s="78">
        <f t="shared" si="3"/>
        <v>39.96999999999997</v>
      </c>
    </row>
    <row r="15" spans="1:15" ht="15" customHeight="1" x14ac:dyDescent="0.25">
      <c r="A15" s="171" t="s">
        <v>105</v>
      </c>
      <c r="B15" s="160" t="s">
        <v>108</v>
      </c>
      <c r="C15" s="184" t="s">
        <v>1206</v>
      </c>
      <c r="D15" s="172">
        <v>45810.530115740999</v>
      </c>
      <c r="E15" s="87">
        <f>127.09+22.43</f>
        <v>149.52000000000001</v>
      </c>
      <c r="F15" s="87">
        <v>22.43</v>
      </c>
      <c r="G15" s="94">
        <v>140</v>
      </c>
      <c r="H15" s="87">
        <v>19.059999999999999</v>
      </c>
      <c r="I15" s="106">
        <v>45877</v>
      </c>
      <c r="J15" s="50">
        <f>140/1.15</f>
        <v>121.73913043478262</v>
      </c>
      <c r="K15" s="47">
        <f t="shared" si="1"/>
        <v>66.469884259000537</v>
      </c>
      <c r="L15" s="5">
        <v>0.03</v>
      </c>
      <c r="M15" s="6">
        <f t="shared" si="2"/>
        <v>3.6521739130434785</v>
      </c>
      <c r="O15" s="78">
        <f t="shared" si="3"/>
        <v>18.260869565217376</v>
      </c>
    </row>
    <row r="16" spans="1:15" ht="15" customHeight="1" x14ac:dyDescent="0.25">
      <c r="A16" s="171" t="s">
        <v>115</v>
      </c>
      <c r="B16" s="160" t="s">
        <v>18</v>
      </c>
      <c r="C16" s="184" t="s">
        <v>1207</v>
      </c>
      <c r="D16" s="172">
        <v>45821.537627315003</v>
      </c>
      <c r="E16" s="87">
        <v>364.32</v>
      </c>
      <c r="F16" s="87">
        <v>72.86</v>
      </c>
      <c r="G16" s="94">
        <v>144.16</v>
      </c>
      <c r="H16" s="87">
        <v>43.72</v>
      </c>
      <c r="I16" s="106">
        <v>45895</v>
      </c>
      <c r="J16" s="50">
        <f>144.16/1.15</f>
        <v>125.35652173913044</v>
      </c>
      <c r="K16" s="47">
        <f t="shared" si="1"/>
        <v>73.462372684996808</v>
      </c>
      <c r="L16" s="5">
        <v>0.03</v>
      </c>
      <c r="M16" s="6">
        <f t="shared" si="2"/>
        <v>3.7606956521739132</v>
      </c>
      <c r="O16" s="78">
        <f t="shared" si="3"/>
        <v>18.803478260869554</v>
      </c>
    </row>
    <row r="17" spans="1:15" ht="15" customHeight="1" x14ac:dyDescent="0.25">
      <c r="A17" s="171" t="s">
        <v>292</v>
      </c>
      <c r="B17" s="160" t="s">
        <v>229</v>
      </c>
      <c r="C17" s="184" t="s">
        <v>1208</v>
      </c>
      <c r="D17" s="172">
        <v>45828.346655093002</v>
      </c>
      <c r="E17" s="87">
        <v>224.88</v>
      </c>
      <c r="F17" s="87">
        <v>44.98</v>
      </c>
      <c r="G17" s="94">
        <v>195.64</v>
      </c>
      <c r="H17" s="87">
        <v>26.99</v>
      </c>
      <c r="I17" s="106">
        <v>45874</v>
      </c>
      <c r="J17" s="50">
        <f>+E17-F17</f>
        <v>179.9</v>
      </c>
      <c r="K17" s="47">
        <f t="shared" si="1"/>
        <v>45.653344906997518</v>
      </c>
      <c r="L17" s="5">
        <v>0.03</v>
      </c>
      <c r="M17" s="6">
        <f t="shared" si="2"/>
        <v>5.3970000000000002</v>
      </c>
      <c r="O17" s="78">
        <f t="shared" si="3"/>
        <v>15.739999999999981</v>
      </c>
    </row>
    <row r="18" spans="1:15" ht="15" customHeight="1" x14ac:dyDescent="0.25">
      <c r="A18" s="171" t="s">
        <v>110</v>
      </c>
      <c r="B18" s="160" t="s">
        <v>95</v>
      </c>
      <c r="C18" s="184" t="s">
        <v>1209</v>
      </c>
      <c r="D18" s="172">
        <v>45831.432187500002</v>
      </c>
      <c r="E18" s="87">
        <v>845.88</v>
      </c>
      <c r="F18" s="87">
        <v>126.88</v>
      </c>
      <c r="G18" s="94">
        <v>787.30000000000007</v>
      </c>
      <c r="H18" s="87">
        <v>107.85</v>
      </c>
      <c r="I18" s="106">
        <v>45896</v>
      </c>
      <c r="J18" s="50">
        <f>+E18-F18</f>
        <v>719</v>
      </c>
      <c r="K18" s="47">
        <f t="shared" si="1"/>
        <v>64.567812499997672</v>
      </c>
      <c r="L18" s="5">
        <v>0.03</v>
      </c>
      <c r="M18" s="6">
        <f t="shared" si="2"/>
        <v>21.57</v>
      </c>
      <c r="O18" s="78">
        <f t="shared" si="3"/>
        <v>68.300000000000068</v>
      </c>
    </row>
    <row r="19" spans="1:15" ht="15" customHeight="1" x14ac:dyDescent="0.25">
      <c r="A19" s="171" t="s">
        <v>54</v>
      </c>
      <c r="B19" s="160" t="s">
        <v>32</v>
      </c>
      <c r="C19" s="184" t="s">
        <v>1210</v>
      </c>
      <c r="D19" s="172">
        <v>45831.444317130001</v>
      </c>
      <c r="E19" s="87">
        <v>42.239999999999995</v>
      </c>
      <c r="F19" s="87">
        <v>6.34</v>
      </c>
      <c r="G19" s="94">
        <v>39.04</v>
      </c>
      <c r="H19" s="87">
        <v>5.39</v>
      </c>
      <c r="I19" s="106">
        <v>45874</v>
      </c>
      <c r="J19" s="50">
        <f>+E19-F19</f>
        <v>35.899999999999991</v>
      </c>
      <c r="K19" s="47">
        <f t="shared" si="1"/>
        <v>42.555682869999146</v>
      </c>
      <c r="L19" s="5">
        <v>0.03</v>
      </c>
      <c r="M19" s="6">
        <f t="shared" si="2"/>
        <v>1.0769999999999997</v>
      </c>
      <c r="O19" s="78">
        <f t="shared" si="3"/>
        <v>3.1400000000000077</v>
      </c>
    </row>
    <row r="20" spans="1:15" ht="15" customHeight="1" x14ac:dyDescent="0.25">
      <c r="A20" s="171" t="s">
        <v>106</v>
      </c>
      <c r="B20" s="160" t="s">
        <v>61</v>
      </c>
      <c r="C20" s="184" t="s">
        <v>1211</v>
      </c>
      <c r="D20" s="172">
        <v>45831.446655093001</v>
      </c>
      <c r="E20" s="87">
        <v>88.32</v>
      </c>
      <c r="F20" s="87">
        <v>13.25</v>
      </c>
      <c r="G20" s="94">
        <v>86.33</v>
      </c>
      <c r="H20" s="87">
        <v>11.26</v>
      </c>
      <c r="I20" s="106">
        <v>45877</v>
      </c>
      <c r="J20" s="50">
        <f>+E20-F20</f>
        <v>75.069999999999993</v>
      </c>
      <c r="K20" s="47">
        <f t="shared" si="1"/>
        <v>45.553344906998973</v>
      </c>
      <c r="L20" s="5">
        <v>0.03</v>
      </c>
      <c r="M20" s="6">
        <f t="shared" si="2"/>
        <v>2.2520999999999995</v>
      </c>
      <c r="O20" s="78">
        <f t="shared" si="3"/>
        <v>11.260000000000005</v>
      </c>
    </row>
    <row r="21" spans="1:15" ht="15" customHeight="1" x14ac:dyDescent="0.25">
      <c r="A21" s="171" t="s">
        <v>694</v>
      </c>
      <c r="B21" s="160" t="s">
        <v>30</v>
      </c>
      <c r="C21" s="184" t="s">
        <v>1212</v>
      </c>
      <c r="D21" s="172">
        <v>45835.456018518998</v>
      </c>
      <c r="E21" s="87">
        <v>201.95999999999998</v>
      </c>
      <c r="F21" s="87">
        <v>30.29</v>
      </c>
      <c r="G21" s="94">
        <v>197.42</v>
      </c>
      <c r="H21" s="87">
        <v>25.75</v>
      </c>
      <c r="I21" s="106">
        <v>45877</v>
      </c>
      <c r="J21" s="50">
        <f>+E21-F21</f>
        <v>171.67</v>
      </c>
      <c r="K21" s="47">
        <f t="shared" si="1"/>
        <v>41.543981481001538</v>
      </c>
      <c r="L21" s="5">
        <v>0.03</v>
      </c>
      <c r="M21" s="6">
        <f t="shared" si="2"/>
        <v>5.1500999999999992</v>
      </c>
      <c r="O21" s="78">
        <f t="shared" si="3"/>
        <v>25.75</v>
      </c>
    </row>
    <row r="22" spans="1:15" ht="15" customHeight="1" x14ac:dyDescent="0.25">
      <c r="A22" s="171" t="s">
        <v>102</v>
      </c>
      <c r="B22" s="160" t="s">
        <v>18</v>
      </c>
      <c r="C22" s="184" t="s">
        <v>1213</v>
      </c>
      <c r="D22" s="172">
        <v>45835.629675926</v>
      </c>
      <c r="E22" s="87">
        <v>132</v>
      </c>
      <c r="F22" s="87">
        <v>19.8</v>
      </c>
      <c r="G22" s="94">
        <v>64.540000000000006</v>
      </c>
      <c r="H22" s="87">
        <v>16.829999999999998</v>
      </c>
      <c r="I22" s="106">
        <v>45881</v>
      </c>
      <c r="J22" s="50">
        <f>64.54/1.15</f>
        <v>56.12173913043479</v>
      </c>
      <c r="K22" s="47">
        <f t="shared" si="1"/>
        <v>45.370324073999655</v>
      </c>
      <c r="L22" s="5">
        <v>0.03</v>
      </c>
      <c r="M22" s="6">
        <f t="shared" si="2"/>
        <v>1.6836521739130437</v>
      </c>
      <c r="O22" s="78">
        <f t="shared" si="3"/>
        <v>8.4182608695652164</v>
      </c>
    </row>
    <row r="23" spans="1:15" ht="15" customHeight="1" x14ac:dyDescent="0.25">
      <c r="A23" s="171" t="s">
        <v>102</v>
      </c>
      <c r="B23" s="160" t="s">
        <v>18</v>
      </c>
      <c r="C23" s="184" t="s">
        <v>1213</v>
      </c>
      <c r="D23" s="172">
        <v>45835.629675926</v>
      </c>
      <c r="E23" s="87">
        <v>132</v>
      </c>
      <c r="F23" s="87">
        <v>19.8</v>
      </c>
      <c r="G23" s="94">
        <v>64.489999999999995</v>
      </c>
      <c r="H23" s="87">
        <v>16.829999999999998</v>
      </c>
      <c r="I23" s="106">
        <v>45887</v>
      </c>
      <c r="J23" s="50">
        <f>64.49/1.15</f>
        <v>56.07826086956522</v>
      </c>
      <c r="K23" s="47">
        <f t="shared" si="1"/>
        <v>51.370324073999655</v>
      </c>
      <c r="L23" s="5">
        <v>0.03</v>
      </c>
      <c r="M23" s="6">
        <f t="shared" si="2"/>
        <v>1.6823478260869564</v>
      </c>
      <c r="O23" s="78">
        <f t="shared" si="3"/>
        <v>8.4117391304347748</v>
      </c>
    </row>
    <row r="24" spans="1:15" ht="15" customHeight="1" x14ac:dyDescent="0.25">
      <c r="A24" s="171" t="s">
        <v>80</v>
      </c>
      <c r="B24" s="160" t="s">
        <v>18</v>
      </c>
      <c r="C24" s="184" t="s">
        <v>1214</v>
      </c>
      <c r="D24" s="172">
        <v>45840</v>
      </c>
      <c r="E24" s="87">
        <v>584.79999999999995</v>
      </c>
      <c r="F24" s="87">
        <v>116.96</v>
      </c>
      <c r="G24" s="94">
        <v>508.78</v>
      </c>
      <c r="H24" s="87">
        <v>70.180000000000007</v>
      </c>
      <c r="I24" s="106">
        <v>45881</v>
      </c>
      <c r="J24" s="50">
        <f t="shared" ref="J24:J34" si="4">+E24-F24</f>
        <v>467.84</v>
      </c>
      <c r="K24" s="47">
        <f t="shared" si="1"/>
        <v>41</v>
      </c>
      <c r="L24" s="5">
        <v>0.03</v>
      </c>
      <c r="M24" s="6">
        <f t="shared" si="2"/>
        <v>14.035199999999998</v>
      </c>
      <c r="O24" s="78">
        <f t="shared" si="3"/>
        <v>40.94</v>
      </c>
    </row>
    <row r="25" spans="1:15" ht="15" customHeight="1" x14ac:dyDescent="0.25">
      <c r="A25" s="171" t="s">
        <v>701</v>
      </c>
      <c r="B25" s="160" t="s">
        <v>24</v>
      </c>
      <c r="C25" s="184" t="s">
        <v>1215</v>
      </c>
      <c r="D25" s="172">
        <v>45855</v>
      </c>
      <c r="E25" s="87">
        <v>2573.2800000000002</v>
      </c>
      <c r="F25" s="87">
        <v>643.32000000000005</v>
      </c>
      <c r="G25" s="94">
        <v>2098.83</v>
      </c>
      <c r="H25" s="87">
        <v>289.49</v>
      </c>
      <c r="I25" s="106">
        <v>45896</v>
      </c>
      <c r="J25" s="50">
        <f t="shared" si="4"/>
        <v>1929.96</v>
      </c>
      <c r="K25" s="47">
        <f t="shared" si="1"/>
        <v>41</v>
      </c>
      <c r="L25" s="5">
        <v>0.03</v>
      </c>
      <c r="M25" s="6">
        <f t="shared" si="2"/>
        <v>57.898800000000001</v>
      </c>
      <c r="O25" s="78">
        <f t="shared" si="3"/>
        <v>168.86999999999989</v>
      </c>
    </row>
    <row r="26" spans="1:15" ht="15" customHeight="1" x14ac:dyDescent="0.25">
      <c r="A26" s="171" t="s">
        <v>1216</v>
      </c>
      <c r="B26" s="160" t="s">
        <v>24</v>
      </c>
      <c r="C26" s="184" t="s">
        <v>1218</v>
      </c>
      <c r="D26" s="172">
        <v>45859</v>
      </c>
      <c r="E26" s="87">
        <v>337.34000000000003</v>
      </c>
      <c r="F26" s="87">
        <v>57.35</v>
      </c>
      <c r="G26" s="94">
        <v>321.99</v>
      </c>
      <c r="H26" s="87">
        <v>42</v>
      </c>
      <c r="I26" s="106">
        <v>45874</v>
      </c>
      <c r="J26" s="50">
        <f t="shared" si="4"/>
        <v>279.99</v>
      </c>
      <c r="K26" s="47">
        <f t="shared" si="1"/>
        <v>15</v>
      </c>
      <c r="L26" s="5">
        <v>3.5000000000000003E-2</v>
      </c>
      <c r="M26" s="6">
        <f t="shared" si="2"/>
        <v>9.7996500000000015</v>
      </c>
      <c r="O26" s="78">
        <f t="shared" si="3"/>
        <v>42</v>
      </c>
    </row>
    <row r="27" spans="1:15" ht="15" customHeight="1" x14ac:dyDescent="0.25">
      <c r="A27" s="171" t="s">
        <v>1217</v>
      </c>
      <c r="B27" s="160" t="s">
        <v>30</v>
      </c>
      <c r="C27" s="184" t="s">
        <v>1219</v>
      </c>
      <c r="D27" s="172">
        <v>45861</v>
      </c>
      <c r="E27" s="87">
        <v>69.84</v>
      </c>
      <c r="F27" s="87">
        <v>9.08</v>
      </c>
      <c r="G27" s="94">
        <v>69.87</v>
      </c>
      <c r="H27" s="87">
        <v>9.11</v>
      </c>
      <c r="I27" s="106">
        <v>45895</v>
      </c>
      <c r="J27" s="50">
        <f t="shared" si="4"/>
        <v>60.760000000000005</v>
      </c>
      <c r="K27" s="47">
        <f t="shared" si="1"/>
        <v>34</v>
      </c>
      <c r="L27" s="5">
        <v>0.03</v>
      </c>
      <c r="M27" s="6">
        <f t="shared" si="2"/>
        <v>1.8228</v>
      </c>
      <c r="O27" s="78">
        <f t="shared" si="3"/>
        <v>9.11</v>
      </c>
    </row>
    <row r="28" spans="1:15" ht="15" customHeight="1" x14ac:dyDescent="0.25">
      <c r="A28" s="171" t="s">
        <v>41</v>
      </c>
      <c r="B28" s="102" t="s">
        <v>18</v>
      </c>
      <c r="C28" s="184" t="s">
        <v>1220</v>
      </c>
      <c r="D28" s="172">
        <v>45873.423483796003</v>
      </c>
      <c r="E28" s="188">
        <v>122.4</v>
      </c>
      <c r="F28" s="188">
        <v>18.36</v>
      </c>
      <c r="G28" s="188">
        <v>113.15</v>
      </c>
      <c r="H28" s="87">
        <v>15.61</v>
      </c>
      <c r="I28" s="172">
        <v>45874</v>
      </c>
      <c r="J28" s="50">
        <f t="shared" si="4"/>
        <v>104.04</v>
      </c>
      <c r="K28" s="47">
        <f t="shared" si="1"/>
        <v>0.57651620399701642</v>
      </c>
      <c r="L28" s="5">
        <v>0.04</v>
      </c>
      <c r="M28" s="6">
        <f t="shared" si="2"/>
        <v>4.1616</v>
      </c>
      <c r="O28" s="78">
        <f t="shared" si="3"/>
        <v>9.11</v>
      </c>
    </row>
    <row r="29" spans="1:15" ht="15" customHeight="1" x14ac:dyDescent="0.25">
      <c r="A29" s="171" t="s">
        <v>119</v>
      </c>
      <c r="B29" s="102" t="s">
        <v>18</v>
      </c>
      <c r="C29" s="184" t="s">
        <v>1221</v>
      </c>
      <c r="D29" s="172">
        <v>45874.413657407</v>
      </c>
      <c r="E29" s="188">
        <v>367.2</v>
      </c>
      <c r="F29" s="188">
        <v>44.06</v>
      </c>
      <c r="G29" s="188">
        <v>351.42</v>
      </c>
      <c r="H29" s="87">
        <v>48.47</v>
      </c>
      <c r="I29" s="172">
        <v>45882</v>
      </c>
      <c r="J29" s="50">
        <f t="shared" si="4"/>
        <v>323.14</v>
      </c>
      <c r="K29" s="47">
        <f t="shared" si="1"/>
        <v>7.586342593000154</v>
      </c>
      <c r="L29" s="5">
        <v>3.5000000000000003E-2</v>
      </c>
      <c r="M29" s="6">
        <f t="shared" si="2"/>
        <v>11.309900000000001</v>
      </c>
      <c r="O29" s="78">
        <f t="shared" si="3"/>
        <v>28.28000000000003</v>
      </c>
    </row>
    <row r="30" spans="1:15" ht="15" customHeight="1" x14ac:dyDescent="0.25">
      <c r="A30" s="173" t="s">
        <v>41</v>
      </c>
      <c r="B30" s="102" t="s">
        <v>18</v>
      </c>
      <c r="C30" s="183" t="s">
        <v>1222</v>
      </c>
      <c r="D30" s="174">
        <v>45877.403692129999</v>
      </c>
      <c r="E30" s="188">
        <v>36.96</v>
      </c>
      <c r="F30" s="188">
        <v>0</v>
      </c>
      <c r="G30" s="188">
        <v>40.19</v>
      </c>
      <c r="H30" s="104">
        <v>5.54</v>
      </c>
      <c r="I30" s="105">
        <v>45887</v>
      </c>
      <c r="J30" s="50">
        <f t="shared" si="4"/>
        <v>36.96</v>
      </c>
      <c r="K30" s="47">
        <f t="shared" si="1"/>
        <v>9.5963078700006008</v>
      </c>
      <c r="L30" s="5">
        <v>3.5000000000000003E-2</v>
      </c>
      <c r="M30" s="6">
        <f t="shared" si="2"/>
        <v>1.2936000000000001</v>
      </c>
      <c r="O30" s="78">
        <f t="shared" si="3"/>
        <v>3.2299999999999969</v>
      </c>
    </row>
    <row r="31" spans="1:15" ht="15" customHeight="1" x14ac:dyDescent="0.25">
      <c r="A31" s="171" t="s">
        <v>41</v>
      </c>
      <c r="B31" s="102" t="s">
        <v>18</v>
      </c>
      <c r="C31" s="184" t="s">
        <v>1223</v>
      </c>
      <c r="D31" s="172">
        <v>45887.407719907002</v>
      </c>
      <c r="E31" s="188">
        <v>448.8</v>
      </c>
      <c r="F31" s="188">
        <v>67.319999999999993</v>
      </c>
      <c r="G31" s="188">
        <v>414.84999999999997</v>
      </c>
      <c r="H31" s="87">
        <v>57.22</v>
      </c>
      <c r="I31" s="105">
        <v>45887</v>
      </c>
      <c r="J31" s="50">
        <f t="shared" si="4"/>
        <v>381.48</v>
      </c>
      <c r="K31" s="47">
        <f t="shared" si="1"/>
        <v>-0.40771990700159222</v>
      </c>
      <c r="L31" s="5">
        <v>0.04</v>
      </c>
      <c r="M31" s="6">
        <f t="shared" si="2"/>
        <v>15.259200000000002</v>
      </c>
      <c r="O31" s="78">
        <f t="shared" si="3"/>
        <v>33.369999999999948</v>
      </c>
    </row>
    <row r="32" spans="1:15" ht="15" customHeight="1" x14ac:dyDescent="0.25">
      <c r="A32" s="171" t="s">
        <v>25</v>
      </c>
      <c r="B32" s="102" t="s">
        <v>30</v>
      </c>
      <c r="C32" s="184" t="s">
        <v>1224</v>
      </c>
      <c r="D32" s="172">
        <v>45891.370219907003</v>
      </c>
      <c r="E32" s="188">
        <f>273.24+91.08</f>
        <v>364.32</v>
      </c>
      <c r="F32" s="188">
        <v>91.08</v>
      </c>
      <c r="G32" s="188">
        <v>297.14999999999998</v>
      </c>
      <c r="H32" s="87">
        <v>40.99</v>
      </c>
      <c r="I32" s="105">
        <v>45895</v>
      </c>
      <c r="J32" s="50">
        <f t="shared" si="4"/>
        <v>273.24</v>
      </c>
      <c r="K32" s="47">
        <v>0</v>
      </c>
      <c r="L32" s="5">
        <v>0.04</v>
      </c>
      <c r="M32" s="6">
        <f t="shared" si="2"/>
        <v>10.929600000000001</v>
      </c>
      <c r="O32" s="78">
        <f t="shared" si="3"/>
        <v>23.909999999999968</v>
      </c>
    </row>
    <row r="33" spans="1:15" ht="15" customHeight="1" x14ac:dyDescent="0.25">
      <c r="A33" s="171" t="s">
        <v>40</v>
      </c>
      <c r="B33" s="102" t="s">
        <v>18</v>
      </c>
      <c r="C33" s="184" t="s">
        <v>1225</v>
      </c>
      <c r="D33" s="172">
        <v>45895.649456018997</v>
      </c>
      <c r="E33" s="188">
        <v>81.599999999999994</v>
      </c>
      <c r="F33" s="188">
        <v>20.399999999999999</v>
      </c>
      <c r="G33" s="188">
        <v>66.56</v>
      </c>
      <c r="H33" s="87">
        <v>9.18</v>
      </c>
      <c r="I33" s="105">
        <v>45897</v>
      </c>
      <c r="J33" s="50">
        <f t="shared" si="4"/>
        <v>61.199999999999996</v>
      </c>
      <c r="K33" s="47">
        <v>0</v>
      </c>
      <c r="L33" s="5">
        <v>0.04</v>
      </c>
      <c r="M33" s="6">
        <f t="shared" si="2"/>
        <v>2.448</v>
      </c>
      <c r="O33" s="78">
        <f t="shared" si="3"/>
        <v>5.3600000000000065</v>
      </c>
    </row>
    <row r="34" spans="1:15" ht="15" customHeight="1" x14ac:dyDescent="0.25">
      <c r="A34" s="171" t="s">
        <v>40</v>
      </c>
      <c r="B34" s="102" t="s">
        <v>18</v>
      </c>
      <c r="C34" s="184" t="s">
        <v>1226</v>
      </c>
      <c r="D34" s="172">
        <v>45896.377372684998</v>
      </c>
      <c r="E34" s="188">
        <v>34.799999999999997</v>
      </c>
      <c r="F34" s="188">
        <v>5.22</v>
      </c>
      <c r="G34" s="188">
        <v>32.17</v>
      </c>
      <c r="H34" s="87">
        <v>4.4400000000000004</v>
      </c>
      <c r="I34" s="105">
        <v>45896</v>
      </c>
      <c r="J34" s="50">
        <f t="shared" si="4"/>
        <v>29.58</v>
      </c>
      <c r="K34" s="47">
        <v>0</v>
      </c>
      <c r="L34" s="5">
        <v>0.04</v>
      </c>
      <c r="M34" s="6">
        <f t="shared" si="2"/>
        <v>1.1832</v>
      </c>
      <c r="O34" s="78">
        <f t="shared" si="3"/>
        <v>2.5900000000000034</v>
      </c>
    </row>
    <row r="35" spans="1:15" ht="15" customHeight="1" x14ac:dyDescent="0.25">
      <c r="A35" s="171"/>
      <c r="B35" s="160"/>
      <c r="C35" s="171"/>
      <c r="D35" s="201"/>
      <c r="E35" s="87"/>
      <c r="F35" s="87"/>
      <c r="G35" s="94"/>
      <c r="H35" s="87"/>
      <c r="I35" s="106"/>
      <c r="J35" s="50"/>
      <c r="K35" s="47"/>
      <c r="L35" s="5"/>
      <c r="M35" s="6"/>
      <c r="O35" s="78"/>
    </row>
    <row r="36" spans="1:15" ht="15" customHeight="1" x14ac:dyDescent="0.3">
      <c r="G36" s="16">
        <f>SUM(G8:G35)</f>
        <v>8319.3999999999978</v>
      </c>
      <c r="J36" s="16">
        <f>SUM(J8:J35)</f>
        <v>7585.1856521739128</v>
      </c>
      <c r="M36" s="16">
        <f>SUM(M8:M35)</f>
        <v>239.25141956521739</v>
      </c>
    </row>
    <row r="37" spans="1:15" ht="15" customHeight="1" x14ac:dyDescent="0.25">
      <c r="G37" s="8"/>
      <c r="H37" s="8"/>
    </row>
    <row r="38" spans="1:15" ht="15" customHeight="1" x14ac:dyDescent="0.25">
      <c r="A38" s="17" t="s">
        <v>19</v>
      </c>
      <c r="B38" s="18" t="s">
        <v>20</v>
      </c>
      <c r="C38" s="18" t="s">
        <v>21</v>
      </c>
      <c r="I38" s="181"/>
      <c r="J38" s="8"/>
    </row>
    <row r="39" spans="1:15" s="52" customFormat="1" ht="15" x14ac:dyDescent="0.25">
      <c r="A39" s="202" t="s">
        <v>99</v>
      </c>
      <c r="B39" s="102" t="s">
        <v>1228</v>
      </c>
      <c r="C39" s="203" t="s">
        <v>1232</v>
      </c>
      <c r="D39" s="204">
        <v>45790.673321759001</v>
      </c>
      <c r="E39" s="92">
        <v>478.68</v>
      </c>
      <c r="F39" s="92">
        <v>71.8</v>
      </c>
      <c r="G39" s="90">
        <v>460.79</v>
      </c>
      <c r="H39" s="92">
        <v>61.03</v>
      </c>
      <c r="I39" s="105">
        <v>45915</v>
      </c>
      <c r="J39" s="50">
        <f>+E39-F39</f>
        <v>406.88</v>
      </c>
      <c r="K39" s="47">
        <f>+I39-D39</f>
        <v>124.32667824099917</v>
      </c>
      <c r="L39" s="48">
        <v>0.03</v>
      </c>
      <c r="M39" s="49">
        <f>+J39*L39</f>
        <v>12.206399999999999</v>
      </c>
      <c r="N39" s="60"/>
      <c r="O39" s="78">
        <f>G39-J39</f>
        <v>53.910000000000025</v>
      </c>
    </row>
    <row r="40" spans="1:15" s="52" customFormat="1" ht="15" x14ac:dyDescent="0.25">
      <c r="A40" s="202" t="s">
        <v>1227</v>
      </c>
      <c r="B40" s="102" t="s">
        <v>1229</v>
      </c>
      <c r="C40" s="203" t="s">
        <v>1233</v>
      </c>
      <c r="D40" s="204">
        <v>45792.517673611001</v>
      </c>
      <c r="E40" s="104">
        <v>834.24</v>
      </c>
      <c r="F40" s="104">
        <v>125.14</v>
      </c>
      <c r="G40" s="96">
        <v>815.47</v>
      </c>
      <c r="H40" s="104">
        <v>106.37</v>
      </c>
      <c r="I40" s="106">
        <v>45903</v>
      </c>
      <c r="J40" s="50">
        <f t="shared" ref="J40:J49" si="5">+E40-F40</f>
        <v>709.1</v>
      </c>
      <c r="K40" s="47">
        <f t="shared" ref="K40:K49" si="6">+I40-D40</f>
        <v>110.48232638899935</v>
      </c>
      <c r="L40" s="48">
        <v>0.03</v>
      </c>
      <c r="M40" s="49">
        <f t="shared" ref="M40:M49" si="7">+J40*L40</f>
        <v>21.273</v>
      </c>
      <c r="N40" s="60"/>
      <c r="O40" s="78">
        <f t="shared" ref="O40:O49" si="8">G40-J40</f>
        <v>106.37</v>
      </c>
    </row>
    <row r="41" spans="1:15" s="52" customFormat="1" ht="15" x14ac:dyDescent="0.25">
      <c r="A41" s="202" t="s">
        <v>79</v>
      </c>
      <c r="B41" s="102" t="s">
        <v>1230</v>
      </c>
      <c r="C41" s="203" t="s">
        <v>1234</v>
      </c>
      <c r="D41" s="204">
        <v>45806.539236110999</v>
      </c>
      <c r="E41" s="104">
        <f>410.45+72.43</f>
        <v>482.88</v>
      </c>
      <c r="F41" s="104">
        <v>72.430000000000007</v>
      </c>
      <c r="G41" s="96">
        <v>446.37</v>
      </c>
      <c r="H41" s="104">
        <v>61.57</v>
      </c>
      <c r="I41" s="106">
        <v>45901</v>
      </c>
      <c r="J41" s="50">
        <f t="shared" si="5"/>
        <v>410.45</v>
      </c>
      <c r="K41" s="47">
        <f t="shared" si="6"/>
        <v>94.4607638890011</v>
      </c>
      <c r="L41" s="48">
        <v>0.03</v>
      </c>
      <c r="M41" s="49">
        <f t="shared" si="7"/>
        <v>12.313499999999999</v>
      </c>
      <c r="N41" s="60"/>
      <c r="O41" s="78">
        <f t="shared" si="8"/>
        <v>35.920000000000016</v>
      </c>
    </row>
    <row r="42" spans="1:15" s="52" customFormat="1" ht="15" x14ac:dyDescent="0.25">
      <c r="A42" s="101" t="s">
        <v>1037</v>
      </c>
      <c r="B42" s="102" t="s">
        <v>1231</v>
      </c>
      <c r="C42" s="102" t="s">
        <v>1235</v>
      </c>
      <c r="D42" s="105">
        <v>45818.555046296002</v>
      </c>
      <c r="E42" s="104">
        <f>2386.8+421.2</f>
        <v>2808</v>
      </c>
      <c r="F42" s="104">
        <v>421.2</v>
      </c>
      <c r="G42" s="96">
        <v>2595.64</v>
      </c>
      <c r="H42" s="104">
        <v>358.02</v>
      </c>
      <c r="I42" s="106">
        <v>45954</v>
      </c>
      <c r="J42" s="50">
        <f t="shared" si="5"/>
        <v>2386.8000000000002</v>
      </c>
      <c r="K42" s="47">
        <f t="shared" si="6"/>
        <v>135.44495370399818</v>
      </c>
      <c r="L42" s="48">
        <v>0.03</v>
      </c>
      <c r="M42" s="49">
        <f t="shared" si="7"/>
        <v>71.603999999999999</v>
      </c>
      <c r="N42" s="60"/>
      <c r="O42" s="78">
        <f t="shared" si="8"/>
        <v>208.83999999999969</v>
      </c>
    </row>
    <row r="43" spans="1:15" s="52" customFormat="1" ht="15" x14ac:dyDescent="0.25">
      <c r="A43" s="101" t="s">
        <v>48</v>
      </c>
      <c r="B43" s="102" t="s">
        <v>1252</v>
      </c>
      <c r="C43" s="102" t="s">
        <v>1241</v>
      </c>
      <c r="D43" s="105">
        <v>45832.483206019002</v>
      </c>
      <c r="E43" s="104">
        <f>1442.25+480.75</f>
        <v>1923</v>
      </c>
      <c r="F43" s="104">
        <v>480.75</v>
      </c>
      <c r="G43" s="96">
        <v>738.04</v>
      </c>
      <c r="H43" s="104">
        <v>216.34</v>
      </c>
      <c r="I43" s="106">
        <v>45915</v>
      </c>
      <c r="J43" s="50">
        <f>738.04/1.15</f>
        <v>641.77391304347827</v>
      </c>
      <c r="K43" s="47">
        <f t="shared" si="6"/>
        <v>82.516793980998045</v>
      </c>
      <c r="L43" s="48">
        <v>0.03</v>
      </c>
      <c r="M43" s="49">
        <f t="shared" si="7"/>
        <v>19.253217391304347</v>
      </c>
      <c r="N43" s="230"/>
      <c r="O43" s="78">
        <f t="shared" si="8"/>
        <v>96.26608695652169</v>
      </c>
    </row>
    <row r="44" spans="1:15" s="52" customFormat="1" ht="15" x14ac:dyDescent="0.25">
      <c r="A44" s="101" t="s">
        <v>48</v>
      </c>
      <c r="B44" s="102" t="s">
        <v>1236</v>
      </c>
      <c r="C44" s="102" t="s">
        <v>1241</v>
      </c>
      <c r="D44" s="105">
        <v>45832.483206019002</v>
      </c>
      <c r="E44" s="104">
        <f>1442.25+480.75</f>
        <v>1923</v>
      </c>
      <c r="F44" s="104">
        <v>480.75</v>
      </c>
      <c r="G44" s="96">
        <v>830.41</v>
      </c>
      <c r="H44" s="104">
        <v>216.34</v>
      </c>
      <c r="I44" s="106">
        <v>45945</v>
      </c>
      <c r="J44" s="50">
        <f>830.41/1.15</f>
        <v>722.09565217391309</v>
      </c>
      <c r="K44" s="47">
        <f t="shared" ref="K44" si="9">+I44-D44</f>
        <v>112.51679398099805</v>
      </c>
      <c r="L44" s="48">
        <v>0.03</v>
      </c>
      <c r="M44" s="49">
        <f t="shared" ref="M44" si="10">+J44*L44</f>
        <v>21.662869565217392</v>
      </c>
      <c r="N44" s="230"/>
      <c r="O44" s="78">
        <f t="shared" si="8"/>
        <v>108.31434782608687</v>
      </c>
    </row>
    <row r="45" spans="1:15" s="52" customFormat="1" ht="15" x14ac:dyDescent="0.25">
      <c r="A45" s="101" t="s">
        <v>48</v>
      </c>
      <c r="B45" s="102" t="s">
        <v>1253</v>
      </c>
      <c r="C45" s="102" t="s">
        <v>1242</v>
      </c>
      <c r="D45" s="105">
        <v>45832.497210647998</v>
      </c>
      <c r="E45" s="104">
        <f>1351.35+450.45</f>
        <v>1801.8</v>
      </c>
      <c r="F45" s="104">
        <v>450.45</v>
      </c>
      <c r="G45" s="96">
        <v>169.59</v>
      </c>
      <c r="H45" s="104">
        <v>202.7</v>
      </c>
      <c r="I45" s="106">
        <v>45945</v>
      </c>
      <c r="J45" s="50">
        <f>169.59/1.15</f>
        <v>147.46956521739131</v>
      </c>
      <c r="K45" s="47">
        <f t="shared" si="6"/>
        <v>112.50278935200186</v>
      </c>
      <c r="L45" s="48">
        <v>0.03</v>
      </c>
      <c r="M45" s="49">
        <f t="shared" si="7"/>
        <v>4.4240869565217391</v>
      </c>
      <c r="N45" s="60"/>
      <c r="O45" s="78">
        <f t="shared" si="8"/>
        <v>22.120434782608697</v>
      </c>
    </row>
    <row r="46" spans="1:15" s="52" customFormat="1" ht="15" x14ac:dyDescent="0.25">
      <c r="A46" s="101" t="s">
        <v>48</v>
      </c>
      <c r="B46" s="102" t="s">
        <v>1237</v>
      </c>
      <c r="C46" s="102" t="s">
        <v>1242</v>
      </c>
      <c r="D46" s="105">
        <v>45832.497210647998</v>
      </c>
      <c r="E46" s="104">
        <f>1351.35+450.45</f>
        <v>1801.8</v>
      </c>
      <c r="F46" s="104">
        <v>450.45</v>
      </c>
      <c r="G46" s="96">
        <v>1300</v>
      </c>
      <c r="H46" s="104">
        <v>202.7</v>
      </c>
      <c r="I46" s="106">
        <v>45961</v>
      </c>
      <c r="J46" s="50">
        <f>1300/1.15</f>
        <v>1130.4347826086957</v>
      </c>
      <c r="K46" s="47">
        <f t="shared" ref="K46" si="11">+I46-D46</f>
        <v>128.50278935200186</v>
      </c>
      <c r="L46" s="48">
        <v>0.03</v>
      </c>
      <c r="M46" s="49">
        <f t="shared" ref="M46" si="12">+J46*L46</f>
        <v>33.913043478260875</v>
      </c>
      <c r="N46" s="60"/>
      <c r="O46" s="78">
        <f t="shared" si="8"/>
        <v>169.56521739130426</v>
      </c>
    </row>
    <row r="47" spans="1:15" s="52" customFormat="1" ht="15" x14ac:dyDescent="0.25">
      <c r="A47" s="101" t="s">
        <v>132</v>
      </c>
      <c r="B47" s="102" t="s">
        <v>1238</v>
      </c>
      <c r="C47" s="102" t="s">
        <v>1243</v>
      </c>
      <c r="D47" s="105">
        <v>45856</v>
      </c>
      <c r="E47" s="104">
        <f>270.4+47.72</f>
        <v>318.12</v>
      </c>
      <c r="F47" s="104">
        <v>47.72</v>
      </c>
      <c r="G47" s="96">
        <f>310.96</f>
        <v>310.95999999999998</v>
      </c>
      <c r="H47" s="104">
        <v>40.56</v>
      </c>
      <c r="I47" s="106">
        <v>45932</v>
      </c>
      <c r="J47" s="50">
        <f t="shared" si="5"/>
        <v>270.39999999999998</v>
      </c>
      <c r="K47" s="47">
        <f t="shared" si="6"/>
        <v>76</v>
      </c>
      <c r="L47" s="48">
        <v>0.03</v>
      </c>
      <c r="M47" s="49">
        <f t="shared" si="7"/>
        <v>8.1119999999999983</v>
      </c>
      <c r="N47" s="60"/>
      <c r="O47" s="78">
        <f t="shared" si="8"/>
        <v>40.56</v>
      </c>
    </row>
    <row r="48" spans="1:15" s="52" customFormat="1" ht="15" x14ac:dyDescent="0.25">
      <c r="A48" s="101" t="s">
        <v>55</v>
      </c>
      <c r="B48" s="102" t="s">
        <v>1239</v>
      </c>
      <c r="C48" s="102" t="s">
        <v>1244</v>
      </c>
      <c r="D48" s="105">
        <v>45888.516030093</v>
      </c>
      <c r="E48" s="188">
        <f>871.68+217.92</f>
        <v>1089.5999999999999</v>
      </c>
      <c r="F48" s="188">
        <v>217.92</v>
      </c>
      <c r="G48" s="188">
        <f>1002.43</f>
        <v>1002.43</v>
      </c>
      <c r="H48" s="104">
        <v>130.75</v>
      </c>
      <c r="I48" s="105">
        <v>45919</v>
      </c>
      <c r="J48" s="50">
        <f t="shared" si="5"/>
        <v>871.68</v>
      </c>
      <c r="K48" s="47">
        <f t="shared" si="6"/>
        <v>30.483969906999846</v>
      </c>
      <c r="L48" s="48">
        <v>0.03</v>
      </c>
      <c r="M48" s="49">
        <f t="shared" si="7"/>
        <v>26.150399999999998</v>
      </c>
      <c r="N48" s="60"/>
      <c r="O48" s="78">
        <f t="shared" si="8"/>
        <v>130.75</v>
      </c>
    </row>
    <row r="49" spans="1:15" s="52" customFormat="1" ht="15" x14ac:dyDescent="0.25">
      <c r="A49" s="101" t="s">
        <v>40</v>
      </c>
      <c r="B49" s="102" t="s">
        <v>1240</v>
      </c>
      <c r="C49" s="102" t="s">
        <v>1245</v>
      </c>
      <c r="D49" s="105">
        <v>45894.350046296</v>
      </c>
      <c r="E49" s="188">
        <f>684+228</f>
        <v>912</v>
      </c>
      <c r="F49" s="188">
        <v>228</v>
      </c>
      <c r="G49" s="188">
        <v>743.85</v>
      </c>
      <c r="H49" s="104">
        <v>102.6</v>
      </c>
      <c r="I49" s="105">
        <v>45925</v>
      </c>
      <c r="J49" s="50">
        <f t="shared" si="5"/>
        <v>684</v>
      </c>
      <c r="K49" s="47">
        <f t="shared" si="6"/>
        <v>30.649953703999927</v>
      </c>
      <c r="L49" s="48">
        <v>0.03</v>
      </c>
      <c r="M49" s="49">
        <f t="shared" si="7"/>
        <v>20.52</v>
      </c>
      <c r="N49" s="60"/>
      <c r="O49" s="78">
        <f t="shared" si="8"/>
        <v>59.850000000000023</v>
      </c>
    </row>
    <row r="50" spans="1:15" s="52" customFormat="1" ht="15.6" thickBot="1" x14ac:dyDescent="0.3">
      <c r="A50" s="101"/>
      <c r="B50" s="102"/>
      <c r="C50" s="101"/>
      <c r="D50" s="105"/>
      <c r="E50" s="92"/>
      <c r="F50" s="92"/>
      <c r="G50" s="90"/>
      <c r="H50" s="92"/>
      <c r="I50" s="105"/>
      <c r="J50" s="50"/>
      <c r="K50" s="47"/>
      <c r="L50" s="48"/>
      <c r="M50" s="49"/>
      <c r="N50" s="60"/>
      <c r="O50" s="78"/>
    </row>
    <row r="51" spans="1:15" ht="15" customHeight="1" thickBot="1" x14ac:dyDescent="0.35">
      <c r="A51" s="332" t="s">
        <v>29</v>
      </c>
      <c r="B51" s="332"/>
      <c r="C51" s="332"/>
      <c r="D51" s="332"/>
      <c r="E51" s="332"/>
      <c r="F51" s="332"/>
      <c r="G51" s="16">
        <f>SUM(G36:G50)</f>
        <v>17732.949999999997</v>
      </c>
      <c r="J51" s="16">
        <f>SUM(J36:J50)</f>
        <v>15966.269565217392</v>
      </c>
      <c r="L51" s="20"/>
      <c r="M51" s="21">
        <f>SUM(M36:M50)</f>
        <v>490.68393695652173</v>
      </c>
    </row>
    <row r="52" spans="1:15" ht="15" customHeight="1" x14ac:dyDescent="0.3">
      <c r="A52" s="22"/>
      <c r="G52" s="8"/>
    </row>
    <row r="53" spans="1:15" ht="15" customHeight="1" x14ac:dyDescent="0.3">
      <c r="A53" s="39"/>
      <c r="G53" s="8"/>
      <c r="J53" s="8"/>
    </row>
    <row r="54" spans="1:15" ht="15" customHeight="1" x14ac:dyDescent="0.3">
      <c r="A54" s="39"/>
      <c r="G54" s="8"/>
      <c r="J54" s="8"/>
    </row>
    <row r="55" spans="1:15" ht="15" customHeight="1" x14ac:dyDescent="0.3">
      <c r="A55" s="39"/>
      <c r="G55" s="8"/>
      <c r="J55" s="8"/>
    </row>
    <row r="56" spans="1:15" ht="15" customHeight="1" x14ac:dyDescent="0.3">
      <c r="A56" s="39"/>
      <c r="G56" s="8"/>
      <c r="J56" s="8"/>
      <c r="M56" s="185">
        <f>M51/12</f>
        <v>40.890328079710144</v>
      </c>
      <c r="N56" s="59" t="s">
        <v>1504</v>
      </c>
    </row>
    <row r="57" spans="1:15" ht="15" customHeight="1" x14ac:dyDescent="0.3">
      <c r="A57" s="39"/>
      <c r="G57" s="8"/>
      <c r="J57" s="8"/>
      <c r="M57" s="185">
        <f>M51/24</f>
        <v>20.445164039855072</v>
      </c>
      <c r="N57" s="59" t="s">
        <v>1504</v>
      </c>
    </row>
    <row r="58" spans="1:15" ht="15" customHeight="1" x14ac:dyDescent="0.25">
      <c r="A58" s="30" t="s">
        <v>0</v>
      </c>
      <c r="B58" s="30"/>
      <c r="C58" s="30"/>
      <c r="D58" s="30"/>
      <c r="E58" s="30"/>
      <c r="F58" s="30"/>
      <c r="G58" s="24"/>
      <c r="H58" s="25"/>
      <c r="I58" s="65"/>
      <c r="J58" s="26"/>
      <c r="K58" s="27"/>
      <c r="L58" s="28"/>
    </row>
    <row r="59" spans="1:15" ht="15" customHeight="1" x14ac:dyDescent="0.25">
      <c r="A59" s="30" t="s">
        <v>1</v>
      </c>
      <c r="B59" s="30"/>
      <c r="C59" s="30"/>
      <c r="D59" s="30"/>
      <c r="E59" s="30"/>
      <c r="F59" s="30"/>
      <c r="G59" s="24"/>
      <c r="H59" s="25"/>
      <c r="I59" s="65"/>
      <c r="J59" s="27"/>
      <c r="K59" s="27"/>
      <c r="L59" s="28"/>
    </row>
    <row r="60" spans="1:15" ht="15" customHeight="1" x14ac:dyDescent="0.25">
      <c r="A60" s="30"/>
      <c r="B60" s="30" t="s">
        <v>1198</v>
      </c>
      <c r="C60" s="30"/>
      <c r="D60" s="64"/>
      <c r="E60" s="30"/>
      <c r="F60" s="30"/>
      <c r="G60" s="24"/>
      <c r="H60" s="25"/>
      <c r="I60" s="65"/>
      <c r="J60" s="27"/>
      <c r="K60" s="27"/>
      <c r="L60" s="28"/>
      <c r="M60" s="29"/>
    </row>
    <row r="61" spans="1:15" ht="15" customHeight="1" thickBot="1" x14ac:dyDescent="0.3">
      <c r="A61" s="30"/>
      <c r="B61" s="30" t="s">
        <v>1130</v>
      </c>
      <c r="C61" s="30"/>
      <c r="D61" s="64"/>
      <c r="E61" s="30"/>
      <c r="F61" s="30"/>
      <c r="G61" s="32"/>
      <c r="H61" s="24"/>
      <c r="I61" s="69"/>
      <c r="J61" s="33"/>
      <c r="K61" s="27"/>
      <c r="L61" s="28"/>
      <c r="M61" s="29"/>
    </row>
    <row r="62" spans="1:15" ht="15" customHeight="1" x14ac:dyDescent="0.25">
      <c r="A62" s="34" t="s">
        <v>66</v>
      </c>
      <c r="B62" s="182"/>
      <c r="C62" s="33"/>
      <c r="D62" s="65"/>
      <c r="E62" s="33"/>
      <c r="F62" s="33"/>
      <c r="G62" s="35" t="s">
        <v>3</v>
      </c>
      <c r="H62" s="27"/>
      <c r="I62" s="65"/>
      <c r="J62" s="36" t="s">
        <v>4</v>
      </c>
      <c r="K62" s="56" t="s">
        <v>5</v>
      </c>
      <c r="L62" s="40" t="s">
        <v>6</v>
      </c>
      <c r="M62" s="36" t="s">
        <v>7</v>
      </c>
      <c r="O62" s="8"/>
    </row>
    <row r="63" spans="1:15" ht="15" customHeight="1" thickBot="1" x14ac:dyDescent="0.3">
      <c r="A63" s="11" t="s">
        <v>8</v>
      </c>
      <c r="B63" s="11" t="s">
        <v>9</v>
      </c>
      <c r="C63" s="11" t="s">
        <v>10</v>
      </c>
      <c r="D63" s="66" t="s">
        <v>11</v>
      </c>
      <c r="E63" s="11" t="s">
        <v>12</v>
      </c>
      <c r="F63" s="54" t="s">
        <v>50</v>
      </c>
      <c r="G63" s="12" t="s">
        <v>13</v>
      </c>
      <c r="H63" s="13" t="s">
        <v>14</v>
      </c>
      <c r="I63" s="70" t="s">
        <v>15</v>
      </c>
      <c r="J63" s="14" t="s">
        <v>16</v>
      </c>
      <c r="K63" s="57"/>
      <c r="L63" s="58" t="s">
        <v>17</v>
      </c>
      <c r="M63" s="14" t="s">
        <v>39</v>
      </c>
      <c r="O63" s="8"/>
    </row>
    <row r="64" spans="1:15" ht="15" customHeight="1" x14ac:dyDescent="0.25">
      <c r="A64" s="218" t="s">
        <v>1254</v>
      </c>
      <c r="B64" s="55" t="s">
        <v>1255</v>
      </c>
      <c r="C64" s="219" t="s">
        <v>1256</v>
      </c>
      <c r="D64" s="220">
        <v>45832.427395833001</v>
      </c>
      <c r="E64" s="99">
        <v>52.68</v>
      </c>
      <c r="F64" s="99">
        <v>7.9</v>
      </c>
      <c r="G64" s="227">
        <v>48.7</v>
      </c>
      <c r="H64" s="221">
        <v>6.72</v>
      </c>
      <c r="I64" s="228">
        <v>45884</v>
      </c>
      <c r="J64" s="50">
        <f>+E64-F64</f>
        <v>44.78</v>
      </c>
      <c r="K64" s="47">
        <f>+I64-D64</f>
        <v>51.572604166998644</v>
      </c>
      <c r="L64" s="48">
        <v>0.03</v>
      </c>
      <c r="M64" s="49">
        <f>+J64*L64</f>
        <v>1.3433999999999999</v>
      </c>
    </row>
    <row r="65" spans="1:14" ht="15" customHeight="1" x14ac:dyDescent="0.25">
      <c r="A65" s="218" t="s">
        <v>1249</v>
      </c>
      <c r="B65" s="225" t="s">
        <v>1250</v>
      </c>
      <c r="C65" s="219" t="s">
        <v>1257</v>
      </c>
      <c r="D65" s="220">
        <v>45888.341134258997</v>
      </c>
      <c r="E65" s="226">
        <v>982.8</v>
      </c>
      <c r="F65" s="226">
        <v>196.56</v>
      </c>
      <c r="G65" s="226">
        <v>904.18</v>
      </c>
      <c r="H65" s="221">
        <v>117.94</v>
      </c>
      <c r="I65" s="229">
        <v>45888</v>
      </c>
      <c r="J65" s="50">
        <f>+E65-F65</f>
        <v>786.24</v>
      </c>
      <c r="K65" s="47">
        <f>+I65-D65</f>
        <v>-0.34113425899704453</v>
      </c>
      <c r="L65" s="48">
        <v>0.04</v>
      </c>
      <c r="M65" s="49">
        <f>+J65*L65</f>
        <v>31.4496</v>
      </c>
    </row>
    <row r="66" spans="1:14" ht="15" customHeight="1" x14ac:dyDescent="0.25">
      <c r="A66" s="218" t="s">
        <v>1249</v>
      </c>
      <c r="B66" s="224" t="s">
        <v>1250</v>
      </c>
      <c r="C66" s="219" t="s">
        <v>1251</v>
      </c>
      <c r="D66" s="220">
        <v>45889.345462963</v>
      </c>
      <c r="E66" s="222">
        <f>9.5+2.38</f>
        <v>11.879999999999999</v>
      </c>
      <c r="F66" s="222">
        <v>2.38</v>
      </c>
      <c r="G66" s="222">
        <f>10.93</f>
        <v>10.93</v>
      </c>
      <c r="H66" s="87">
        <v>23.3</v>
      </c>
      <c r="I66" s="223">
        <v>45889</v>
      </c>
      <c r="J66" s="50">
        <f>+E66-F66</f>
        <v>9.5</v>
      </c>
      <c r="K66" s="47">
        <f>+I66-D66</f>
        <v>-0.34546296299959067</v>
      </c>
      <c r="L66" s="48">
        <v>0.04</v>
      </c>
      <c r="M66" s="49">
        <f>+J66*L66</f>
        <v>0.38</v>
      </c>
    </row>
    <row r="67" spans="1:14" ht="15" customHeight="1" x14ac:dyDescent="0.25">
      <c r="A67" s="171"/>
      <c r="B67" s="160"/>
      <c r="C67" s="171"/>
      <c r="D67" s="172"/>
      <c r="E67" s="87"/>
      <c r="F67" s="87"/>
      <c r="G67" s="94"/>
      <c r="H67" s="87"/>
      <c r="I67" s="106"/>
      <c r="J67" s="50"/>
      <c r="K67" s="47"/>
      <c r="L67" s="48"/>
      <c r="M67" s="49"/>
    </row>
    <row r="68" spans="1:14" ht="15" customHeight="1" x14ac:dyDescent="0.3">
      <c r="A68" s="42"/>
      <c r="B68" s="43"/>
      <c r="C68" s="43"/>
      <c r="D68" s="68"/>
      <c r="E68" s="44"/>
      <c r="F68" s="44"/>
      <c r="G68" s="45"/>
      <c r="H68" s="46"/>
      <c r="I68" s="72"/>
      <c r="J68" s="50"/>
      <c r="K68" s="47"/>
      <c r="L68" s="48"/>
      <c r="M68" s="49"/>
    </row>
    <row r="69" spans="1:14" ht="15" customHeight="1" x14ac:dyDescent="0.25">
      <c r="A69" s="213"/>
      <c r="B69" s="213"/>
      <c r="C69" s="213"/>
      <c r="D69" s="213"/>
      <c r="E69" s="213"/>
      <c r="F69" s="213"/>
      <c r="G69" s="75">
        <f>SUM(G64:G68)</f>
        <v>963.81</v>
      </c>
      <c r="H69" s="80"/>
      <c r="I69" s="81"/>
      <c r="J69" s="75">
        <f>SUM(J64:J68)</f>
        <v>840.52</v>
      </c>
      <c r="K69" s="82"/>
      <c r="L69" s="82"/>
      <c r="M69" s="75">
        <f>SUM(M64:M68)</f>
        <v>33.173000000000002</v>
      </c>
    </row>
    <row r="70" spans="1:14" ht="15" customHeight="1" x14ac:dyDescent="0.25">
      <c r="A70" s="76"/>
      <c r="B70" s="76"/>
      <c r="C70" s="76"/>
      <c r="D70" s="77"/>
      <c r="E70" s="76"/>
      <c r="F70" s="76"/>
      <c r="G70" s="78"/>
      <c r="H70" s="52"/>
      <c r="I70" s="79"/>
      <c r="J70" s="52"/>
      <c r="K70" s="52"/>
      <c r="L70" s="52"/>
      <c r="M70" s="52"/>
    </row>
    <row r="71" spans="1:14" x14ac:dyDescent="0.25">
      <c r="A71" s="76"/>
      <c r="B71" s="76"/>
      <c r="C71" s="76"/>
      <c r="D71" s="77"/>
      <c r="E71" s="76"/>
      <c r="F71" s="76"/>
      <c r="G71" s="78"/>
      <c r="H71" s="52"/>
      <c r="I71" s="79"/>
      <c r="J71" s="78"/>
      <c r="K71" s="52"/>
      <c r="L71" s="52"/>
      <c r="M71" s="78"/>
    </row>
    <row r="72" spans="1:14" x14ac:dyDescent="0.25">
      <c r="A72" s="52" t="s">
        <v>19</v>
      </c>
      <c r="B72" s="76" t="s">
        <v>20</v>
      </c>
      <c r="C72" s="76" t="s">
        <v>21</v>
      </c>
      <c r="D72" s="79"/>
      <c r="E72" s="52"/>
      <c r="F72" s="52"/>
      <c r="G72" s="78"/>
      <c r="H72" s="52"/>
      <c r="I72" s="79"/>
      <c r="J72" s="52"/>
      <c r="K72" s="52"/>
      <c r="L72" s="52"/>
      <c r="M72" s="52"/>
    </row>
    <row r="73" spans="1:14" s="52" customFormat="1" ht="15" x14ac:dyDescent="0.25">
      <c r="A73" s="101" t="s">
        <v>1246</v>
      </c>
      <c r="B73" s="101" t="s">
        <v>1247</v>
      </c>
      <c r="C73" s="102" t="s">
        <v>1248</v>
      </c>
      <c r="D73" s="105">
        <v>45860</v>
      </c>
      <c r="E73" s="92">
        <f>491.44+86.72</f>
        <v>578.16</v>
      </c>
      <c r="F73" s="92">
        <v>86.72</v>
      </c>
      <c r="G73" s="90">
        <f>565.16</f>
        <v>565.16</v>
      </c>
      <c r="H73" s="92">
        <v>73.72</v>
      </c>
      <c r="I73" s="105">
        <v>45930</v>
      </c>
      <c r="J73" s="50">
        <f t="shared" ref="J73" si="13">+E73-F73</f>
        <v>491.43999999999994</v>
      </c>
      <c r="K73" s="47">
        <f t="shared" ref="K73" si="14">+I73-D73</f>
        <v>70</v>
      </c>
      <c r="L73" s="48">
        <v>0.03</v>
      </c>
      <c r="M73" s="49">
        <f t="shared" ref="M73" si="15">+J73*L73</f>
        <v>14.743199999999998</v>
      </c>
      <c r="N73" s="60"/>
    </row>
    <row r="74" spans="1:14" ht="15" x14ac:dyDescent="0.25">
      <c r="A74" s="91"/>
      <c r="B74" s="102"/>
      <c r="C74" s="93"/>
      <c r="D74" s="88"/>
      <c r="E74" s="92"/>
      <c r="F74" s="92"/>
      <c r="G74" s="90"/>
      <c r="H74" s="92"/>
      <c r="I74" s="105"/>
      <c r="J74" s="50"/>
      <c r="K74" s="47"/>
      <c r="L74" s="48"/>
      <c r="M74" s="49"/>
    </row>
    <row r="75" spans="1:14" ht="15.6" thickBot="1" x14ac:dyDescent="0.3">
      <c r="A75" s="91"/>
      <c r="B75" s="102"/>
      <c r="C75" s="93"/>
      <c r="D75" s="88"/>
      <c r="E75" s="92"/>
      <c r="F75" s="92"/>
      <c r="G75" s="90"/>
      <c r="H75" s="92"/>
      <c r="I75" s="105"/>
      <c r="J75" s="50"/>
      <c r="K75" s="47"/>
      <c r="L75" s="48"/>
      <c r="M75" s="49"/>
    </row>
    <row r="76" spans="1:14" ht="16.2" thickBot="1" x14ac:dyDescent="0.35">
      <c r="A76" s="212" t="s">
        <v>29</v>
      </c>
      <c r="B76" s="212"/>
      <c r="C76" s="212"/>
      <c r="D76" s="212"/>
      <c r="E76" s="212"/>
      <c r="F76" s="212"/>
      <c r="G76" s="37">
        <f>SUM(G69:G75)</f>
        <v>1528.9699999999998</v>
      </c>
      <c r="I76" s="63"/>
      <c r="J76" s="37">
        <f>SUM(J69:J75)</f>
        <v>1331.96</v>
      </c>
      <c r="L76" s="20"/>
      <c r="M76" s="38">
        <f>SUM(M69:M75)</f>
        <v>47.916200000000003</v>
      </c>
    </row>
    <row r="77" spans="1:14" x14ac:dyDescent="0.25">
      <c r="A77" s="19"/>
      <c r="E77" s="19"/>
      <c r="F77" s="19"/>
      <c r="G77" s="8"/>
      <c r="I77" s="63"/>
    </row>
    <row r="79" spans="1:14" x14ac:dyDescent="0.25">
      <c r="J79" s="8"/>
    </row>
    <row r="80" spans="1:14" x14ac:dyDescent="0.25">
      <c r="J80" s="8"/>
    </row>
    <row r="81" spans="10:14" x14ac:dyDescent="0.25">
      <c r="J81" s="8">
        <f>(J51+J76)*2%</f>
        <v>345.96459130434783</v>
      </c>
      <c r="M81" s="185">
        <f>M76/12</f>
        <v>3.9930166666666671</v>
      </c>
      <c r="N81" s="59" t="s">
        <v>1504</v>
      </c>
    </row>
    <row r="82" spans="10:14" x14ac:dyDescent="0.25">
      <c r="J82" s="185">
        <f>J81/12</f>
        <v>28.830382608695654</v>
      </c>
      <c r="K82" s="7" t="s">
        <v>876</v>
      </c>
      <c r="M82" s="185">
        <f>M76/24</f>
        <v>1.9965083333333336</v>
      </c>
      <c r="N82" s="59" t="s">
        <v>1504</v>
      </c>
    </row>
    <row r="83" spans="10:14" x14ac:dyDescent="0.25">
      <c r="J83" s="185">
        <f>J81/24</f>
        <v>14.415191304347827</v>
      </c>
      <c r="K83" s="7" t="s">
        <v>876</v>
      </c>
    </row>
  </sheetData>
  <sortState xmlns:xlrd2="http://schemas.microsoft.com/office/spreadsheetml/2017/richdata2" ref="A8:O34">
    <sortCondition ref="C8:C34"/>
  </sortState>
  <mergeCells count="2">
    <mergeCell ref="A3:F3"/>
    <mergeCell ref="A51:F51"/>
  </mergeCells>
  <pageMargins left="0.19685039370078741" right="0" top="0.39370078740157483" bottom="0" header="0" footer="0"/>
  <pageSetup paperSize="9" scale="72" orientation="landscape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80010-E9A5-48BA-BE52-9431A4A4701E}">
  <dimension ref="A1:O96"/>
  <sheetViews>
    <sheetView topLeftCell="A56" workbookViewId="0">
      <selection activeCell="J90" sqref="J90:N97"/>
    </sheetView>
  </sheetViews>
  <sheetFormatPr baseColWidth="10" defaultColWidth="11.44140625" defaultRowHeight="13.2" x14ac:dyDescent="0.25"/>
  <cols>
    <col min="1" max="1" width="44.6640625" style="7" customWidth="1"/>
    <col min="2" max="2" width="24.6640625" style="19" customWidth="1"/>
    <col min="3" max="3" width="24.88671875" style="19" customWidth="1"/>
    <col min="4" max="4" width="10.33203125" style="67" customWidth="1"/>
    <col min="5" max="5" width="11.6640625" style="7" customWidth="1"/>
    <col min="6" max="6" width="9.88671875" style="7" customWidth="1"/>
    <col min="7" max="7" width="13" style="7" customWidth="1"/>
    <col min="8" max="8" width="9.88671875" style="7" customWidth="1"/>
    <col min="9" max="9" width="10.6640625" style="67" customWidth="1"/>
    <col min="10" max="10" width="13" style="7" customWidth="1"/>
    <col min="11" max="11" width="7.33203125" style="7" customWidth="1"/>
    <col min="12" max="12" width="6.44140625" style="7" customWidth="1"/>
    <col min="13" max="13" width="10.109375" style="7" customWidth="1"/>
    <col min="14" max="14" width="24.33203125" style="59" customWidth="1"/>
    <col min="15" max="16" width="8" style="7" customWidth="1"/>
    <col min="17" max="16384" width="11.44140625" style="7"/>
  </cols>
  <sheetData>
    <row r="1" spans="1:15" ht="15" customHeight="1" x14ac:dyDescent="0.25">
      <c r="B1" s="181"/>
      <c r="C1" s="181"/>
      <c r="G1" s="8"/>
    </row>
    <row r="2" spans="1:15" ht="15" customHeight="1" x14ac:dyDescent="0.25">
      <c r="A2" s="30"/>
      <c r="B2" s="30"/>
      <c r="C2" s="30"/>
      <c r="D2" s="30"/>
      <c r="E2" s="30"/>
      <c r="F2" s="30"/>
      <c r="G2" s="24"/>
      <c r="H2" s="24"/>
      <c r="I2" s="195"/>
      <c r="J2" s="26"/>
      <c r="K2" s="27"/>
      <c r="L2" s="28"/>
      <c r="M2" s="29"/>
    </row>
    <row r="3" spans="1:15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195"/>
      <c r="J3" s="27"/>
      <c r="K3" s="27"/>
      <c r="L3" s="28"/>
      <c r="M3" s="29"/>
    </row>
    <row r="4" spans="1:15" ht="15" customHeight="1" x14ac:dyDescent="0.25">
      <c r="A4" s="30"/>
      <c r="B4" s="30" t="s">
        <v>1272</v>
      </c>
      <c r="C4" s="30"/>
      <c r="D4" s="64"/>
      <c r="E4" s="30"/>
      <c r="F4" s="30"/>
      <c r="G4" s="24"/>
      <c r="H4" s="25"/>
      <c r="I4" s="195"/>
      <c r="J4" s="27"/>
      <c r="K4" s="27"/>
      <c r="L4" s="28"/>
      <c r="M4" s="29"/>
    </row>
    <row r="5" spans="1:15" ht="15" customHeight="1" thickBot="1" x14ac:dyDescent="0.3">
      <c r="A5" s="30"/>
      <c r="B5" s="30" t="s">
        <v>22</v>
      </c>
      <c r="C5" s="30"/>
      <c r="D5" s="64"/>
      <c r="E5" s="30"/>
      <c r="F5" s="30"/>
      <c r="G5" s="32"/>
      <c r="H5" s="24"/>
      <c r="I5" s="64"/>
      <c r="J5" s="33"/>
      <c r="K5" s="27"/>
      <c r="L5" s="28"/>
      <c r="M5" s="29"/>
    </row>
    <row r="6" spans="1:15" ht="15" customHeight="1" x14ac:dyDescent="0.25">
      <c r="A6" s="34"/>
      <c r="B6" s="182"/>
      <c r="C6" s="182"/>
      <c r="D6" s="195"/>
      <c r="E6" s="33"/>
      <c r="F6" s="33"/>
      <c r="G6" s="35" t="s">
        <v>3</v>
      </c>
      <c r="H6" s="27"/>
      <c r="I6" s="195"/>
      <c r="J6" s="36" t="s">
        <v>4</v>
      </c>
      <c r="K6" s="56" t="s">
        <v>5</v>
      </c>
      <c r="L6" s="40" t="s">
        <v>6</v>
      </c>
      <c r="M6" s="36" t="s">
        <v>7</v>
      </c>
    </row>
    <row r="7" spans="1:15" ht="15" customHeight="1" x14ac:dyDescent="0.25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62" t="s">
        <v>13</v>
      </c>
      <c r="H7" s="13" t="s">
        <v>14</v>
      </c>
      <c r="I7" s="197" t="s">
        <v>15</v>
      </c>
      <c r="J7" s="14" t="s">
        <v>16</v>
      </c>
      <c r="K7" s="57"/>
      <c r="L7" s="58" t="s">
        <v>17</v>
      </c>
      <c r="M7" s="14" t="s">
        <v>39</v>
      </c>
    </row>
    <row r="8" spans="1:15" ht="15" customHeight="1" x14ac:dyDescent="0.25">
      <c r="A8" s="171" t="s">
        <v>1283</v>
      </c>
      <c r="B8" s="231" t="s">
        <v>23</v>
      </c>
      <c r="C8" s="184" t="s">
        <v>1307</v>
      </c>
      <c r="D8" s="172">
        <v>45904.467291667002</v>
      </c>
      <c r="E8" s="232">
        <v>267</v>
      </c>
      <c r="F8" s="232">
        <v>66.75</v>
      </c>
      <c r="G8" s="232">
        <v>230.29</v>
      </c>
      <c r="H8" s="87">
        <v>30.04</v>
      </c>
      <c r="I8" s="106">
        <v>45904</v>
      </c>
      <c r="J8" s="50">
        <f t="shared" ref="J8:J34" si="0">+E8-F8</f>
        <v>200.25</v>
      </c>
      <c r="K8" s="47">
        <f t="shared" ref="K8:K42" si="1">+I8-D8</f>
        <v>-0.46729166700242786</v>
      </c>
      <c r="L8" s="5">
        <v>0.04</v>
      </c>
      <c r="M8" s="6">
        <f t="shared" ref="M8:M42" si="2">+J8*L8</f>
        <v>8.01</v>
      </c>
      <c r="O8" s="78">
        <f>G8-J8</f>
        <v>30.039999999999992</v>
      </c>
    </row>
    <row r="9" spans="1:15" ht="15" customHeight="1" x14ac:dyDescent="0.25">
      <c r="A9" s="171" t="s">
        <v>478</v>
      </c>
      <c r="B9" s="231" t="s">
        <v>120</v>
      </c>
      <c r="C9" s="184" t="s">
        <v>1310</v>
      </c>
      <c r="D9" s="172">
        <v>45909</v>
      </c>
      <c r="E9" s="234">
        <v>147.72</v>
      </c>
      <c r="F9" s="217">
        <v>14.772</v>
      </c>
      <c r="G9" s="157">
        <v>152.88999999999999</v>
      </c>
      <c r="H9" s="217">
        <v>19.940000000000001</v>
      </c>
      <c r="I9" s="106">
        <v>45909</v>
      </c>
      <c r="J9" s="50">
        <f t="shared" si="0"/>
        <v>132.94800000000001</v>
      </c>
      <c r="K9" s="47">
        <f t="shared" si="1"/>
        <v>0</v>
      </c>
      <c r="L9" s="5">
        <v>0.04</v>
      </c>
      <c r="M9" s="6">
        <f t="shared" si="2"/>
        <v>5.31792</v>
      </c>
      <c r="O9" s="78">
        <f>G9-J9</f>
        <v>19.941999999999979</v>
      </c>
    </row>
    <row r="10" spans="1:15" ht="15" customHeight="1" x14ac:dyDescent="0.25">
      <c r="A10" s="171" t="s">
        <v>226</v>
      </c>
      <c r="B10" s="231" t="s">
        <v>18</v>
      </c>
      <c r="C10" s="184" t="s">
        <v>1315</v>
      </c>
      <c r="D10" s="172">
        <v>45922</v>
      </c>
      <c r="E10" s="234">
        <v>117</v>
      </c>
      <c r="F10" s="217">
        <v>17.55</v>
      </c>
      <c r="G10" s="157">
        <v>114.37</v>
      </c>
      <c r="H10" s="217">
        <v>14.92</v>
      </c>
      <c r="I10" s="106">
        <v>45922</v>
      </c>
      <c r="J10" s="50">
        <f t="shared" si="0"/>
        <v>99.45</v>
      </c>
      <c r="K10" s="47">
        <f t="shared" si="1"/>
        <v>0</v>
      </c>
      <c r="L10" s="5">
        <v>0.04</v>
      </c>
      <c r="M10" s="6">
        <f t="shared" si="2"/>
        <v>3.9780000000000002</v>
      </c>
      <c r="O10" s="78"/>
    </row>
    <row r="11" spans="1:15" ht="15" customHeight="1" x14ac:dyDescent="0.25">
      <c r="A11" s="171" t="s">
        <v>40</v>
      </c>
      <c r="B11" s="231" t="s">
        <v>18</v>
      </c>
      <c r="C11" s="184" t="s">
        <v>1316</v>
      </c>
      <c r="D11" s="172">
        <v>45929</v>
      </c>
      <c r="E11" s="234">
        <v>68</v>
      </c>
      <c r="F11" s="217">
        <v>10.199999999999999</v>
      </c>
      <c r="G11" s="232">
        <v>62.86</v>
      </c>
      <c r="H11" s="217">
        <v>8.67</v>
      </c>
      <c r="I11" s="106">
        <v>45929</v>
      </c>
      <c r="J11" s="50">
        <f t="shared" si="0"/>
        <v>57.8</v>
      </c>
      <c r="K11" s="47">
        <f t="shared" si="1"/>
        <v>0</v>
      </c>
      <c r="L11" s="5">
        <v>0.04</v>
      </c>
      <c r="M11" s="6">
        <f t="shared" si="2"/>
        <v>2.3119999999999998</v>
      </c>
      <c r="O11" s="78"/>
    </row>
    <row r="12" spans="1:15" ht="15" customHeight="1" x14ac:dyDescent="0.25">
      <c r="A12" s="171" t="s">
        <v>89</v>
      </c>
      <c r="B12" s="231" t="s">
        <v>18</v>
      </c>
      <c r="C12" s="184" t="s">
        <v>1309</v>
      </c>
      <c r="D12" s="172">
        <v>45908</v>
      </c>
      <c r="E12" s="234">
        <v>10.200000000000001</v>
      </c>
      <c r="F12" s="217">
        <v>1.3260000000000001</v>
      </c>
      <c r="G12" s="232">
        <v>9.6399999999999988</v>
      </c>
      <c r="H12" s="217">
        <v>1.33</v>
      </c>
      <c r="I12" s="106">
        <v>45909</v>
      </c>
      <c r="J12" s="50">
        <f t="shared" si="0"/>
        <v>8.8740000000000006</v>
      </c>
      <c r="K12" s="47">
        <f t="shared" si="1"/>
        <v>1</v>
      </c>
      <c r="L12" s="5">
        <v>0.04</v>
      </c>
      <c r="M12" s="6">
        <f t="shared" si="2"/>
        <v>0.35496000000000005</v>
      </c>
      <c r="O12" s="78">
        <f>G12-J12</f>
        <v>0.76599999999999824</v>
      </c>
    </row>
    <row r="13" spans="1:15" ht="15" customHeight="1" x14ac:dyDescent="0.25">
      <c r="A13" s="171" t="s">
        <v>125</v>
      </c>
      <c r="B13" s="231" t="s">
        <v>18</v>
      </c>
      <c r="C13" s="184" t="s">
        <v>1311</v>
      </c>
      <c r="D13" s="172">
        <v>45909</v>
      </c>
      <c r="E13" s="234">
        <v>122.4</v>
      </c>
      <c r="F13" s="217">
        <v>0</v>
      </c>
      <c r="G13" s="157">
        <v>140.76</v>
      </c>
      <c r="H13" s="217">
        <v>18.36</v>
      </c>
      <c r="I13" s="106">
        <v>45910</v>
      </c>
      <c r="J13" s="50">
        <f t="shared" si="0"/>
        <v>122.4</v>
      </c>
      <c r="K13" s="47">
        <f t="shared" si="1"/>
        <v>1</v>
      </c>
      <c r="L13" s="5">
        <v>0.04</v>
      </c>
      <c r="M13" s="6">
        <f t="shared" si="2"/>
        <v>4.8959999999999999</v>
      </c>
      <c r="O13" s="78"/>
    </row>
    <row r="14" spans="1:15" ht="15" customHeight="1" x14ac:dyDescent="0.25">
      <c r="A14" s="171" t="s">
        <v>802</v>
      </c>
      <c r="B14" s="231" t="s">
        <v>27</v>
      </c>
      <c r="C14" s="184" t="s">
        <v>1314</v>
      </c>
      <c r="D14" s="172">
        <v>45922</v>
      </c>
      <c r="E14" s="234">
        <v>71.28</v>
      </c>
      <c r="F14" s="217">
        <v>10.692</v>
      </c>
      <c r="G14" s="157">
        <v>69.680000000000007</v>
      </c>
      <c r="H14" s="217">
        <v>9.09</v>
      </c>
      <c r="I14" s="106">
        <v>45923</v>
      </c>
      <c r="J14" s="50">
        <f t="shared" si="0"/>
        <v>60.588000000000001</v>
      </c>
      <c r="K14" s="47">
        <f t="shared" si="1"/>
        <v>1</v>
      </c>
      <c r="L14" s="5">
        <v>0.04</v>
      </c>
      <c r="M14" s="6">
        <f t="shared" si="2"/>
        <v>2.4235199999999999</v>
      </c>
      <c r="O14" s="78"/>
    </row>
    <row r="15" spans="1:15" ht="15" customHeight="1" x14ac:dyDescent="0.25">
      <c r="A15" s="171" t="s">
        <v>25</v>
      </c>
      <c r="B15" s="231" t="s">
        <v>30</v>
      </c>
      <c r="C15" s="184" t="s">
        <v>1313</v>
      </c>
      <c r="D15" s="172">
        <v>45918</v>
      </c>
      <c r="E15" s="234">
        <v>806.64</v>
      </c>
      <c r="F15" s="217">
        <v>201.66</v>
      </c>
      <c r="G15" s="232">
        <v>657.91</v>
      </c>
      <c r="H15" s="217">
        <v>90.75</v>
      </c>
      <c r="I15" s="106">
        <v>45922</v>
      </c>
      <c r="J15" s="50">
        <f t="shared" si="0"/>
        <v>604.98</v>
      </c>
      <c r="K15" s="47">
        <f t="shared" si="1"/>
        <v>4</v>
      </c>
      <c r="L15" s="5">
        <v>0.04</v>
      </c>
      <c r="M15" s="6">
        <f t="shared" si="2"/>
        <v>24.199200000000001</v>
      </c>
      <c r="O15" s="78"/>
    </row>
    <row r="16" spans="1:15" ht="15" customHeight="1" x14ac:dyDescent="0.25">
      <c r="A16" s="171" t="s">
        <v>25</v>
      </c>
      <c r="B16" s="231" t="s">
        <v>30</v>
      </c>
      <c r="C16" s="184" t="s">
        <v>1301</v>
      </c>
      <c r="D16" s="172">
        <v>45897.696666666998</v>
      </c>
      <c r="E16" s="232">
        <v>829.68</v>
      </c>
      <c r="F16" s="232">
        <v>207.42</v>
      </c>
      <c r="G16" s="232">
        <v>676.71</v>
      </c>
      <c r="H16" s="87">
        <v>93.34</v>
      </c>
      <c r="I16" s="106">
        <v>45903</v>
      </c>
      <c r="J16" s="50">
        <f t="shared" si="0"/>
        <v>622.26</v>
      </c>
      <c r="K16" s="47">
        <f t="shared" si="1"/>
        <v>5.3033333330022288</v>
      </c>
      <c r="L16" s="5">
        <v>0.04</v>
      </c>
      <c r="M16" s="6">
        <f t="shared" si="2"/>
        <v>24.8904</v>
      </c>
      <c r="O16" s="78">
        <f>G16-J16</f>
        <v>54.450000000000045</v>
      </c>
    </row>
    <row r="17" spans="1:15" ht="15" customHeight="1" x14ac:dyDescent="0.25">
      <c r="A17" s="171" t="s">
        <v>1284</v>
      </c>
      <c r="B17" s="231" t="s">
        <v>30</v>
      </c>
      <c r="C17" s="184" t="s">
        <v>1312</v>
      </c>
      <c r="D17" s="172">
        <v>45916</v>
      </c>
      <c r="E17" s="234">
        <v>1888.1</v>
      </c>
      <c r="F17" s="217">
        <v>245.453</v>
      </c>
      <c r="G17" s="232">
        <v>1613.9</v>
      </c>
      <c r="H17" s="217">
        <v>246.4</v>
      </c>
      <c r="I17" s="106">
        <v>45929</v>
      </c>
      <c r="J17" s="50">
        <f t="shared" si="0"/>
        <v>1642.6469999999999</v>
      </c>
      <c r="K17" s="47">
        <f t="shared" si="1"/>
        <v>13</v>
      </c>
      <c r="L17" s="5">
        <v>3.5000000000000003E-2</v>
      </c>
      <c r="M17" s="6">
        <f t="shared" si="2"/>
        <v>57.492645000000003</v>
      </c>
      <c r="O17" s="78"/>
    </row>
    <row r="18" spans="1:15" ht="15" customHeight="1" x14ac:dyDescent="0.25">
      <c r="A18" s="171" t="s">
        <v>60</v>
      </c>
      <c r="B18" s="231" t="s">
        <v>61</v>
      </c>
      <c r="C18" s="184" t="s">
        <v>1308</v>
      </c>
      <c r="D18" s="172">
        <v>45908.370729167</v>
      </c>
      <c r="E18" s="232">
        <v>152.76</v>
      </c>
      <c r="F18" s="232">
        <v>22.91</v>
      </c>
      <c r="G18" s="232">
        <v>149.33000000000001</v>
      </c>
      <c r="H18" s="87">
        <v>19.48</v>
      </c>
      <c r="I18" s="106">
        <v>45922</v>
      </c>
      <c r="J18" s="50">
        <f t="shared" si="0"/>
        <v>129.85</v>
      </c>
      <c r="K18" s="47">
        <f t="shared" si="1"/>
        <v>13.629270833000191</v>
      </c>
      <c r="L18" s="5">
        <v>3.5000000000000003E-2</v>
      </c>
      <c r="M18" s="6">
        <f t="shared" si="2"/>
        <v>4.5447500000000005</v>
      </c>
      <c r="O18" s="78">
        <f t="shared" ref="O18:O42" si="3">G18-J18</f>
        <v>19.480000000000018</v>
      </c>
    </row>
    <row r="19" spans="1:15" ht="15" customHeight="1" x14ac:dyDescent="0.25">
      <c r="A19" s="171" t="s">
        <v>701</v>
      </c>
      <c r="B19" s="231" t="s">
        <v>24</v>
      </c>
      <c r="C19" s="184" t="s">
        <v>1306</v>
      </c>
      <c r="D19" s="172">
        <v>45902.418206019</v>
      </c>
      <c r="E19" s="232">
        <v>64.8</v>
      </c>
      <c r="F19" s="232">
        <v>16.2</v>
      </c>
      <c r="G19" s="232">
        <v>52.85</v>
      </c>
      <c r="H19" s="87">
        <v>7.29</v>
      </c>
      <c r="I19" s="106">
        <v>45922</v>
      </c>
      <c r="J19" s="50">
        <f t="shared" si="0"/>
        <v>48.599999999999994</v>
      </c>
      <c r="K19" s="47">
        <f t="shared" si="1"/>
        <v>19.581793981000374</v>
      </c>
      <c r="L19" s="5">
        <v>3.5000000000000003E-2</v>
      </c>
      <c r="M19" s="6">
        <f t="shared" si="2"/>
        <v>1.7010000000000001</v>
      </c>
      <c r="O19" s="78">
        <f t="shared" si="3"/>
        <v>4.2500000000000071</v>
      </c>
    </row>
    <row r="20" spans="1:15" ht="15" customHeight="1" x14ac:dyDescent="0.25">
      <c r="A20" s="171" t="s">
        <v>701</v>
      </c>
      <c r="B20" s="231" t="s">
        <v>24</v>
      </c>
      <c r="C20" s="184" t="s">
        <v>1305</v>
      </c>
      <c r="D20" s="172">
        <v>45902.416215277997</v>
      </c>
      <c r="E20" s="232">
        <v>818.4</v>
      </c>
      <c r="F20" s="232">
        <v>204.6</v>
      </c>
      <c r="G20" s="232">
        <v>667.51</v>
      </c>
      <c r="H20" s="87">
        <v>92.07</v>
      </c>
      <c r="I20" s="106">
        <v>45922</v>
      </c>
      <c r="J20" s="50">
        <f t="shared" si="0"/>
        <v>613.79999999999995</v>
      </c>
      <c r="K20" s="47">
        <f t="shared" si="1"/>
        <v>19.583784722002747</v>
      </c>
      <c r="L20" s="5">
        <v>3.5000000000000003E-2</v>
      </c>
      <c r="M20" s="6">
        <f t="shared" si="2"/>
        <v>21.483000000000001</v>
      </c>
      <c r="O20" s="78">
        <f t="shared" si="3"/>
        <v>53.710000000000036</v>
      </c>
    </row>
    <row r="21" spans="1:15" ht="15" customHeight="1" x14ac:dyDescent="0.25">
      <c r="A21" s="171" t="s">
        <v>73</v>
      </c>
      <c r="B21" s="231" t="s">
        <v>18</v>
      </c>
      <c r="C21" s="184" t="s">
        <v>1304</v>
      </c>
      <c r="D21" s="172">
        <v>45902.369479166999</v>
      </c>
      <c r="E21" s="232">
        <v>1203.5999999999999</v>
      </c>
      <c r="F21" s="232">
        <v>240.72</v>
      </c>
      <c r="G21" s="232">
        <v>953.25</v>
      </c>
      <c r="H21" s="87">
        <v>144.43</v>
      </c>
      <c r="I21" s="106">
        <v>45929</v>
      </c>
      <c r="J21" s="50">
        <f t="shared" si="0"/>
        <v>962.87999999999988</v>
      </c>
      <c r="K21" s="47">
        <f t="shared" si="1"/>
        <v>26.630520833001356</v>
      </c>
      <c r="L21" s="5">
        <v>3.5000000000000003E-2</v>
      </c>
      <c r="M21" s="6">
        <f t="shared" si="2"/>
        <v>33.700800000000001</v>
      </c>
      <c r="O21" s="78">
        <f t="shared" si="3"/>
        <v>-9.6299999999998818</v>
      </c>
    </row>
    <row r="22" spans="1:15" ht="15" customHeight="1" x14ac:dyDescent="0.25">
      <c r="A22" s="171" t="s">
        <v>80</v>
      </c>
      <c r="B22" s="231" t="s">
        <v>18</v>
      </c>
      <c r="C22" s="184" t="s">
        <v>1303</v>
      </c>
      <c r="D22" s="172">
        <v>45901.3909375</v>
      </c>
      <c r="E22" s="232">
        <v>102</v>
      </c>
      <c r="F22" s="232">
        <v>20.399999999999999</v>
      </c>
      <c r="G22" s="232">
        <v>88.740000000000009</v>
      </c>
      <c r="H22" s="87">
        <v>12.24</v>
      </c>
      <c r="I22" s="106">
        <v>45930</v>
      </c>
      <c r="J22" s="50">
        <f t="shared" si="0"/>
        <v>81.599999999999994</v>
      </c>
      <c r="K22" s="47">
        <f t="shared" si="1"/>
        <v>28.609062499999709</v>
      </c>
      <c r="L22" s="5">
        <v>3.5000000000000003E-2</v>
      </c>
      <c r="M22" s="6">
        <f t="shared" si="2"/>
        <v>2.8559999999999999</v>
      </c>
      <c r="O22" s="78">
        <f t="shared" si="3"/>
        <v>7.1400000000000148</v>
      </c>
    </row>
    <row r="23" spans="1:15" ht="15" customHeight="1" x14ac:dyDescent="0.25">
      <c r="A23" s="171" t="s">
        <v>80</v>
      </c>
      <c r="B23" s="231" t="s">
        <v>18</v>
      </c>
      <c r="C23" s="184" t="s">
        <v>1302</v>
      </c>
      <c r="D23" s="172">
        <v>45901.370208332999</v>
      </c>
      <c r="E23" s="232">
        <v>469.20000000000005</v>
      </c>
      <c r="F23" s="232">
        <v>93.84</v>
      </c>
      <c r="G23" s="232">
        <v>408.20000000000005</v>
      </c>
      <c r="H23" s="87">
        <v>56.3</v>
      </c>
      <c r="I23" s="106">
        <v>45930</v>
      </c>
      <c r="J23" s="50">
        <f t="shared" si="0"/>
        <v>375.36</v>
      </c>
      <c r="K23" s="47">
        <f t="shared" si="1"/>
        <v>28.629791667000973</v>
      </c>
      <c r="L23" s="5">
        <v>3.5000000000000003E-2</v>
      </c>
      <c r="M23" s="6">
        <f t="shared" si="2"/>
        <v>13.137600000000003</v>
      </c>
      <c r="O23" s="78">
        <f t="shared" si="3"/>
        <v>32.840000000000032</v>
      </c>
    </row>
    <row r="24" spans="1:15" ht="15" customHeight="1" x14ac:dyDescent="0.25">
      <c r="A24" s="171" t="s">
        <v>847</v>
      </c>
      <c r="B24" s="231" t="s">
        <v>18</v>
      </c>
      <c r="C24" s="184" t="s">
        <v>1299</v>
      </c>
      <c r="D24" s="172">
        <v>45888.569629630001</v>
      </c>
      <c r="E24" s="188">
        <v>93.6</v>
      </c>
      <c r="F24" s="188">
        <v>14.04</v>
      </c>
      <c r="G24" s="188">
        <v>86.52</v>
      </c>
      <c r="H24" s="87">
        <v>11.93</v>
      </c>
      <c r="I24" s="105">
        <v>45919</v>
      </c>
      <c r="J24" s="50">
        <f t="shared" si="0"/>
        <v>79.56</v>
      </c>
      <c r="K24" s="47">
        <f t="shared" si="1"/>
        <v>30.430370369998855</v>
      </c>
      <c r="L24" s="5">
        <v>3.5000000000000003E-2</v>
      </c>
      <c r="M24" s="6">
        <f t="shared" si="2"/>
        <v>2.7846000000000002</v>
      </c>
      <c r="O24" s="78">
        <f t="shared" si="3"/>
        <v>6.9599999999999937</v>
      </c>
    </row>
    <row r="25" spans="1:15" ht="15" customHeight="1" x14ac:dyDescent="0.25">
      <c r="A25" s="171" t="s">
        <v>38</v>
      </c>
      <c r="B25" s="102" t="s">
        <v>18</v>
      </c>
      <c r="C25" s="184" t="s">
        <v>1300</v>
      </c>
      <c r="D25" s="172">
        <v>45894.505844906998</v>
      </c>
      <c r="E25" s="188">
        <v>2724.55</v>
      </c>
      <c r="F25" s="188">
        <v>681.14</v>
      </c>
      <c r="G25" s="188">
        <v>2222.21</v>
      </c>
      <c r="H25" s="87">
        <v>306.51</v>
      </c>
      <c r="I25" s="105">
        <v>45929</v>
      </c>
      <c r="J25" s="50">
        <f t="shared" si="0"/>
        <v>2043.4100000000003</v>
      </c>
      <c r="K25" s="47">
        <f t="shared" si="1"/>
        <v>34.494155093001609</v>
      </c>
      <c r="L25" s="5">
        <v>0.03</v>
      </c>
      <c r="M25" s="6">
        <f t="shared" si="2"/>
        <v>61.30230000000001</v>
      </c>
      <c r="O25" s="78">
        <f t="shared" si="3"/>
        <v>178.79999999999973</v>
      </c>
    </row>
    <row r="26" spans="1:15" ht="15" customHeight="1" x14ac:dyDescent="0.25">
      <c r="A26" s="171" t="s">
        <v>35</v>
      </c>
      <c r="B26" s="55" t="s">
        <v>18</v>
      </c>
      <c r="C26" s="184" t="s">
        <v>1298</v>
      </c>
      <c r="D26" s="172">
        <v>45870.369710648003</v>
      </c>
      <c r="E26" s="188">
        <v>93.6</v>
      </c>
      <c r="F26" s="188">
        <v>14.04</v>
      </c>
      <c r="G26" s="188">
        <v>91.49</v>
      </c>
      <c r="H26" s="87">
        <v>11.93</v>
      </c>
      <c r="I26" s="105">
        <v>45912</v>
      </c>
      <c r="J26" s="50">
        <f t="shared" si="0"/>
        <v>79.56</v>
      </c>
      <c r="K26" s="47">
        <f t="shared" si="1"/>
        <v>41.630289351996907</v>
      </c>
      <c r="L26" s="5">
        <v>0.03</v>
      </c>
      <c r="M26" s="6">
        <f t="shared" si="2"/>
        <v>2.3868</v>
      </c>
      <c r="O26" s="78">
        <f t="shared" si="3"/>
        <v>11.929999999999993</v>
      </c>
    </row>
    <row r="27" spans="1:15" ht="15" customHeight="1" x14ac:dyDescent="0.25">
      <c r="A27" s="171" t="s">
        <v>47</v>
      </c>
      <c r="B27" s="55" t="s">
        <v>18</v>
      </c>
      <c r="C27" s="184" t="s">
        <v>1296</v>
      </c>
      <c r="D27" s="172">
        <v>45848</v>
      </c>
      <c r="E27" s="86">
        <v>479.4</v>
      </c>
      <c r="F27" s="86">
        <v>95.88</v>
      </c>
      <c r="G27" s="227">
        <v>441.05</v>
      </c>
      <c r="H27" s="87">
        <v>57.53</v>
      </c>
      <c r="I27" s="105">
        <v>45912</v>
      </c>
      <c r="J27" s="50">
        <f t="shared" si="0"/>
        <v>383.52</v>
      </c>
      <c r="K27" s="47">
        <f t="shared" si="1"/>
        <v>64</v>
      </c>
      <c r="L27" s="5">
        <v>0.03</v>
      </c>
      <c r="M27" s="6">
        <f t="shared" si="2"/>
        <v>11.505599999999999</v>
      </c>
      <c r="O27" s="78">
        <f t="shared" si="3"/>
        <v>57.53000000000003</v>
      </c>
    </row>
    <row r="28" spans="1:15" ht="15" customHeight="1" x14ac:dyDescent="0.25">
      <c r="A28" s="171" t="s">
        <v>85</v>
      </c>
      <c r="B28" s="55" t="s">
        <v>23</v>
      </c>
      <c r="C28" s="184" t="s">
        <v>1297</v>
      </c>
      <c r="D28" s="172">
        <v>45859</v>
      </c>
      <c r="E28" s="86">
        <v>118.80000000000001</v>
      </c>
      <c r="F28" s="86">
        <v>23.76</v>
      </c>
      <c r="G28" s="227">
        <v>103.36</v>
      </c>
      <c r="H28" s="87">
        <v>14.26</v>
      </c>
      <c r="I28" s="105">
        <v>45930</v>
      </c>
      <c r="J28" s="50">
        <f t="shared" si="0"/>
        <v>95.04</v>
      </c>
      <c r="K28" s="47">
        <f t="shared" si="1"/>
        <v>71</v>
      </c>
      <c r="L28" s="5">
        <v>0.03</v>
      </c>
      <c r="M28" s="6">
        <f t="shared" si="2"/>
        <v>2.8512</v>
      </c>
      <c r="O28" s="78">
        <f t="shared" si="3"/>
        <v>8.3199999999999932</v>
      </c>
    </row>
    <row r="29" spans="1:15" ht="15" customHeight="1" x14ac:dyDescent="0.25">
      <c r="A29" s="171" t="s">
        <v>476</v>
      </c>
      <c r="B29" s="55" t="s">
        <v>61</v>
      </c>
      <c r="C29" s="184" t="s">
        <v>1295</v>
      </c>
      <c r="D29" s="172">
        <v>45831.470081018997</v>
      </c>
      <c r="E29" s="86">
        <v>52.800000000000004</v>
      </c>
      <c r="F29" s="86">
        <v>7.92</v>
      </c>
      <c r="G29" s="227">
        <v>51.61</v>
      </c>
      <c r="H29" s="87">
        <v>6.73</v>
      </c>
      <c r="I29" s="105">
        <v>45908</v>
      </c>
      <c r="J29" s="50">
        <f t="shared" si="0"/>
        <v>44.88</v>
      </c>
      <c r="K29" s="47">
        <f t="shared" si="1"/>
        <v>76.529918981002993</v>
      </c>
      <c r="L29" s="5">
        <v>0.03</v>
      </c>
      <c r="M29" s="6">
        <f t="shared" si="2"/>
        <v>1.3464</v>
      </c>
      <c r="O29" s="78">
        <f t="shared" si="3"/>
        <v>6.7299999999999969</v>
      </c>
    </row>
    <row r="30" spans="1:15" ht="15" customHeight="1" x14ac:dyDescent="0.25">
      <c r="A30" s="171" t="s">
        <v>121</v>
      </c>
      <c r="B30" s="55" t="s">
        <v>32</v>
      </c>
      <c r="C30" s="184" t="s">
        <v>1294</v>
      </c>
      <c r="D30" s="172">
        <v>45831.348148147998</v>
      </c>
      <c r="E30" s="86">
        <v>129.96</v>
      </c>
      <c r="F30" s="86">
        <v>19.489999999999998</v>
      </c>
      <c r="G30" s="227">
        <v>127.04</v>
      </c>
      <c r="H30" s="87">
        <v>16.57</v>
      </c>
      <c r="I30" s="105">
        <v>45909</v>
      </c>
      <c r="J30" s="50">
        <f t="shared" si="0"/>
        <v>110.47000000000001</v>
      </c>
      <c r="K30" s="47">
        <f t="shared" si="1"/>
        <v>77.651851852002437</v>
      </c>
      <c r="L30" s="5">
        <v>0.03</v>
      </c>
      <c r="M30" s="6">
        <f t="shared" si="2"/>
        <v>3.3141000000000003</v>
      </c>
      <c r="O30" s="78">
        <f t="shared" si="3"/>
        <v>16.569999999999993</v>
      </c>
    </row>
    <row r="31" spans="1:15" ht="15" customHeight="1" x14ac:dyDescent="0.25">
      <c r="A31" s="171" t="s">
        <v>36</v>
      </c>
      <c r="B31" s="55" t="s">
        <v>23</v>
      </c>
      <c r="C31" s="184" t="s">
        <v>1292</v>
      </c>
      <c r="D31" s="172">
        <v>45825.635312500002</v>
      </c>
      <c r="E31" s="86">
        <v>485.76</v>
      </c>
      <c r="F31" s="86">
        <v>97.15</v>
      </c>
      <c r="G31" s="227">
        <v>422.60999999999996</v>
      </c>
      <c r="H31" s="87">
        <v>58.29</v>
      </c>
      <c r="I31" s="105">
        <v>45908</v>
      </c>
      <c r="J31" s="50">
        <f t="shared" si="0"/>
        <v>388.61</v>
      </c>
      <c r="K31" s="47">
        <f t="shared" si="1"/>
        <v>82.364687499997672</v>
      </c>
      <c r="L31" s="5">
        <v>0.03</v>
      </c>
      <c r="M31" s="6">
        <f t="shared" si="2"/>
        <v>11.658300000000001</v>
      </c>
      <c r="O31" s="78">
        <f t="shared" si="3"/>
        <v>33.999999999999943</v>
      </c>
    </row>
    <row r="32" spans="1:15" ht="15" customHeight="1" x14ac:dyDescent="0.25">
      <c r="A32" s="171" t="s">
        <v>129</v>
      </c>
      <c r="B32" s="55" t="s">
        <v>30</v>
      </c>
      <c r="C32" s="184" t="s">
        <v>1289</v>
      </c>
      <c r="D32" s="172">
        <v>45811.358993055997</v>
      </c>
      <c r="E32" s="86">
        <v>247.68</v>
      </c>
      <c r="F32" s="86">
        <v>37.15</v>
      </c>
      <c r="G32" s="227">
        <v>242.11</v>
      </c>
      <c r="H32" s="87">
        <v>31.58</v>
      </c>
      <c r="I32" s="105">
        <v>45901</v>
      </c>
      <c r="J32" s="50">
        <f t="shared" si="0"/>
        <v>210.53</v>
      </c>
      <c r="K32" s="47">
        <f t="shared" si="1"/>
        <v>89.641006944002584</v>
      </c>
      <c r="L32" s="5">
        <v>0.03</v>
      </c>
      <c r="M32" s="6">
        <f t="shared" si="2"/>
        <v>6.3159000000000001</v>
      </c>
      <c r="O32" s="78">
        <f t="shared" si="3"/>
        <v>31.580000000000013</v>
      </c>
    </row>
    <row r="33" spans="1:15" ht="15" customHeight="1" x14ac:dyDescent="0.25">
      <c r="A33" s="171" t="s">
        <v>1283</v>
      </c>
      <c r="B33" s="55" t="s">
        <v>23</v>
      </c>
      <c r="C33" s="184" t="s">
        <v>1290</v>
      </c>
      <c r="D33" s="172">
        <v>45813.537210647999</v>
      </c>
      <c r="E33" s="86">
        <v>1072.8</v>
      </c>
      <c r="F33" s="86">
        <v>268.2</v>
      </c>
      <c r="G33" s="227">
        <v>925.29</v>
      </c>
      <c r="H33" s="87">
        <v>120.69</v>
      </c>
      <c r="I33" s="105">
        <v>45904</v>
      </c>
      <c r="J33" s="50">
        <f t="shared" si="0"/>
        <v>804.59999999999991</v>
      </c>
      <c r="K33" s="47">
        <f t="shared" si="1"/>
        <v>90.462789352000982</v>
      </c>
      <c r="L33" s="5">
        <v>0.03</v>
      </c>
      <c r="M33" s="6">
        <f t="shared" si="2"/>
        <v>24.137999999999998</v>
      </c>
      <c r="O33" s="78">
        <f t="shared" si="3"/>
        <v>120.69000000000005</v>
      </c>
    </row>
    <row r="34" spans="1:15" ht="15" customHeight="1" x14ac:dyDescent="0.25">
      <c r="A34" s="171" t="s">
        <v>80</v>
      </c>
      <c r="B34" s="55" t="s">
        <v>18</v>
      </c>
      <c r="C34" s="184" t="s">
        <v>1293</v>
      </c>
      <c r="D34" s="172">
        <v>45827.351342593</v>
      </c>
      <c r="E34" s="86">
        <v>510</v>
      </c>
      <c r="F34" s="86">
        <v>102</v>
      </c>
      <c r="G34" s="227">
        <v>443.7</v>
      </c>
      <c r="H34" s="87">
        <v>61.2</v>
      </c>
      <c r="I34" s="105">
        <v>45923</v>
      </c>
      <c r="J34" s="50">
        <f t="shared" si="0"/>
        <v>408</v>
      </c>
      <c r="K34" s="47">
        <f t="shared" si="1"/>
        <v>95.648657407000428</v>
      </c>
      <c r="L34" s="5">
        <v>0.03</v>
      </c>
      <c r="M34" s="6">
        <f t="shared" si="2"/>
        <v>12.24</v>
      </c>
      <c r="O34" s="78">
        <f t="shared" si="3"/>
        <v>35.699999999999989</v>
      </c>
    </row>
    <row r="35" spans="1:15" ht="15" customHeight="1" x14ac:dyDescent="0.25">
      <c r="A35" s="171" t="s">
        <v>77</v>
      </c>
      <c r="B35" s="55" t="s">
        <v>33</v>
      </c>
      <c r="C35" s="184" t="s">
        <v>1288</v>
      </c>
      <c r="D35" s="172">
        <v>45810.593483796001</v>
      </c>
      <c r="E35" s="86">
        <v>4359.67</v>
      </c>
      <c r="F35" s="86">
        <v>1089.92</v>
      </c>
      <c r="G35" s="227">
        <v>580.36</v>
      </c>
      <c r="H35" s="86">
        <v>490.46</v>
      </c>
      <c r="I35" s="105">
        <v>45915</v>
      </c>
      <c r="J35" s="50">
        <f>580.36/1.15</f>
        <v>504.66086956521747</v>
      </c>
      <c r="K35" s="47">
        <f t="shared" si="1"/>
        <v>104.40651620399876</v>
      </c>
      <c r="L35" s="5">
        <v>0.03</v>
      </c>
      <c r="M35" s="6">
        <f t="shared" si="2"/>
        <v>15.139826086956523</v>
      </c>
      <c r="O35" s="78">
        <f t="shared" si="3"/>
        <v>75.699130434782546</v>
      </c>
    </row>
    <row r="36" spans="1:15" ht="15" customHeight="1" x14ac:dyDescent="0.25">
      <c r="A36" s="171" t="s">
        <v>80</v>
      </c>
      <c r="B36" s="55" t="s">
        <v>18</v>
      </c>
      <c r="C36" s="184" t="s">
        <v>1291</v>
      </c>
      <c r="D36" s="172">
        <v>45818.395937499998</v>
      </c>
      <c r="E36" s="86">
        <v>204</v>
      </c>
      <c r="F36" s="86">
        <v>40.799999999999997</v>
      </c>
      <c r="G36" s="94">
        <v>177.48000000000002</v>
      </c>
      <c r="H36" s="86">
        <v>24.48</v>
      </c>
      <c r="I36" s="105">
        <v>45923</v>
      </c>
      <c r="J36" s="50">
        <f>+E36-F36</f>
        <v>163.19999999999999</v>
      </c>
      <c r="K36" s="47">
        <f t="shared" si="1"/>
        <v>104.60406250000233</v>
      </c>
      <c r="L36" s="5">
        <v>0.03</v>
      </c>
      <c r="M36" s="6">
        <f t="shared" si="2"/>
        <v>4.8959999999999999</v>
      </c>
      <c r="O36" s="78">
        <f t="shared" si="3"/>
        <v>14.28000000000003</v>
      </c>
    </row>
    <row r="37" spans="1:15" ht="15" customHeight="1" x14ac:dyDescent="0.25">
      <c r="A37" s="171" t="s">
        <v>77</v>
      </c>
      <c r="B37" s="55" t="s">
        <v>33</v>
      </c>
      <c r="C37" s="184" t="s">
        <v>1288</v>
      </c>
      <c r="D37" s="172">
        <v>45810.593483796001</v>
      </c>
      <c r="E37" s="86">
        <v>4359.67</v>
      </c>
      <c r="F37" s="86">
        <v>1089.92</v>
      </c>
      <c r="G37" s="94">
        <v>500</v>
      </c>
      <c r="H37" s="86">
        <v>490.46</v>
      </c>
      <c r="I37" s="105">
        <v>45926</v>
      </c>
      <c r="J37" s="50">
        <f>500/1.15</f>
        <v>434.78260869565219</v>
      </c>
      <c r="K37" s="47">
        <f t="shared" si="1"/>
        <v>115.40651620399876</v>
      </c>
      <c r="L37" s="5">
        <v>0.03</v>
      </c>
      <c r="M37" s="6">
        <f t="shared" si="2"/>
        <v>13.043478260869565</v>
      </c>
      <c r="O37" s="78">
        <f t="shared" si="3"/>
        <v>65.217391304347814</v>
      </c>
    </row>
    <row r="38" spans="1:15" ht="15" customHeight="1" x14ac:dyDescent="0.25">
      <c r="A38" s="171" t="s">
        <v>126</v>
      </c>
      <c r="B38" s="55" t="s">
        <v>133</v>
      </c>
      <c r="C38" s="184" t="s">
        <v>1319</v>
      </c>
      <c r="D38" s="172">
        <v>45758</v>
      </c>
      <c r="E38" s="86">
        <v>238.2</v>
      </c>
      <c r="F38" s="86">
        <v>35.729999999999997</v>
      </c>
      <c r="G38" s="227">
        <v>220.19</v>
      </c>
      <c r="H38" s="86">
        <v>30.37</v>
      </c>
      <c r="I38" s="105">
        <v>45901</v>
      </c>
      <c r="J38" s="50">
        <f>+E38-F38</f>
        <v>202.47</v>
      </c>
      <c r="K38" s="47">
        <f t="shared" si="1"/>
        <v>143</v>
      </c>
      <c r="L38" s="5">
        <v>0.03</v>
      </c>
      <c r="M38" s="6">
        <f t="shared" si="2"/>
        <v>6.0740999999999996</v>
      </c>
      <c r="O38" s="78">
        <f t="shared" si="3"/>
        <v>17.72</v>
      </c>
    </row>
    <row r="39" spans="1:15" ht="15" customHeight="1" x14ac:dyDescent="0.25">
      <c r="A39" s="171" t="s">
        <v>420</v>
      </c>
      <c r="B39" s="55" t="s">
        <v>57</v>
      </c>
      <c r="C39" s="184" t="s">
        <v>1099</v>
      </c>
      <c r="D39" s="172">
        <v>45757</v>
      </c>
      <c r="E39" s="86">
        <v>369</v>
      </c>
      <c r="F39" s="86">
        <v>55.35</v>
      </c>
      <c r="G39" s="227">
        <v>50</v>
      </c>
      <c r="H39" s="86">
        <v>47.05</v>
      </c>
      <c r="I39" s="105">
        <v>45905</v>
      </c>
      <c r="J39" s="50">
        <f>50/1.15</f>
        <v>43.478260869565219</v>
      </c>
      <c r="K39" s="47">
        <f t="shared" si="1"/>
        <v>148</v>
      </c>
      <c r="L39" s="5">
        <v>0.03</v>
      </c>
      <c r="M39" s="6">
        <f t="shared" si="2"/>
        <v>1.3043478260869565</v>
      </c>
      <c r="O39" s="78">
        <f t="shared" si="3"/>
        <v>6.5217391304347814</v>
      </c>
    </row>
    <row r="40" spans="1:15" ht="15" customHeight="1" x14ac:dyDescent="0.25">
      <c r="A40" s="171" t="s">
        <v>80</v>
      </c>
      <c r="B40" s="55" t="s">
        <v>18</v>
      </c>
      <c r="C40" s="184" t="s">
        <v>1287</v>
      </c>
      <c r="D40" s="172">
        <v>45758</v>
      </c>
      <c r="E40" s="86">
        <v>306</v>
      </c>
      <c r="F40" s="86">
        <v>61.2</v>
      </c>
      <c r="G40" s="94">
        <v>266.22000000000003</v>
      </c>
      <c r="H40" s="227">
        <v>36.72</v>
      </c>
      <c r="I40" s="105">
        <v>45923</v>
      </c>
      <c r="J40" s="50">
        <f>+E40-F40</f>
        <v>244.8</v>
      </c>
      <c r="K40" s="47">
        <f t="shared" si="1"/>
        <v>165</v>
      </c>
      <c r="L40" s="5">
        <v>0.03</v>
      </c>
      <c r="M40" s="6">
        <f t="shared" si="2"/>
        <v>7.3440000000000003</v>
      </c>
      <c r="O40" s="78">
        <f t="shared" si="3"/>
        <v>21.420000000000016</v>
      </c>
    </row>
    <row r="41" spans="1:15" ht="15" customHeight="1" x14ac:dyDescent="0.25">
      <c r="A41" s="171" t="s">
        <v>1283</v>
      </c>
      <c r="B41" s="55" t="s">
        <v>23</v>
      </c>
      <c r="C41" s="184" t="s">
        <v>1286</v>
      </c>
      <c r="D41" s="172">
        <v>45754</v>
      </c>
      <c r="E41" s="86">
        <v>3472.8</v>
      </c>
      <c r="F41" s="86">
        <v>868.2</v>
      </c>
      <c r="G41" s="94">
        <v>1495.29</v>
      </c>
      <c r="H41" s="86">
        <v>390.69</v>
      </c>
      <c r="I41" s="105">
        <v>45930</v>
      </c>
      <c r="J41" s="50">
        <f>1495.29/1.15</f>
        <v>1300.2521739130436</v>
      </c>
      <c r="K41" s="47">
        <f t="shared" si="1"/>
        <v>176</v>
      </c>
      <c r="L41" s="5">
        <v>0.03</v>
      </c>
      <c r="M41" s="6">
        <f t="shared" si="2"/>
        <v>39.00756521739131</v>
      </c>
      <c r="O41" s="78">
        <f t="shared" si="3"/>
        <v>195.03782608695633</v>
      </c>
    </row>
    <row r="42" spans="1:15" ht="15" customHeight="1" x14ac:dyDescent="0.25">
      <c r="A42" s="171" t="s">
        <v>847</v>
      </c>
      <c r="B42" s="55" t="s">
        <v>18</v>
      </c>
      <c r="C42" s="184" t="s">
        <v>1285</v>
      </c>
      <c r="D42" s="172">
        <v>45721</v>
      </c>
      <c r="E42" s="86">
        <v>90.96</v>
      </c>
      <c r="F42" s="86">
        <v>13.64</v>
      </c>
      <c r="G42" s="227">
        <v>84.09</v>
      </c>
      <c r="H42" s="86">
        <v>11.6</v>
      </c>
      <c r="I42" s="105">
        <v>45916</v>
      </c>
      <c r="J42" s="50">
        <f>+E42-F42</f>
        <v>77.319999999999993</v>
      </c>
      <c r="K42" s="47">
        <f t="shared" si="1"/>
        <v>195</v>
      </c>
      <c r="L42" s="5">
        <v>0.03</v>
      </c>
      <c r="M42" s="6">
        <f t="shared" si="2"/>
        <v>2.3195999999999999</v>
      </c>
      <c r="O42" s="78">
        <f t="shared" si="3"/>
        <v>6.7700000000000102</v>
      </c>
    </row>
    <row r="43" spans="1:15" ht="15" customHeight="1" x14ac:dyDescent="0.25">
      <c r="A43" s="171"/>
      <c r="B43" s="231"/>
      <c r="C43" s="184"/>
      <c r="D43" s="172"/>
      <c r="E43" s="232"/>
      <c r="F43" s="232"/>
      <c r="G43" s="232"/>
      <c r="H43" s="87"/>
      <c r="I43" s="106"/>
      <c r="J43" s="50"/>
      <c r="K43" s="47"/>
      <c r="L43" s="5"/>
      <c r="M43" s="6"/>
      <c r="O43" s="78"/>
    </row>
    <row r="44" spans="1:15" ht="15" customHeight="1" x14ac:dyDescent="0.25">
      <c r="A44" s="171"/>
      <c r="B44" s="160"/>
      <c r="C44" s="171"/>
      <c r="D44" s="201"/>
      <c r="E44" s="87"/>
      <c r="F44" s="87"/>
      <c r="G44" s="94"/>
      <c r="H44" s="87"/>
      <c r="I44" s="106"/>
      <c r="J44" s="50"/>
      <c r="K44" s="47"/>
      <c r="L44" s="5"/>
      <c r="M44" s="6"/>
      <c r="O44" s="78"/>
    </row>
    <row r="45" spans="1:15" ht="15" customHeight="1" x14ac:dyDescent="0.3">
      <c r="G45" s="16">
        <f>SUM(G8:G44)</f>
        <v>14579.510000000002</v>
      </c>
      <c r="J45" s="16">
        <f>SUM(J8:J44)</f>
        <v>13383.430913043481</v>
      </c>
      <c r="M45" s="16">
        <f>SUM(M8:M44)</f>
        <v>440.26991239130433</v>
      </c>
    </row>
    <row r="46" spans="1:15" ht="15" customHeight="1" x14ac:dyDescent="0.25">
      <c r="G46" s="8"/>
      <c r="H46" s="8"/>
    </row>
    <row r="47" spans="1:15" ht="15" customHeight="1" x14ac:dyDescent="0.25">
      <c r="A47" s="17" t="s">
        <v>19</v>
      </c>
      <c r="B47" s="18" t="s">
        <v>20</v>
      </c>
      <c r="C47" s="18" t="s">
        <v>21</v>
      </c>
      <c r="I47" s="181"/>
      <c r="J47" s="8"/>
    </row>
    <row r="48" spans="1:15" s="52" customFormat="1" ht="15" x14ac:dyDescent="0.25">
      <c r="A48" s="101" t="s">
        <v>90</v>
      </c>
      <c r="B48" s="101" t="s">
        <v>1274</v>
      </c>
      <c r="C48" s="102" t="s">
        <v>1273</v>
      </c>
      <c r="D48" s="105">
        <v>45818.395937499998</v>
      </c>
      <c r="E48" s="92">
        <f>155.86+27.5</f>
        <v>183.36</v>
      </c>
      <c r="F48" s="92">
        <v>27.5</v>
      </c>
      <c r="G48" s="90">
        <f>179.24</f>
        <v>179.24</v>
      </c>
      <c r="H48" s="92">
        <v>23.38</v>
      </c>
      <c r="I48" s="105">
        <v>45952</v>
      </c>
      <c r="J48" s="50">
        <f>+E48-F48</f>
        <v>155.86000000000001</v>
      </c>
      <c r="K48" s="47">
        <f>+I48-D48</f>
        <v>133.60406250000233</v>
      </c>
      <c r="L48" s="48">
        <v>0.03</v>
      </c>
      <c r="M48" s="49">
        <f>+J48*L48</f>
        <v>4.6758000000000006</v>
      </c>
      <c r="N48" s="60"/>
      <c r="O48" s="78">
        <f>G48-J48</f>
        <v>23.379999999999995</v>
      </c>
    </row>
    <row r="49" spans="1:15" s="52" customFormat="1" ht="15" x14ac:dyDescent="0.25">
      <c r="A49" s="101" t="s">
        <v>52</v>
      </c>
      <c r="B49" s="101" t="s">
        <v>1275</v>
      </c>
      <c r="C49" s="102" t="s">
        <v>1277</v>
      </c>
      <c r="D49" s="105">
        <v>45889.443738426002</v>
      </c>
      <c r="E49" s="188">
        <v>194.64</v>
      </c>
      <c r="F49" s="188">
        <v>48.66</v>
      </c>
      <c r="G49" s="188">
        <v>159.85</v>
      </c>
      <c r="H49" s="104">
        <v>21.9</v>
      </c>
      <c r="I49" s="105">
        <v>45940</v>
      </c>
      <c r="J49" s="50">
        <f t="shared" ref="J49:J52" si="4">+E49-F49</f>
        <v>145.97999999999999</v>
      </c>
      <c r="K49" s="47">
        <f t="shared" ref="K49:K52" si="5">+I49-D49</f>
        <v>50.556261573998199</v>
      </c>
      <c r="L49" s="48">
        <v>0.03</v>
      </c>
      <c r="M49" s="49">
        <f t="shared" ref="M49:M52" si="6">+J49*L49</f>
        <v>4.3793999999999995</v>
      </c>
      <c r="N49" s="60"/>
      <c r="O49" s="78">
        <f t="shared" ref="O49:O52" si="7">G49-J49</f>
        <v>13.870000000000005</v>
      </c>
    </row>
    <row r="50" spans="1:15" s="52" customFormat="1" ht="15" x14ac:dyDescent="0.25">
      <c r="A50" s="101" t="s">
        <v>94</v>
      </c>
      <c r="B50" s="101" t="s">
        <v>1276</v>
      </c>
      <c r="C50" s="102" t="s">
        <v>1278</v>
      </c>
      <c r="D50" s="105">
        <v>45890.471192129997</v>
      </c>
      <c r="E50" s="188">
        <v>176.76</v>
      </c>
      <c r="F50" s="188">
        <v>26.51</v>
      </c>
      <c r="G50" s="188">
        <v>172.79</v>
      </c>
      <c r="H50" s="104">
        <v>22.54</v>
      </c>
      <c r="I50" s="105">
        <v>45933</v>
      </c>
      <c r="J50" s="50">
        <f t="shared" si="4"/>
        <v>150.25</v>
      </c>
      <c r="K50" s="47">
        <f t="shared" si="5"/>
        <v>42.52880787000322</v>
      </c>
      <c r="L50" s="48">
        <v>0.03</v>
      </c>
      <c r="M50" s="49">
        <f t="shared" si="6"/>
        <v>4.5074999999999994</v>
      </c>
      <c r="N50" s="60"/>
      <c r="O50" s="78">
        <f t="shared" si="7"/>
        <v>22.539999999999992</v>
      </c>
    </row>
    <row r="51" spans="1:15" s="52" customFormat="1" ht="15" x14ac:dyDescent="0.25">
      <c r="A51" s="101" t="s">
        <v>40</v>
      </c>
      <c r="B51" s="101" t="s">
        <v>1279</v>
      </c>
      <c r="C51" s="102" t="s">
        <v>1281</v>
      </c>
      <c r="D51" s="105">
        <v>45903.442256943999</v>
      </c>
      <c r="E51" s="188">
        <f>872.1+290.7</f>
        <v>1162.8</v>
      </c>
      <c r="F51" s="188">
        <v>290.7</v>
      </c>
      <c r="G51" s="188">
        <v>948.41</v>
      </c>
      <c r="H51" s="104">
        <v>130.82</v>
      </c>
      <c r="I51" s="105">
        <v>45933</v>
      </c>
      <c r="J51" s="50">
        <f t="shared" si="4"/>
        <v>872.09999999999991</v>
      </c>
      <c r="K51" s="47">
        <f t="shared" si="5"/>
        <v>29.557743056000618</v>
      </c>
      <c r="L51" s="48">
        <v>0.03</v>
      </c>
      <c r="M51" s="49">
        <f t="shared" si="6"/>
        <v>26.162999999999997</v>
      </c>
      <c r="N51" s="60"/>
      <c r="O51" s="78">
        <f t="shared" si="7"/>
        <v>76.310000000000059</v>
      </c>
    </row>
    <row r="52" spans="1:15" s="52" customFormat="1" ht="15" x14ac:dyDescent="0.25">
      <c r="A52" s="101" t="s">
        <v>52</v>
      </c>
      <c r="B52" s="101" t="s">
        <v>1280</v>
      </c>
      <c r="C52" s="102" t="s">
        <v>1282</v>
      </c>
      <c r="D52" s="105">
        <v>45905.419791667002</v>
      </c>
      <c r="E52" s="188">
        <f>258.66+86.22</f>
        <v>344.88</v>
      </c>
      <c r="F52" s="188">
        <v>86.22</v>
      </c>
      <c r="G52" s="188">
        <v>283.23</v>
      </c>
      <c r="H52" s="104">
        <v>38.799999999999997</v>
      </c>
      <c r="I52" s="105">
        <v>45966</v>
      </c>
      <c r="J52" s="50">
        <f t="shared" si="4"/>
        <v>258.65999999999997</v>
      </c>
      <c r="K52" s="47">
        <f t="shared" si="5"/>
        <v>60.580208332998154</v>
      </c>
      <c r="L52" s="48">
        <v>0.03</v>
      </c>
      <c r="M52" s="49">
        <f t="shared" si="6"/>
        <v>7.7597999999999985</v>
      </c>
      <c r="N52" s="230"/>
      <c r="O52" s="78">
        <f t="shared" si="7"/>
        <v>24.57000000000005</v>
      </c>
    </row>
    <row r="53" spans="1:15" s="52" customFormat="1" ht="15" x14ac:dyDescent="0.25">
      <c r="A53" s="101" t="s">
        <v>40</v>
      </c>
      <c r="B53" s="101" t="s">
        <v>1317</v>
      </c>
      <c r="C53" s="102" t="s">
        <v>1318</v>
      </c>
      <c r="D53" s="105">
        <v>45915</v>
      </c>
      <c r="E53" s="233">
        <v>501.6</v>
      </c>
      <c r="F53" s="188">
        <v>125.4</v>
      </c>
      <c r="G53" s="188">
        <v>409.12</v>
      </c>
      <c r="H53" s="188">
        <v>56.43</v>
      </c>
      <c r="I53" s="106">
        <v>45945</v>
      </c>
      <c r="J53" s="50">
        <f t="shared" ref="J53" si="8">+E53-F53</f>
        <v>376.20000000000005</v>
      </c>
      <c r="K53" s="47">
        <f t="shared" ref="K53" si="9">+I53-D53</f>
        <v>30</v>
      </c>
      <c r="L53" s="48">
        <v>0.03</v>
      </c>
      <c r="M53" s="49">
        <f t="shared" ref="M53" si="10">+J53*L53</f>
        <v>11.286000000000001</v>
      </c>
      <c r="N53" s="230"/>
      <c r="O53" s="78"/>
    </row>
    <row r="54" spans="1:15" s="52" customFormat="1" ht="15" x14ac:dyDescent="0.25">
      <c r="A54" s="101"/>
      <c r="B54" s="102"/>
      <c r="C54" s="102"/>
      <c r="D54" s="105"/>
      <c r="E54" s="188"/>
      <c r="F54" s="188"/>
      <c r="G54" s="188"/>
      <c r="H54" s="104"/>
      <c r="I54" s="105"/>
      <c r="J54" s="50"/>
      <c r="K54" s="47"/>
      <c r="L54" s="48"/>
      <c r="M54" s="49"/>
      <c r="N54" s="60"/>
      <c r="O54" s="78"/>
    </row>
    <row r="55" spans="1:15" s="52" customFormat="1" ht="15.6" thickBot="1" x14ac:dyDescent="0.3">
      <c r="A55" s="101"/>
      <c r="B55" s="102"/>
      <c r="C55" s="101"/>
      <c r="D55" s="105"/>
      <c r="E55" s="92"/>
      <c r="F55" s="92"/>
      <c r="G55" s="90"/>
      <c r="H55" s="92"/>
      <c r="I55" s="105"/>
      <c r="J55" s="50"/>
      <c r="K55" s="47"/>
      <c r="L55" s="48"/>
      <c r="M55" s="49"/>
      <c r="N55" s="60"/>
      <c r="O55" s="78"/>
    </row>
    <row r="56" spans="1:15" ht="15" customHeight="1" thickBot="1" x14ac:dyDescent="0.35">
      <c r="A56" s="332" t="s">
        <v>29</v>
      </c>
      <c r="B56" s="332"/>
      <c r="C56" s="332"/>
      <c r="D56" s="332"/>
      <c r="E56" s="332"/>
      <c r="F56" s="332"/>
      <c r="G56" s="16">
        <f>SUM(G45:G55)</f>
        <v>16732.150000000001</v>
      </c>
      <c r="J56" s="16">
        <f>SUM(J45:J55)</f>
        <v>15342.480913043482</v>
      </c>
      <c r="L56" s="20"/>
      <c r="M56" s="21">
        <f>SUM(M45:M55)</f>
        <v>499.04141239130428</v>
      </c>
    </row>
    <row r="57" spans="1:15" ht="15" customHeight="1" x14ac:dyDescent="0.3">
      <c r="A57" s="22"/>
      <c r="G57" s="8"/>
    </row>
    <row r="58" spans="1:15" ht="15" customHeight="1" x14ac:dyDescent="0.3">
      <c r="A58" s="22"/>
      <c r="G58" s="8"/>
    </row>
    <row r="59" spans="1:15" ht="15" customHeight="1" x14ac:dyDescent="0.3">
      <c r="A59" s="22"/>
      <c r="G59" s="8"/>
    </row>
    <row r="60" spans="1:15" ht="15" customHeight="1" x14ac:dyDescent="0.3">
      <c r="A60" s="39"/>
      <c r="G60" s="8"/>
      <c r="J60" s="8"/>
    </row>
    <row r="61" spans="1:15" ht="15" customHeight="1" x14ac:dyDescent="0.3">
      <c r="A61" s="39"/>
      <c r="G61" s="8"/>
      <c r="J61" s="8"/>
      <c r="M61" s="185">
        <f>M56/12</f>
        <v>41.586784365942023</v>
      </c>
      <c r="N61" s="59" t="s">
        <v>1505</v>
      </c>
    </row>
    <row r="62" spans="1:15" ht="15" customHeight="1" x14ac:dyDescent="0.3">
      <c r="A62" s="39"/>
      <c r="G62" s="8"/>
      <c r="J62" s="8"/>
      <c r="M62" s="185">
        <f>M56/24</f>
        <v>20.793392182971012</v>
      </c>
      <c r="N62" s="59" t="s">
        <v>1505</v>
      </c>
    </row>
    <row r="63" spans="1:15" ht="15" customHeight="1" x14ac:dyDescent="0.25">
      <c r="A63" s="30" t="s">
        <v>0</v>
      </c>
      <c r="B63" s="30"/>
      <c r="C63" s="30"/>
      <c r="D63" s="30"/>
      <c r="E63" s="30"/>
      <c r="F63" s="30"/>
      <c r="G63" s="24"/>
      <c r="H63" s="25"/>
      <c r="I63" s="65"/>
      <c r="J63" s="26"/>
      <c r="K63" s="27"/>
      <c r="L63" s="28"/>
      <c r="M63" s="29"/>
    </row>
    <row r="64" spans="1:15" ht="15" customHeight="1" x14ac:dyDescent="0.25">
      <c r="A64" s="30" t="s">
        <v>1</v>
      </c>
      <c r="B64" s="30"/>
      <c r="C64" s="30"/>
      <c r="D64" s="30"/>
      <c r="E64" s="30"/>
      <c r="F64" s="30"/>
      <c r="G64" s="24"/>
      <c r="H64" s="25"/>
      <c r="I64" s="65"/>
      <c r="J64" s="27"/>
      <c r="K64" s="27"/>
      <c r="L64" s="28"/>
      <c r="M64" s="29"/>
    </row>
    <row r="65" spans="1:15" ht="15" customHeight="1" x14ac:dyDescent="0.25">
      <c r="A65" s="30"/>
      <c r="B65" s="30" t="s">
        <v>1272</v>
      </c>
      <c r="C65" s="30"/>
      <c r="D65" s="64"/>
      <c r="E65" s="30"/>
      <c r="F65" s="30"/>
      <c r="G65" s="24"/>
      <c r="H65" s="25"/>
      <c r="I65" s="65"/>
      <c r="J65" s="27"/>
      <c r="K65" s="27"/>
      <c r="L65" s="28"/>
      <c r="M65" s="29"/>
    </row>
    <row r="66" spans="1:15" ht="15" customHeight="1" thickBot="1" x14ac:dyDescent="0.3">
      <c r="A66" s="30"/>
      <c r="B66" s="30" t="s">
        <v>1130</v>
      </c>
      <c r="C66" s="30"/>
      <c r="D66" s="64"/>
      <c r="E66" s="30"/>
      <c r="F66" s="30"/>
      <c r="G66" s="32"/>
      <c r="H66" s="24"/>
      <c r="I66" s="69"/>
      <c r="J66" s="33"/>
      <c r="K66" s="27"/>
      <c r="L66" s="28"/>
      <c r="M66" s="29"/>
    </row>
    <row r="67" spans="1:15" ht="15" customHeight="1" x14ac:dyDescent="0.25">
      <c r="A67" s="34" t="s">
        <v>66</v>
      </c>
      <c r="B67" s="182"/>
      <c r="C67" s="33"/>
      <c r="D67" s="65"/>
      <c r="E67" s="33"/>
      <c r="F67" s="33"/>
      <c r="G67" s="35" t="s">
        <v>3</v>
      </c>
      <c r="H67" s="27"/>
      <c r="I67" s="65"/>
      <c r="J67" s="36" t="s">
        <v>4</v>
      </c>
      <c r="K67" s="56" t="s">
        <v>5</v>
      </c>
      <c r="L67" s="40" t="s">
        <v>6</v>
      </c>
      <c r="M67" s="36" t="s">
        <v>7</v>
      </c>
      <c r="O67" s="8"/>
    </row>
    <row r="68" spans="1:15" ht="15" customHeight="1" thickBot="1" x14ac:dyDescent="0.3">
      <c r="A68" s="11" t="s">
        <v>8</v>
      </c>
      <c r="B68" s="11" t="s">
        <v>9</v>
      </c>
      <c r="C68" s="11" t="s">
        <v>10</v>
      </c>
      <c r="D68" s="66" t="s">
        <v>11</v>
      </c>
      <c r="E68" s="11" t="s">
        <v>12</v>
      </c>
      <c r="F68" s="54" t="s">
        <v>50</v>
      </c>
      <c r="G68" s="12" t="s">
        <v>13</v>
      </c>
      <c r="H68" s="13" t="s">
        <v>14</v>
      </c>
      <c r="I68" s="70" t="s">
        <v>15</v>
      </c>
      <c r="J68" s="14" t="s">
        <v>16</v>
      </c>
      <c r="K68" s="57"/>
      <c r="L68" s="58" t="s">
        <v>17</v>
      </c>
      <c r="M68" s="14" t="s">
        <v>39</v>
      </c>
      <c r="O68" s="8"/>
    </row>
    <row r="69" spans="1:15" ht="15" customHeight="1" x14ac:dyDescent="0.25">
      <c r="A69" s="171" t="s">
        <v>1258</v>
      </c>
      <c r="B69" s="160" t="s">
        <v>75</v>
      </c>
      <c r="C69" s="184" t="s">
        <v>1265</v>
      </c>
      <c r="D69" s="172">
        <v>45812.364502315002</v>
      </c>
      <c r="E69" s="87">
        <v>1447.2</v>
      </c>
      <c r="F69" s="87">
        <v>289.44</v>
      </c>
      <c r="G69" s="94">
        <v>399.43</v>
      </c>
      <c r="H69" s="87">
        <v>173.66</v>
      </c>
      <c r="I69" s="106">
        <v>45905</v>
      </c>
      <c r="J69" s="50">
        <f>399.43/1.15</f>
        <v>347.33043478260873</v>
      </c>
      <c r="K69" s="47">
        <f>+I69-D69</f>
        <v>92.635497684997972</v>
      </c>
      <c r="L69" s="48">
        <v>0.03</v>
      </c>
      <c r="M69" s="49">
        <f>+J69*L69</f>
        <v>10.419913043478262</v>
      </c>
    </row>
    <row r="70" spans="1:15" ht="15" customHeight="1" x14ac:dyDescent="0.25">
      <c r="A70" s="171" t="s">
        <v>1258</v>
      </c>
      <c r="B70" s="160" t="s">
        <v>75</v>
      </c>
      <c r="C70" s="184" t="s">
        <v>1265</v>
      </c>
      <c r="D70" s="172">
        <v>45812.364502315002</v>
      </c>
      <c r="E70" s="87">
        <v>1447.2</v>
      </c>
      <c r="F70" s="87">
        <v>289.44</v>
      </c>
      <c r="G70" s="94">
        <v>466</v>
      </c>
      <c r="H70" s="87">
        <v>173.66</v>
      </c>
      <c r="I70" s="106">
        <v>45915</v>
      </c>
      <c r="J70" s="50">
        <f>466/1.15</f>
        <v>405.21739130434787</v>
      </c>
      <c r="K70" s="47">
        <f t="shared" ref="K70:K71" si="11">+I70-D70</f>
        <v>102.63549768499797</v>
      </c>
      <c r="L70" s="48">
        <v>0.03</v>
      </c>
      <c r="M70" s="49">
        <f t="shared" ref="M70:M71" si="12">+J70*L70</f>
        <v>12.156521739130437</v>
      </c>
    </row>
    <row r="71" spans="1:15" ht="15" customHeight="1" x14ac:dyDescent="0.25">
      <c r="A71" s="171" t="s">
        <v>1258</v>
      </c>
      <c r="B71" s="160" t="s">
        <v>75</v>
      </c>
      <c r="C71" s="184" t="s">
        <v>1265</v>
      </c>
      <c r="D71" s="172">
        <v>45812.364502315002</v>
      </c>
      <c r="E71" s="87">
        <v>1447.2</v>
      </c>
      <c r="F71" s="87">
        <v>289.44</v>
      </c>
      <c r="G71" s="94">
        <v>465.99</v>
      </c>
      <c r="H71" s="87">
        <v>173.66</v>
      </c>
      <c r="I71" s="106">
        <v>45924</v>
      </c>
      <c r="J71" s="50">
        <f>465.99/1.15</f>
        <v>405.20869565217396</v>
      </c>
      <c r="K71" s="47">
        <f t="shared" si="11"/>
        <v>111.63549768499797</v>
      </c>
      <c r="L71" s="48">
        <v>0.03</v>
      </c>
      <c r="M71" s="49">
        <f t="shared" si="12"/>
        <v>12.156260869565218</v>
      </c>
    </row>
    <row r="72" spans="1:15" ht="15" customHeight="1" x14ac:dyDescent="0.25">
      <c r="A72" s="171" t="s">
        <v>1259</v>
      </c>
      <c r="B72" s="160" t="s">
        <v>1191</v>
      </c>
      <c r="C72" s="184" t="s">
        <v>1266</v>
      </c>
      <c r="D72" s="172">
        <v>45840</v>
      </c>
      <c r="E72" s="87">
        <v>91.919999999999987</v>
      </c>
      <c r="F72" s="87">
        <v>13.79</v>
      </c>
      <c r="G72" s="94">
        <v>89.85</v>
      </c>
      <c r="H72" s="87">
        <v>11.72</v>
      </c>
      <c r="I72" s="106">
        <v>45901</v>
      </c>
      <c r="J72" s="50">
        <f>+E72-F72</f>
        <v>78.13</v>
      </c>
      <c r="K72" s="47">
        <f>+I72-D72</f>
        <v>61</v>
      </c>
      <c r="L72" s="48">
        <v>0.03</v>
      </c>
      <c r="M72" s="49">
        <f>+J72*L72</f>
        <v>2.3438999999999997</v>
      </c>
    </row>
    <row r="73" spans="1:15" ht="15" customHeight="1" x14ac:dyDescent="0.25">
      <c r="A73" s="171" t="s">
        <v>1260</v>
      </c>
      <c r="B73" s="160" t="s">
        <v>1255</v>
      </c>
      <c r="C73" s="184" t="s">
        <v>1267</v>
      </c>
      <c r="D73" s="172">
        <v>45860</v>
      </c>
      <c r="E73" s="87">
        <v>102</v>
      </c>
      <c r="F73" s="87">
        <v>13.26</v>
      </c>
      <c r="G73" s="94">
        <v>102.05</v>
      </c>
      <c r="H73" s="87">
        <v>13.31</v>
      </c>
      <c r="I73" s="106">
        <v>45922</v>
      </c>
      <c r="J73" s="50">
        <f>+E73-F73</f>
        <v>88.74</v>
      </c>
      <c r="K73" s="47">
        <f>+I73-D73</f>
        <v>62</v>
      </c>
      <c r="L73" s="48">
        <v>0.03</v>
      </c>
      <c r="M73" s="49">
        <f>+J73*L73</f>
        <v>2.6621999999999999</v>
      </c>
    </row>
    <row r="74" spans="1:15" ht="15" customHeight="1" x14ac:dyDescent="0.25">
      <c r="A74" s="171" t="s">
        <v>1261</v>
      </c>
      <c r="B74" s="160" t="s">
        <v>75</v>
      </c>
      <c r="C74" s="184" t="s">
        <v>1268</v>
      </c>
      <c r="D74" s="172">
        <v>45860</v>
      </c>
      <c r="E74" s="87">
        <v>383.52000000000004</v>
      </c>
      <c r="F74" s="87">
        <v>49.86</v>
      </c>
      <c r="G74" s="94">
        <v>383.71</v>
      </c>
      <c r="H74" s="87">
        <v>50.05</v>
      </c>
      <c r="I74" s="106">
        <v>45901</v>
      </c>
      <c r="J74" s="50">
        <f t="shared" ref="J74:J80" si="13">+E74-F74</f>
        <v>333.66</v>
      </c>
      <c r="K74" s="47">
        <f t="shared" ref="K74:K80" si="14">+I74-D74</f>
        <v>41</v>
      </c>
      <c r="L74" s="48">
        <v>0.03</v>
      </c>
      <c r="M74" s="49">
        <f t="shared" ref="M74:M80" si="15">+J74*L74</f>
        <v>10.0098</v>
      </c>
    </row>
    <row r="75" spans="1:15" ht="15" customHeight="1" x14ac:dyDescent="0.25">
      <c r="A75" s="171" t="s">
        <v>1262</v>
      </c>
      <c r="B75" s="160" t="s">
        <v>75</v>
      </c>
      <c r="C75" s="184" t="s">
        <v>1269</v>
      </c>
      <c r="D75" s="172">
        <v>45860</v>
      </c>
      <c r="E75" s="87">
        <v>100.32</v>
      </c>
      <c r="F75" s="87">
        <v>13.04</v>
      </c>
      <c r="G75" s="94">
        <v>100.37</v>
      </c>
      <c r="H75" s="87">
        <v>13.09</v>
      </c>
      <c r="I75" s="106">
        <v>45903</v>
      </c>
      <c r="J75" s="50">
        <f t="shared" si="13"/>
        <v>87.28</v>
      </c>
      <c r="K75" s="47">
        <f t="shared" si="14"/>
        <v>43</v>
      </c>
      <c r="L75" s="48">
        <v>0.03</v>
      </c>
      <c r="M75" s="49">
        <f t="shared" si="15"/>
        <v>2.6183999999999998</v>
      </c>
    </row>
    <row r="76" spans="1:15" ht="15" customHeight="1" x14ac:dyDescent="0.25">
      <c r="A76" s="171" t="s">
        <v>1263</v>
      </c>
      <c r="B76" s="102" t="s">
        <v>75</v>
      </c>
      <c r="C76" s="184" t="s">
        <v>1270</v>
      </c>
      <c r="D76" s="172">
        <v>45901.511747684999</v>
      </c>
      <c r="E76" s="188">
        <v>355.44</v>
      </c>
      <c r="F76" s="188">
        <v>46.21</v>
      </c>
      <c r="G76" s="188">
        <v>100</v>
      </c>
      <c r="H76" s="87">
        <v>46.38</v>
      </c>
      <c r="I76" s="105">
        <v>45909</v>
      </c>
      <c r="J76" s="50">
        <f>100/1.15</f>
        <v>86.956521739130437</v>
      </c>
      <c r="K76" s="47">
        <f t="shared" ref="K76" si="16">+I76-D76</f>
        <v>7.4882523150008637</v>
      </c>
      <c r="L76" s="48">
        <v>3.5000000000000003E-2</v>
      </c>
      <c r="M76" s="49">
        <f t="shared" ref="M76" si="17">+J76*L76</f>
        <v>3.0434782608695654</v>
      </c>
    </row>
    <row r="77" spans="1:15" ht="15" customHeight="1" x14ac:dyDescent="0.25">
      <c r="A77" s="171" t="s">
        <v>1263</v>
      </c>
      <c r="B77" s="102" t="s">
        <v>75</v>
      </c>
      <c r="C77" s="184" t="s">
        <v>1270</v>
      </c>
      <c r="D77" s="172">
        <v>45901.511747684999</v>
      </c>
      <c r="E77" s="188">
        <v>355.44</v>
      </c>
      <c r="F77" s="188">
        <v>46.21</v>
      </c>
      <c r="G77" s="188">
        <v>100</v>
      </c>
      <c r="H77" s="87">
        <v>46.38</v>
      </c>
      <c r="I77" s="105">
        <v>45912</v>
      </c>
      <c r="J77" s="50">
        <f>100/1.15</f>
        <v>86.956521739130437</v>
      </c>
      <c r="K77" s="47">
        <f t="shared" si="14"/>
        <v>10.488252315000864</v>
      </c>
      <c r="L77" s="48">
        <v>3.5000000000000003E-2</v>
      </c>
      <c r="M77" s="49">
        <f t="shared" si="15"/>
        <v>3.0434782608695654</v>
      </c>
    </row>
    <row r="78" spans="1:15" ht="15" customHeight="1" x14ac:dyDescent="0.25">
      <c r="A78" s="171" t="s">
        <v>1263</v>
      </c>
      <c r="B78" s="102" t="s">
        <v>75</v>
      </c>
      <c r="C78" s="184" t="s">
        <v>1270</v>
      </c>
      <c r="D78" s="172">
        <v>45901.511747684999</v>
      </c>
      <c r="E78" s="188">
        <v>355.44</v>
      </c>
      <c r="F78" s="188">
        <v>46.21</v>
      </c>
      <c r="G78" s="188">
        <v>80</v>
      </c>
      <c r="H78" s="87">
        <v>46.38</v>
      </c>
      <c r="I78" s="105">
        <v>45915</v>
      </c>
      <c r="J78" s="50">
        <f>80/1.15</f>
        <v>69.565217391304358</v>
      </c>
      <c r="K78" s="47">
        <f t="shared" ref="K78:K79" si="18">+I78-D78</f>
        <v>13.488252315000864</v>
      </c>
      <c r="L78" s="48">
        <v>3.5000000000000003E-2</v>
      </c>
      <c r="M78" s="49">
        <f t="shared" ref="M78:M79" si="19">+J78*L78</f>
        <v>2.4347826086956528</v>
      </c>
    </row>
    <row r="79" spans="1:15" ht="15" customHeight="1" x14ac:dyDescent="0.25">
      <c r="A79" s="171" t="s">
        <v>1263</v>
      </c>
      <c r="B79" s="102" t="s">
        <v>75</v>
      </c>
      <c r="C79" s="184" t="s">
        <v>1270</v>
      </c>
      <c r="D79" s="172">
        <v>45901.511747684999</v>
      </c>
      <c r="E79" s="188">
        <v>355.44</v>
      </c>
      <c r="F79" s="188">
        <v>46.21</v>
      </c>
      <c r="G79" s="188">
        <v>34.81</v>
      </c>
      <c r="H79" s="87">
        <v>46.38</v>
      </c>
      <c r="I79" s="105">
        <v>45922</v>
      </c>
      <c r="J79" s="50">
        <f>34.81/1.15</f>
        <v>30.26956521739131</v>
      </c>
      <c r="K79" s="47">
        <f t="shared" si="18"/>
        <v>20.488252315000864</v>
      </c>
      <c r="L79" s="48">
        <v>3.5000000000000003E-2</v>
      </c>
      <c r="M79" s="49">
        <f t="shared" si="19"/>
        <v>1.0594347826086961</v>
      </c>
    </row>
    <row r="80" spans="1:15" ht="15" customHeight="1" x14ac:dyDescent="0.25">
      <c r="A80" s="171" t="s">
        <v>1264</v>
      </c>
      <c r="B80" s="102" t="s">
        <v>75</v>
      </c>
      <c r="C80" s="184" t="s">
        <v>1271</v>
      </c>
      <c r="D80" s="172">
        <v>45901.519166667</v>
      </c>
      <c r="E80" s="188">
        <v>130.92000000000002</v>
      </c>
      <c r="F80" s="188">
        <v>17.02</v>
      </c>
      <c r="G80" s="188">
        <v>130.97999999999999</v>
      </c>
      <c r="H80" s="87">
        <v>17.079999999999998</v>
      </c>
      <c r="I80" s="105">
        <v>45915</v>
      </c>
      <c r="J80" s="50">
        <f t="shared" si="13"/>
        <v>113.90000000000002</v>
      </c>
      <c r="K80" s="47">
        <f t="shared" si="14"/>
        <v>13.480833333000191</v>
      </c>
      <c r="L80" s="48">
        <v>3.5000000000000003E-2</v>
      </c>
      <c r="M80" s="49">
        <f t="shared" si="15"/>
        <v>3.9865000000000013</v>
      </c>
    </row>
    <row r="81" spans="1:14" ht="15" customHeight="1" x14ac:dyDescent="0.25">
      <c r="A81" s="171"/>
      <c r="B81" s="160"/>
      <c r="C81" s="171"/>
      <c r="D81" s="172"/>
      <c r="E81" s="87"/>
      <c r="F81" s="87"/>
      <c r="G81" s="94"/>
      <c r="H81" s="87"/>
      <c r="I81" s="106"/>
      <c r="J81" s="50"/>
      <c r="K81" s="47"/>
      <c r="L81" s="48"/>
      <c r="M81" s="49"/>
    </row>
    <row r="82" spans="1:14" ht="15" customHeight="1" x14ac:dyDescent="0.3">
      <c r="A82" s="42"/>
      <c r="B82" s="43"/>
      <c r="C82" s="43"/>
      <c r="D82" s="68"/>
      <c r="E82" s="44"/>
      <c r="F82" s="44"/>
      <c r="G82" s="45"/>
      <c r="H82" s="46"/>
      <c r="I82" s="72"/>
      <c r="J82" s="50"/>
      <c r="K82" s="47"/>
      <c r="L82" s="48"/>
      <c r="M82" s="49"/>
    </row>
    <row r="83" spans="1:14" ht="15" customHeight="1" x14ac:dyDescent="0.25">
      <c r="A83" s="213"/>
      <c r="B83" s="213"/>
      <c r="C83" s="213"/>
      <c r="D83" s="213"/>
      <c r="E83" s="213"/>
      <c r="F83" s="213"/>
      <c r="G83" s="75">
        <f>SUM(G69:G82)</f>
        <v>2453.19</v>
      </c>
      <c r="H83" s="80"/>
      <c r="I83" s="81"/>
      <c r="J83" s="75">
        <f>SUM(J69:J82)</f>
        <v>2133.2143478260869</v>
      </c>
      <c r="K83" s="82"/>
      <c r="L83" s="82"/>
      <c r="M83" s="75">
        <f>SUM(M69:M82)</f>
        <v>65.934669565217391</v>
      </c>
    </row>
    <row r="84" spans="1:14" ht="15" customHeight="1" x14ac:dyDescent="0.25">
      <c r="A84" s="76"/>
      <c r="B84" s="76"/>
      <c r="C84" s="76"/>
      <c r="D84" s="77"/>
      <c r="E84" s="76"/>
      <c r="F84" s="76"/>
      <c r="G84" s="78"/>
      <c r="H84" s="52"/>
      <c r="I84" s="79"/>
      <c r="J84" s="52"/>
      <c r="K84" s="52"/>
      <c r="L84" s="52"/>
      <c r="M84" s="52"/>
    </row>
    <row r="85" spans="1:14" x14ac:dyDescent="0.25">
      <c r="A85" s="76"/>
      <c r="B85" s="76"/>
      <c r="C85" s="76"/>
      <c r="D85" s="77"/>
      <c r="E85" s="76"/>
      <c r="F85" s="76"/>
      <c r="G85" s="78"/>
      <c r="H85" s="52"/>
      <c r="I85" s="79"/>
      <c r="J85" s="78"/>
      <c r="K85" s="52"/>
      <c r="L85" s="52"/>
      <c r="M85" s="78"/>
    </row>
    <row r="86" spans="1:14" x14ac:dyDescent="0.25">
      <c r="A86" s="52" t="s">
        <v>19</v>
      </c>
      <c r="B86" s="76" t="s">
        <v>20</v>
      </c>
      <c r="C86" s="76" t="s">
        <v>21</v>
      </c>
      <c r="D86" s="79"/>
      <c r="E86" s="52"/>
      <c r="F86" s="52"/>
      <c r="G86" s="78"/>
      <c r="H86" s="52"/>
      <c r="I86" s="79"/>
      <c r="J86" s="52"/>
      <c r="K86" s="52"/>
      <c r="L86" s="52"/>
      <c r="M86" s="52"/>
    </row>
    <row r="87" spans="1:14" s="52" customFormat="1" ht="15" x14ac:dyDescent="0.25">
      <c r="A87" s="101"/>
      <c r="B87" s="101"/>
      <c r="C87" s="102"/>
      <c r="D87" s="105"/>
      <c r="E87" s="92"/>
      <c r="F87" s="92"/>
      <c r="G87" s="90"/>
      <c r="H87" s="92"/>
      <c r="I87" s="105"/>
      <c r="J87" s="50"/>
      <c r="K87" s="47"/>
      <c r="L87" s="48"/>
      <c r="M87" s="49"/>
      <c r="N87" s="60"/>
    </row>
    <row r="88" spans="1:14" ht="15.6" thickBot="1" x14ac:dyDescent="0.3">
      <c r="A88" s="91"/>
      <c r="B88" s="102"/>
      <c r="C88" s="93"/>
      <c r="D88" s="88"/>
      <c r="E88" s="92"/>
      <c r="F88" s="92"/>
      <c r="G88" s="90"/>
      <c r="H88" s="92"/>
      <c r="I88" s="105"/>
      <c r="J88" s="50"/>
      <c r="K88" s="47"/>
      <c r="L88" s="48"/>
      <c r="M88" s="49"/>
    </row>
    <row r="89" spans="1:14" ht="16.2" thickBot="1" x14ac:dyDescent="0.35">
      <c r="A89" s="212" t="s">
        <v>29</v>
      </c>
      <c r="B89" s="212"/>
      <c r="C89" s="212"/>
      <c r="D89" s="212"/>
      <c r="E89" s="212"/>
      <c r="F89" s="212"/>
      <c r="G89" s="37">
        <f>SUM(G83:G88)</f>
        <v>2453.19</v>
      </c>
      <c r="I89" s="63"/>
      <c r="J89" s="37">
        <f>SUM(J83:J88)</f>
        <v>2133.2143478260869</v>
      </c>
      <c r="L89" s="20"/>
      <c r="M89" s="38">
        <f>SUM(M83:M88)</f>
        <v>65.934669565217391</v>
      </c>
    </row>
    <row r="90" spans="1:14" x14ac:dyDescent="0.25">
      <c r="A90" s="19"/>
      <c r="E90" s="19"/>
      <c r="F90" s="19"/>
      <c r="G90" s="8"/>
      <c r="I90" s="63"/>
    </row>
    <row r="92" spans="1:14" x14ac:dyDescent="0.25">
      <c r="J92" s="8"/>
    </row>
    <row r="93" spans="1:14" x14ac:dyDescent="0.25">
      <c r="J93" s="8"/>
    </row>
    <row r="94" spans="1:14" x14ac:dyDescent="0.25">
      <c r="J94" s="8">
        <f>(J56+J89)*2%</f>
        <v>349.51390521739137</v>
      </c>
      <c r="M94" s="185">
        <f>M89/12</f>
        <v>5.4945557971014489</v>
      </c>
      <c r="N94" s="59" t="s">
        <v>1504</v>
      </c>
    </row>
    <row r="95" spans="1:14" x14ac:dyDescent="0.25">
      <c r="J95" s="185">
        <f>J94/12</f>
        <v>29.126158768115946</v>
      </c>
      <c r="K95" s="7" t="s">
        <v>876</v>
      </c>
      <c r="M95" s="185">
        <f>M89/24</f>
        <v>2.7472778985507245</v>
      </c>
      <c r="N95" s="59" t="s">
        <v>1504</v>
      </c>
    </row>
    <row r="96" spans="1:14" x14ac:dyDescent="0.25">
      <c r="J96" s="185">
        <f>J94/24</f>
        <v>14.563079384057973</v>
      </c>
      <c r="K96" s="7" t="s">
        <v>876</v>
      </c>
    </row>
  </sheetData>
  <sortState xmlns:xlrd2="http://schemas.microsoft.com/office/spreadsheetml/2017/richdata2" ref="A8:O42">
    <sortCondition ref="K8:K42"/>
  </sortState>
  <mergeCells count="2">
    <mergeCell ref="A3:F3"/>
    <mergeCell ref="A56:F56"/>
  </mergeCells>
  <pageMargins left="0.39370078740157483" right="0" top="0.19685039370078741" bottom="0" header="0" footer="0"/>
  <pageSetup paperSize="9" scale="72" orientation="landscape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D416A-8492-47D6-9003-718C468C213E}">
  <dimension ref="A1:O79"/>
  <sheetViews>
    <sheetView topLeftCell="G59" workbookViewId="0">
      <selection activeCell="J73" sqref="J73:N79"/>
    </sheetView>
  </sheetViews>
  <sheetFormatPr baseColWidth="10" defaultColWidth="11.44140625" defaultRowHeight="13.2" x14ac:dyDescent="0.25"/>
  <cols>
    <col min="1" max="1" width="31.5546875" style="7" customWidth="1"/>
    <col min="2" max="2" width="20.5546875" style="19" customWidth="1"/>
    <col min="3" max="3" width="18.5546875" style="19" customWidth="1"/>
    <col min="4" max="4" width="10.33203125" style="67" customWidth="1"/>
    <col min="5" max="5" width="11.6640625" style="7" customWidth="1"/>
    <col min="6" max="6" width="9.88671875" style="7" customWidth="1"/>
    <col min="7" max="7" width="11.88671875" style="7" customWidth="1"/>
    <col min="8" max="8" width="9.88671875" style="7" customWidth="1"/>
    <col min="9" max="9" width="10.6640625" style="243" customWidth="1"/>
    <col min="10" max="10" width="11.5546875" style="7" customWidth="1"/>
    <col min="11" max="11" width="7.33203125" style="7" customWidth="1"/>
    <col min="12" max="12" width="6.44140625" style="7" customWidth="1"/>
    <col min="13" max="13" width="10.109375" style="7" customWidth="1"/>
    <col min="14" max="14" width="24.33203125" style="59" customWidth="1"/>
    <col min="15" max="16" width="8" style="7" customWidth="1"/>
    <col min="17" max="16384" width="11.44140625" style="7"/>
  </cols>
  <sheetData>
    <row r="1" spans="1:15" ht="15" customHeight="1" x14ac:dyDescent="0.25">
      <c r="B1" s="181"/>
      <c r="C1" s="181"/>
      <c r="G1" s="8"/>
    </row>
    <row r="2" spans="1:15" ht="15" customHeight="1" x14ac:dyDescent="0.25">
      <c r="A2" s="30"/>
      <c r="B2" s="30"/>
      <c r="C2" s="30"/>
      <c r="D2" s="30"/>
      <c r="E2" s="30"/>
      <c r="F2" s="30"/>
      <c r="G2" s="24"/>
      <c r="H2" s="24"/>
      <c r="I2" s="244"/>
      <c r="J2" s="26"/>
      <c r="K2" s="27"/>
      <c r="L2" s="28"/>
      <c r="M2" s="29"/>
    </row>
    <row r="3" spans="1:15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244"/>
      <c r="J3" s="27"/>
      <c r="K3" s="27"/>
      <c r="L3" s="28"/>
      <c r="M3" s="29"/>
    </row>
    <row r="4" spans="1:15" ht="15" customHeight="1" x14ac:dyDescent="0.25">
      <c r="A4" s="30"/>
      <c r="B4" s="30" t="s">
        <v>1320</v>
      </c>
      <c r="C4" s="30"/>
      <c r="D4" s="64"/>
      <c r="E4" s="30"/>
      <c r="F4" s="30"/>
      <c r="G4" s="24"/>
      <c r="H4" s="25"/>
      <c r="I4" s="244"/>
      <c r="J4" s="27"/>
      <c r="K4" s="27"/>
      <c r="L4" s="28"/>
      <c r="M4" s="29"/>
    </row>
    <row r="5" spans="1:15" ht="15" customHeight="1" thickBot="1" x14ac:dyDescent="0.3">
      <c r="A5" s="30"/>
      <c r="B5" s="30" t="s">
        <v>22</v>
      </c>
      <c r="C5" s="30"/>
      <c r="D5" s="64"/>
      <c r="E5" s="30"/>
      <c r="F5" s="30"/>
      <c r="G5" s="32"/>
      <c r="H5" s="24"/>
      <c r="I5" s="245"/>
      <c r="J5" s="33"/>
      <c r="K5" s="27"/>
      <c r="L5" s="28"/>
      <c r="M5" s="29"/>
    </row>
    <row r="6" spans="1:15" ht="15" customHeight="1" x14ac:dyDescent="0.25">
      <c r="A6" s="34"/>
      <c r="B6" s="182"/>
      <c r="C6" s="182"/>
      <c r="D6" s="195"/>
      <c r="E6" s="33"/>
      <c r="F6" s="33"/>
      <c r="G6" s="35" t="s">
        <v>3</v>
      </c>
      <c r="H6" s="27"/>
      <c r="I6" s="244"/>
      <c r="J6" s="36" t="s">
        <v>4</v>
      </c>
      <c r="K6" s="56" t="s">
        <v>5</v>
      </c>
      <c r="L6" s="40" t="s">
        <v>6</v>
      </c>
      <c r="M6" s="36" t="s">
        <v>7</v>
      </c>
    </row>
    <row r="7" spans="1:15" ht="15" customHeight="1" x14ac:dyDescent="0.25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62" t="s">
        <v>13</v>
      </c>
      <c r="H7" s="13" t="s">
        <v>14</v>
      </c>
      <c r="I7" s="246" t="s">
        <v>15</v>
      </c>
      <c r="J7" s="14" t="s">
        <v>16</v>
      </c>
      <c r="K7" s="57"/>
      <c r="L7" s="58" t="s">
        <v>17</v>
      </c>
      <c r="M7" s="14" t="s">
        <v>39</v>
      </c>
    </row>
    <row r="8" spans="1:15" ht="15" customHeight="1" x14ac:dyDescent="0.25">
      <c r="A8" s="235" t="s">
        <v>115</v>
      </c>
      <c r="B8" s="116" t="s">
        <v>18</v>
      </c>
      <c r="C8" s="237" t="s">
        <v>1348</v>
      </c>
      <c r="D8" s="240">
        <v>45742</v>
      </c>
      <c r="E8" s="119">
        <v>2805</v>
      </c>
      <c r="F8" s="119">
        <v>561</v>
      </c>
      <c r="G8" s="6">
        <v>525.79</v>
      </c>
      <c r="H8" s="119">
        <v>336.6</v>
      </c>
      <c r="I8" s="253">
        <v>45937</v>
      </c>
      <c r="J8" s="50">
        <v>457.21</v>
      </c>
      <c r="K8" s="47">
        <f t="shared" ref="K8:K33" si="0">+I8-D8</f>
        <v>195</v>
      </c>
      <c r="L8" s="5">
        <v>0.03</v>
      </c>
      <c r="M8" s="6">
        <f t="shared" ref="M8:M33" si="1">+J8*L8</f>
        <v>13.716299999999999</v>
      </c>
      <c r="O8" s="78"/>
    </row>
    <row r="9" spans="1:15" ht="15" customHeight="1" x14ac:dyDescent="0.25">
      <c r="A9" s="235" t="s">
        <v>122</v>
      </c>
      <c r="B9" s="236" t="s">
        <v>123</v>
      </c>
      <c r="C9" s="237" t="s">
        <v>1332</v>
      </c>
      <c r="D9" s="238">
        <v>45742</v>
      </c>
      <c r="E9" s="239">
        <v>1627.68</v>
      </c>
      <c r="F9" s="239">
        <v>244.15</v>
      </c>
      <c r="G9" s="6">
        <v>202.18</v>
      </c>
      <c r="H9" s="239">
        <v>207.53</v>
      </c>
      <c r="I9" s="253">
        <v>45957</v>
      </c>
      <c r="J9" s="50">
        <v>175.81</v>
      </c>
      <c r="K9" s="47">
        <f t="shared" si="0"/>
        <v>215</v>
      </c>
      <c r="L9" s="5">
        <v>0.03</v>
      </c>
      <c r="M9" s="6">
        <f t="shared" si="1"/>
        <v>5.2743000000000002</v>
      </c>
      <c r="O9" s="78"/>
    </row>
    <row r="10" spans="1:15" ht="15" customHeight="1" x14ac:dyDescent="0.25">
      <c r="A10" s="235" t="s">
        <v>1086</v>
      </c>
      <c r="B10" s="236" t="s">
        <v>123</v>
      </c>
      <c r="C10" s="237" t="s">
        <v>1333</v>
      </c>
      <c r="D10" s="238">
        <v>45742</v>
      </c>
      <c r="E10" s="239">
        <v>403.92</v>
      </c>
      <c r="F10" s="239">
        <v>60.59</v>
      </c>
      <c r="G10" s="6">
        <v>150</v>
      </c>
      <c r="H10" s="239">
        <v>51.5</v>
      </c>
      <c r="I10" s="253">
        <v>45957</v>
      </c>
      <c r="J10" s="50">
        <v>130.43</v>
      </c>
      <c r="K10" s="47">
        <f t="shared" si="0"/>
        <v>215</v>
      </c>
      <c r="L10" s="5">
        <v>0.03</v>
      </c>
      <c r="M10" s="6">
        <f t="shared" si="1"/>
        <v>3.9129</v>
      </c>
      <c r="O10" s="78"/>
    </row>
    <row r="11" spans="1:15" ht="15" customHeight="1" x14ac:dyDescent="0.25">
      <c r="A11" s="235" t="s">
        <v>1283</v>
      </c>
      <c r="B11" s="116" t="s">
        <v>23</v>
      </c>
      <c r="C11" s="237" t="s">
        <v>1341</v>
      </c>
      <c r="D11" s="240">
        <v>45754</v>
      </c>
      <c r="E11" s="119">
        <v>3472.8</v>
      </c>
      <c r="F11" s="119">
        <v>868.2</v>
      </c>
      <c r="G11" s="6">
        <v>750</v>
      </c>
      <c r="H11" s="119">
        <v>390.69</v>
      </c>
      <c r="I11" s="253">
        <v>45945</v>
      </c>
      <c r="J11" s="50">
        <v>652.16999999999996</v>
      </c>
      <c r="K11" s="47">
        <f t="shared" si="0"/>
        <v>191</v>
      </c>
      <c r="L11" s="5">
        <v>0.03</v>
      </c>
      <c r="M11" s="6">
        <f t="shared" si="1"/>
        <v>19.565099999999997</v>
      </c>
      <c r="O11" s="78"/>
    </row>
    <row r="12" spans="1:15" ht="15" customHeight="1" x14ac:dyDescent="0.25">
      <c r="A12" s="235" t="s">
        <v>105</v>
      </c>
      <c r="B12" s="116" t="s">
        <v>108</v>
      </c>
      <c r="C12" s="237" t="s">
        <v>1353</v>
      </c>
      <c r="D12" s="240">
        <v>45810.530115740999</v>
      </c>
      <c r="E12" s="119">
        <v>149.52000000000001</v>
      </c>
      <c r="F12" s="119">
        <v>22.43</v>
      </c>
      <c r="G12" s="6">
        <v>6.15</v>
      </c>
      <c r="H12" s="119">
        <v>19.059999999999999</v>
      </c>
      <c r="I12" s="253">
        <v>45931</v>
      </c>
      <c r="J12" s="50">
        <v>5.35</v>
      </c>
      <c r="K12" s="47">
        <f t="shared" si="0"/>
        <v>120.46988425900054</v>
      </c>
      <c r="L12" s="5">
        <v>0.03</v>
      </c>
      <c r="M12" s="6">
        <f t="shared" si="1"/>
        <v>0.16049999999999998</v>
      </c>
      <c r="O12" s="78"/>
    </row>
    <row r="13" spans="1:15" ht="15" customHeight="1" x14ac:dyDescent="0.25">
      <c r="A13" s="235" t="s">
        <v>115</v>
      </c>
      <c r="B13" s="116" t="s">
        <v>18</v>
      </c>
      <c r="C13" s="237" t="s">
        <v>1349</v>
      </c>
      <c r="D13" s="240">
        <v>45821.537627315003</v>
      </c>
      <c r="E13" s="119">
        <v>364.32</v>
      </c>
      <c r="F13" s="119">
        <v>72.86</v>
      </c>
      <c r="G13" s="6">
        <v>172.8</v>
      </c>
      <c r="H13" s="119">
        <v>43.72</v>
      </c>
      <c r="I13" s="253">
        <v>45937</v>
      </c>
      <c r="J13" s="50">
        <v>150.26</v>
      </c>
      <c r="K13" s="47">
        <f t="shared" si="0"/>
        <v>115.46237268499681</v>
      </c>
      <c r="L13" s="5">
        <v>0.03</v>
      </c>
      <c r="M13" s="6">
        <f t="shared" si="1"/>
        <v>4.5077999999999996</v>
      </c>
      <c r="O13" s="78"/>
    </row>
    <row r="14" spans="1:15" ht="15" customHeight="1" x14ac:dyDescent="0.25">
      <c r="A14" s="235" t="s">
        <v>99</v>
      </c>
      <c r="B14" s="116" t="s">
        <v>120</v>
      </c>
      <c r="C14" s="237" t="s">
        <v>1356</v>
      </c>
      <c r="D14" s="240">
        <v>45834.422083332996</v>
      </c>
      <c r="E14" s="119">
        <v>487.2</v>
      </c>
      <c r="F14" s="119">
        <v>73.08</v>
      </c>
      <c r="G14" s="6">
        <v>468.99</v>
      </c>
      <c r="H14" s="119">
        <v>62.12</v>
      </c>
      <c r="I14" s="253">
        <v>45961</v>
      </c>
      <c r="J14" s="50">
        <f>+E14-F14</f>
        <v>414.12</v>
      </c>
      <c r="K14" s="47">
        <f t="shared" si="0"/>
        <v>126.57791666700359</v>
      </c>
      <c r="L14" s="5">
        <v>0.03</v>
      </c>
      <c r="M14" s="6">
        <f t="shared" si="1"/>
        <v>12.4236</v>
      </c>
      <c r="O14" s="78"/>
    </row>
    <row r="15" spans="1:15" ht="15" customHeight="1" x14ac:dyDescent="0.25">
      <c r="A15" s="235" t="s">
        <v>104</v>
      </c>
      <c r="B15" s="116" t="s">
        <v>30</v>
      </c>
      <c r="C15" s="237" t="s">
        <v>1351</v>
      </c>
      <c r="D15" s="240">
        <v>45859</v>
      </c>
      <c r="E15" s="119">
        <v>96</v>
      </c>
      <c r="F15" s="119">
        <v>14.4</v>
      </c>
      <c r="G15" s="6">
        <v>93.84</v>
      </c>
      <c r="H15" s="119">
        <v>12.24</v>
      </c>
      <c r="I15" s="253">
        <v>45933</v>
      </c>
      <c r="J15" s="50">
        <f>+E15-F15</f>
        <v>81.599999999999994</v>
      </c>
      <c r="K15" s="47">
        <f t="shared" si="0"/>
        <v>74</v>
      </c>
      <c r="L15" s="5">
        <v>0.03</v>
      </c>
      <c r="M15" s="6">
        <f t="shared" si="1"/>
        <v>2.448</v>
      </c>
      <c r="O15" s="78"/>
    </row>
    <row r="16" spans="1:15" ht="15" customHeight="1" x14ac:dyDescent="0.25">
      <c r="A16" s="235" t="s">
        <v>1330</v>
      </c>
      <c r="B16" s="116" t="s">
        <v>24</v>
      </c>
      <c r="C16" s="237" t="s">
        <v>1344</v>
      </c>
      <c r="D16" s="240">
        <v>45859</v>
      </c>
      <c r="E16" s="119">
        <v>127.32</v>
      </c>
      <c r="F16" s="119">
        <v>16.55</v>
      </c>
      <c r="G16" s="6">
        <v>127.38</v>
      </c>
      <c r="H16" s="241">
        <v>16.61</v>
      </c>
      <c r="I16" s="253">
        <v>45944</v>
      </c>
      <c r="J16" s="50">
        <f>+E16-F16</f>
        <v>110.77</v>
      </c>
      <c r="K16" s="47">
        <f t="shared" si="0"/>
        <v>85</v>
      </c>
      <c r="L16" s="5">
        <v>0.03</v>
      </c>
      <c r="M16" s="6">
        <f t="shared" si="1"/>
        <v>3.3230999999999997</v>
      </c>
      <c r="O16" s="78"/>
    </row>
    <row r="17" spans="1:15" ht="15" customHeight="1" x14ac:dyDescent="0.25">
      <c r="A17" s="235" t="s">
        <v>118</v>
      </c>
      <c r="B17" s="254" t="s">
        <v>120</v>
      </c>
      <c r="C17" s="237" t="s">
        <v>1335</v>
      </c>
      <c r="D17" s="240">
        <v>45866</v>
      </c>
      <c r="E17" s="241">
        <v>313.44</v>
      </c>
      <c r="F17" s="241">
        <v>47.02</v>
      </c>
      <c r="G17" s="6">
        <v>289.73</v>
      </c>
      <c r="H17" s="241">
        <v>39.96</v>
      </c>
      <c r="I17" s="253">
        <v>45951</v>
      </c>
      <c r="J17" s="50">
        <f>+E17-F17</f>
        <v>266.42</v>
      </c>
      <c r="K17" s="47">
        <f t="shared" si="0"/>
        <v>85</v>
      </c>
      <c r="L17" s="5">
        <v>0.03</v>
      </c>
      <c r="M17" s="6">
        <f t="shared" si="1"/>
        <v>7.9926000000000004</v>
      </c>
      <c r="O17" s="78"/>
    </row>
    <row r="18" spans="1:15" ht="15" customHeight="1" x14ac:dyDescent="0.25">
      <c r="A18" s="235" t="s">
        <v>105</v>
      </c>
      <c r="B18" s="141" t="s">
        <v>108</v>
      </c>
      <c r="C18" s="237" t="s">
        <v>1354</v>
      </c>
      <c r="D18" s="240">
        <v>45883.458611110997</v>
      </c>
      <c r="E18" s="49">
        <v>87.12</v>
      </c>
      <c r="F18" s="49">
        <v>13.07</v>
      </c>
      <c r="G18" s="6">
        <v>85.16</v>
      </c>
      <c r="H18" s="119">
        <v>11.11</v>
      </c>
      <c r="I18" s="253">
        <v>45931</v>
      </c>
      <c r="J18" s="50">
        <v>74.05</v>
      </c>
      <c r="K18" s="47">
        <f t="shared" si="0"/>
        <v>47.541388889003429</v>
      </c>
      <c r="L18" s="5">
        <v>0.03</v>
      </c>
      <c r="M18" s="6">
        <f t="shared" si="1"/>
        <v>2.2214999999999998</v>
      </c>
      <c r="O18" s="78"/>
    </row>
    <row r="19" spans="1:15" ht="15" customHeight="1" x14ac:dyDescent="0.25">
      <c r="A19" s="235" t="s">
        <v>115</v>
      </c>
      <c r="B19" s="141" t="s">
        <v>18</v>
      </c>
      <c r="C19" s="237" t="s">
        <v>1350</v>
      </c>
      <c r="D19" s="240">
        <v>45888.416886573999</v>
      </c>
      <c r="E19" s="49">
        <v>63.36</v>
      </c>
      <c r="F19" s="49">
        <v>12.67</v>
      </c>
      <c r="G19" s="6">
        <v>55.11</v>
      </c>
      <c r="H19" s="119">
        <v>7.6</v>
      </c>
      <c r="I19" s="253">
        <v>45937</v>
      </c>
      <c r="J19" s="50">
        <f t="shared" ref="J19:J33" si="2">+E19-F19</f>
        <v>50.69</v>
      </c>
      <c r="K19" s="47">
        <f t="shared" si="0"/>
        <v>48.583113426000637</v>
      </c>
      <c r="L19" s="5">
        <v>0.03</v>
      </c>
      <c r="M19" s="6">
        <f t="shared" si="1"/>
        <v>1.5206999999999999</v>
      </c>
      <c r="O19" s="78"/>
    </row>
    <row r="20" spans="1:15" ht="15" customHeight="1" x14ac:dyDescent="0.25">
      <c r="A20" s="235" t="s">
        <v>969</v>
      </c>
      <c r="B20" s="255" t="s">
        <v>1339</v>
      </c>
      <c r="C20" s="237" t="s">
        <v>1340</v>
      </c>
      <c r="D20" s="240">
        <v>45894.492314814997</v>
      </c>
      <c r="E20" s="256">
        <v>552.6</v>
      </c>
      <c r="F20" s="256">
        <v>82.89</v>
      </c>
      <c r="G20" s="6">
        <v>528.55999999999995</v>
      </c>
      <c r="H20" s="241">
        <v>70.459999999999994</v>
      </c>
      <c r="I20" s="253">
        <v>45946</v>
      </c>
      <c r="J20" s="50">
        <f t="shared" si="2"/>
        <v>469.71000000000004</v>
      </c>
      <c r="K20" s="47">
        <f t="shared" si="0"/>
        <v>51.507685185002629</v>
      </c>
      <c r="L20" s="5">
        <v>0.03</v>
      </c>
      <c r="M20" s="6">
        <f t="shared" si="1"/>
        <v>14.0913</v>
      </c>
      <c r="O20" s="78"/>
    </row>
    <row r="21" spans="1:15" ht="15" customHeight="1" x14ac:dyDescent="0.25">
      <c r="A21" s="235" t="s">
        <v>694</v>
      </c>
      <c r="B21" s="141" t="s">
        <v>30</v>
      </c>
      <c r="C21" s="237" t="s">
        <v>1352</v>
      </c>
      <c r="D21" s="240">
        <v>45897.615405092998</v>
      </c>
      <c r="E21" s="49">
        <v>99.36</v>
      </c>
      <c r="F21" s="49">
        <v>14.9</v>
      </c>
      <c r="G21" s="6">
        <v>97.13</v>
      </c>
      <c r="H21" s="241">
        <v>12.67</v>
      </c>
      <c r="I21" s="253">
        <v>45933</v>
      </c>
      <c r="J21" s="50">
        <f t="shared" si="2"/>
        <v>84.46</v>
      </c>
      <c r="K21" s="47">
        <f t="shared" si="0"/>
        <v>35.384594907001883</v>
      </c>
      <c r="L21" s="5">
        <v>0.03</v>
      </c>
      <c r="M21" s="6">
        <f t="shared" si="1"/>
        <v>2.5337999999999998</v>
      </c>
      <c r="O21" s="78"/>
    </row>
    <row r="22" spans="1:15" ht="15" customHeight="1" x14ac:dyDescent="0.25">
      <c r="A22" s="235" t="s">
        <v>73</v>
      </c>
      <c r="B22" s="236" t="s">
        <v>18</v>
      </c>
      <c r="C22" s="237" t="s">
        <v>1355</v>
      </c>
      <c r="D22" s="240">
        <v>45902.369479166999</v>
      </c>
      <c r="E22" s="49">
        <v>1203.5999999999999</v>
      </c>
      <c r="F22" s="49">
        <v>240.72</v>
      </c>
      <c r="G22" s="6">
        <v>953.25</v>
      </c>
      <c r="H22" s="119">
        <v>144.43</v>
      </c>
      <c r="I22" s="253">
        <v>45931</v>
      </c>
      <c r="J22" s="50">
        <f t="shared" si="2"/>
        <v>962.87999999999988</v>
      </c>
      <c r="K22" s="47">
        <f t="shared" si="0"/>
        <v>28.630520833001356</v>
      </c>
      <c r="L22" s="5">
        <v>3.5000000000000003E-2</v>
      </c>
      <c r="M22" s="6">
        <f t="shared" si="1"/>
        <v>33.700800000000001</v>
      </c>
      <c r="O22" s="78"/>
    </row>
    <row r="23" spans="1:15" ht="15" customHeight="1" x14ac:dyDescent="0.25">
      <c r="A23" s="235" t="s">
        <v>292</v>
      </c>
      <c r="B23" s="141" t="s">
        <v>229</v>
      </c>
      <c r="C23" s="237" t="s">
        <v>1345</v>
      </c>
      <c r="D23" s="240">
        <v>45908.347152777998</v>
      </c>
      <c r="E23" s="49">
        <v>399.24</v>
      </c>
      <c r="F23" s="49">
        <v>79.849999999999994</v>
      </c>
      <c r="G23" s="6">
        <v>347.34</v>
      </c>
      <c r="H23" s="119">
        <v>47.91</v>
      </c>
      <c r="I23" s="253">
        <v>45944</v>
      </c>
      <c r="J23" s="50">
        <f t="shared" si="2"/>
        <v>319.39</v>
      </c>
      <c r="K23" s="47">
        <f t="shared" si="0"/>
        <v>35.652847222001583</v>
      </c>
      <c r="L23" s="5">
        <v>0.03</v>
      </c>
      <c r="M23" s="6">
        <f t="shared" si="1"/>
        <v>9.5816999999999997</v>
      </c>
      <c r="O23" s="78"/>
    </row>
    <row r="24" spans="1:15" ht="15" customHeight="1" x14ac:dyDescent="0.25">
      <c r="A24" s="235" t="s">
        <v>71</v>
      </c>
      <c r="B24" s="255" t="s">
        <v>24</v>
      </c>
      <c r="C24" s="237" t="s">
        <v>1342</v>
      </c>
      <c r="D24" s="240">
        <v>45910</v>
      </c>
      <c r="E24" s="257">
        <v>255</v>
      </c>
      <c r="F24" s="258">
        <v>63.75</v>
      </c>
      <c r="G24" s="6">
        <v>207.98</v>
      </c>
      <c r="H24" s="258">
        <v>28.69</v>
      </c>
      <c r="I24" s="253">
        <v>45945</v>
      </c>
      <c r="J24" s="50">
        <f t="shared" si="2"/>
        <v>191.25</v>
      </c>
      <c r="K24" s="47">
        <f t="shared" si="0"/>
        <v>35</v>
      </c>
      <c r="L24" s="5">
        <v>0.03</v>
      </c>
      <c r="M24" s="6">
        <f t="shared" si="1"/>
        <v>5.7374999999999998</v>
      </c>
      <c r="O24" s="78"/>
    </row>
    <row r="25" spans="1:15" ht="15" customHeight="1" x14ac:dyDescent="0.25">
      <c r="A25" s="235" t="s">
        <v>55</v>
      </c>
      <c r="B25" s="141" t="s">
        <v>30</v>
      </c>
      <c r="C25" s="237" t="s">
        <v>1347</v>
      </c>
      <c r="D25" s="240">
        <v>45912</v>
      </c>
      <c r="E25" s="178">
        <v>610.12</v>
      </c>
      <c r="F25" s="6">
        <v>164.73240000000001</v>
      </c>
      <c r="G25" s="6">
        <v>512.20000000000005</v>
      </c>
      <c r="H25" s="6">
        <v>66.81</v>
      </c>
      <c r="I25" s="253">
        <v>45944</v>
      </c>
      <c r="J25" s="50">
        <f t="shared" si="2"/>
        <v>445.38760000000002</v>
      </c>
      <c r="K25" s="47">
        <f t="shared" si="0"/>
        <v>32</v>
      </c>
      <c r="L25" s="5">
        <v>0.03</v>
      </c>
      <c r="M25" s="6">
        <f t="shared" si="1"/>
        <v>13.361628</v>
      </c>
      <c r="O25" s="78"/>
    </row>
    <row r="26" spans="1:15" ht="15" customHeight="1" x14ac:dyDescent="0.25">
      <c r="A26" s="235" t="s">
        <v>71</v>
      </c>
      <c r="B26" s="141" t="s">
        <v>24</v>
      </c>
      <c r="C26" s="237" t="s">
        <v>1343</v>
      </c>
      <c r="D26" s="240">
        <v>45917</v>
      </c>
      <c r="E26" s="178">
        <v>765</v>
      </c>
      <c r="F26" s="6">
        <v>191.25</v>
      </c>
      <c r="G26" s="6">
        <v>623.95000000000005</v>
      </c>
      <c r="H26" s="6">
        <v>86.06</v>
      </c>
      <c r="I26" s="253">
        <v>45945</v>
      </c>
      <c r="J26" s="50">
        <f t="shared" si="2"/>
        <v>573.75</v>
      </c>
      <c r="K26" s="47">
        <f t="shared" si="0"/>
        <v>28</v>
      </c>
      <c r="L26" s="5">
        <v>3.5000000000000003E-2</v>
      </c>
      <c r="M26" s="6">
        <f t="shared" si="1"/>
        <v>20.081250000000001</v>
      </c>
      <c r="O26" s="78"/>
    </row>
    <row r="27" spans="1:15" ht="15" customHeight="1" x14ac:dyDescent="0.25">
      <c r="A27" s="235" t="s">
        <v>35</v>
      </c>
      <c r="B27" s="141" t="s">
        <v>18</v>
      </c>
      <c r="C27" s="237" t="s">
        <v>1337</v>
      </c>
      <c r="D27" s="240">
        <v>45919</v>
      </c>
      <c r="E27" s="178">
        <v>93.6</v>
      </c>
      <c r="F27" s="6">
        <v>14.04</v>
      </c>
      <c r="G27" s="6">
        <v>91.49</v>
      </c>
      <c r="H27" s="6">
        <v>11.93</v>
      </c>
      <c r="I27" s="253">
        <v>45947</v>
      </c>
      <c r="J27" s="50">
        <f t="shared" si="2"/>
        <v>79.56</v>
      </c>
      <c r="K27" s="47">
        <f t="shared" si="0"/>
        <v>28</v>
      </c>
      <c r="L27" s="5">
        <v>3.5000000000000003E-2</v>
      </c>
      <c r="M27" s="6">
        <f t="shared" si="1"/>
        <v>2.7846000000000002</v>
      </c>
      <c r="O27" s="78"/>
    </row>
    <row r="28" spans="1:15" ht="15" customHeight="1" x14ac:dyDescent="0.25">
      <c r="A28" s="235" t="s">
        <v>709</v>
      </c>
      <c r="B28" s="236" t="s">
        <v>61</v>
      </c>
      <c r="C28" s="237" t="s">
        <v>1334</v>
      </c>
      <c r="D28" s="238">
        <v>45924</v>
      </c>
      <c r="E28" s="239">
        <v>166.68</v>
      </c>
      <c r="F28" s="239">
        <v>25</v>
      </c>
      <c r="G28" s="6">
        <v>162.93</v>
      </c>
      <c r="H28" s="239">
        <v>21.25</v>
      </c>
      <c r="I28" s="253">
        <v>45952</v>
      </c>
      <c r="J28" s="50">
        <f t="shared" si="2"/>
        <v>141.68</v>
      </c>
      <c r="K28" s="47">
        <f t="shared" si="0"/>
        <v>28</v>
      </c>
      <c r="L28" s="5">
        <v>3.5000000000000003E-2</v>
      </c>
      <c r="M28" s="6">
        <f t="shared" si="1"/>
        <v>4.958800000000001</v>
      </c>
      <c r="O28" s="78"/>
    </row>
    <row r="29" spans="1:15" ht="15" customHeight="1" x14ac:dyDescent="0.25">
      <c r="A29" s="235" t="s">
        <v>547</v>
      </c>
      <c r="B29" s="236" t="s">
        <v>31</v>
      </c>
      <c r="C29" s="237" t="s">
        <v>1346</v>
      </c>
      <c r="D29" s="238">
        <v>45931</v>
      </c>
      <c r="E29" s="239">
        <v>792</v>
      </c>
      <c r="F29" s="239">
        <v>198</v>
      </c>
      <c r="G29" s="6">
        <v>683.1</v>
      </c>
      <c r="H29" s="239">
        <v>89.1</v>
      </c>
      <c r="I29" s="253">
        <v>45944</v>
      </c>
      <c r="J29" s="50">
        <f t="shared" si="2"/>
        <v>594</v>
      </c>
      <c r="K29" s="47">
        <f t="shared" si="0"/>
        <v>13</v>
      </c>
      <c r="L29" s="5">
        <v>3.5000000000000003E-2</v>
      </c>
      <c r="M29" s="6">
        <f t="shared" si="1"/>
        <v>20.790000000000003</v>
      </c>
      <c r="O29" s="78"/>
    </row>
    <row r="30" spans="1:15" ht="15" customHeight="1" x14ac:dyDescent="0.25">
      <c r="A30" s="235" t="s">
        <v>40</v>
      </c>
      <c r="B30" s="141" t="s">
        <v>18</v>
      </c>
      <c r="C30" s="237" t="s">
        <v>1357</v>
      </c>
      <c r="D30" s="240">
        <v>45937</v>
      </c>
      <c r="E30" s="259">
        <v>387</v>
      </c>
      <c r="F30" s="259">
        <v>96.75</v>
      </c>
      <c r="G30" s="242">
        <v>315.654</v>
      </c>
      <c r="H30" s="259">
        <v>43.54</v>
      </c>
      <c r="I30" s="253">
        <v>45937</v>
      </c>
      <c r="J30" s="50">
        <f t="shared" si="2"/>
        <v>290.25</v>
      </c>
      <c r="K30" s="47">
        <f t="shared" si="0"/>
        <v>0</v>
      </c>
      <c r="L30" s="5">
        <v>0.04</v>
      </c>
      <c r="M30" s="6">
        <f t="shared" si="1"/>
        <v>11.61</v>
      </c>
      <c r="O30" s="78"/>
    </row>
    <row r="31" spans="1:15" ht="15" customHeight="1" x14ac:dyDescent="0.25">
      <c r="A31" s="235" t="s">
        <v>704</v>
      </c>
      <c r="B31" s="236" t="s">
        <v>30</v>
      </c>
      <c r="C31" s="237" t="s">
        <v>1336</v>
      </c>
      <c r="D31" s="238">
        <v>45938</v>
      </c>
      <c r="E31" s="239">
        <v>90</v>
      </c>
      <c r="F31" s="239">
        <v>9</v>
      </c>
      <c r="G31" s="6">
        <v>93.15</v>
      </c>
      <c r="H31" s="239">
        <v>12.15</v>
      </c>
      <c r="I31" s="253">
        <v>45950</v>
      </c>
      <c r="J31" s="50">
        <f t="shared" si="2"/>
        <v>81</v>
      </c>
      <c r="K31" s="47">
        <f t="shared" si="0"/>
        <v>12</v>
      </c>
      <c r="L31" s="5">
        <v>3.5000000000000003E-2</v>
      </c>
      <c r="M31" s="6">
        <f t="shared" si="1"/>
        <v>2.8350000000000004</v>
      </c>
      <c r="O31" s="78"/>
    </row>
    <row r="32" spans="1:15" ht="15" customHeight="1" x14ac:dyDescent="0.25">
      <c r="A32" s="235" t="s">
        <v>89</v>
      </c>
      <c r="B32" s="141" t="s">
        <v>18</v>
      </c>
      <c r="C32" s="237" t="s">
        <v>1338</v>
      </c>
      <c r="D32" s="238">
        <v>45946</v>
      </c>
      <c r="E32" s="239">
        <v>40.799999999999997</v>
      </c>
      <c r="F32" s="239">
        <v>6.12</v>
      </c>
      <c r="G32" s="6">
        <f>37.51+0.2</f>
        <v>37.71</v>
      </c>
      <c r="H32" s="239">
        <v>5.2</v>
      </c>
      <c r="I32" s="253">
        <v>45947</v>
      </c>
      <c r="J32" s="50">
        <f t="shared" si="2"/>
        <v>34.68</v>
      </c>
      <c r="K32" s="47">
        <f t="shared" si="0"/>
        <v>1</v>
      </c>
      <c r="L32" s="5">
        <v>0.04</v>
      </c>
      <c r="M32" s="6">
        <f t="shared" si="1"/>
        <v>1.3872</v>
      </c>
      <c r="O32" s="78"/>
    </row>
    <row r="33" spans="1:15" ht="15" customHeight="1" x14ac:dyDescent="0.25">
      <c r="A33" s="235" t="s">
        <v>1284</v>
      </c>
      <c r="B33" s="236" t="s">
        <v>30</v>
      </c>
      <c r="C33" s="237" t="s">
        <v>1331</v>
      </c>
      <c r="D33" s="238">
        <v>45946</v>
      </c>
      <c r="E33" s="239">
        <v>680</v>
      </c>
      <c r="F33" s="239">
        <v>88.4</v>
      </c>
      <c r="G33" s="6">
        <v>581.25</v>
      </c>
      <c r="H33" s="239">
        <v>88.74</v>
      </c>
      <c r="I33" s="253">
        <v>45957</v>
      </c>
      <c r="J33" s="50">
        <f t="shared" si="2"/>
        <v>591.6</v>
      </c>
      <c r="K33" s="47">
        <f t="shared" si="0"/>
        <v>11</v>
      </c>
      <c r="L33" s="5">
        <v>3.5000000000000003E-2</v>
      </c>
      <c r="M33" s="6">
        <f t="shared" si="1"/>
        <v>20.706000000000003</v>
      </c>
      <c r="O33" s="78"/>
    </row>
    <row r="34" spans="1:15" ht="15" customHeight="1" x14ac:dyDescent="0.25">
      <c r="A34" s="171"/>
      <c r="B34" s="231"/>
      <c r="C34" s="184"/>
      <c r="D34" s="216"/>
      <c r="E34" s="232"/>
      <c r="F34" s="232"/>
      <c r="G34" s="232"/>
      <c r="H34" s="87"/>
      <c r="I34" s="247"/>
      <c r="J34" s="50"/>
      <c r="K34" s="47"/>
      <c r="L34" s="5"/>
      <c r="M34" s="6"/>
      <c r="O34" s="78"/>
    </row>
    <row r="35" spans="1:15" ht="15" customHeight="1" x14ac:dyDescent="0.25">
      <c r="A35" s="171"/>
      <c r="B35" s="160"/>
      <c r="C35" s="171"/>
      <c r="D35" s="201"/>
      <c r="E35" s="87"/>
      <c r="F35" s="87"/>
      <c r="G35" s="94"/>
      <c r="H35" s="87"/>
      <c r="I35" s="247"/>
      <c r="J35" s="50"/>
      <c r="K35" s="47"/>
      <c r="L35" s="5"/>
      <c r="M35" s="6"/>
      <c r="O35" s="78"/>
    </row>
    <row r="36" spans="1:15" ht="15" customHeight="1" x14ac:dyDescent="0.3">
      <c r="G36" s="16">
        <f>SUM(G8:G35)</f>
        <v>8162.8239999999996</v>
      </c>
      <c r="J36" s="16">
        <f>SUM(J8:J35)</f>
        <v>7428.477600000002</v>
      </c>
      <c r="M36" s="16">
        <f>SUM(M8:M35)</f>
        <v>241.22597800000005</v>
      </c>
      <c r="O36" s="78"/>
    </row>
    <row r="37" spans="1:15" ht="15" customHeight="1" x14ac:dyDescent="0.25">
      <c r="G37" s="8"/>
      <c r="H37" s="8"/>
      <c r="O37" s="78"/>
    </row>
    <row r="38" spans="1:15" ht="15" customHeight="1" x14ac:dyDescent="0.25">
      <c r="A38" s="17" t="s">
        <v>19</v>
      </c>
      <c r="B38" s="18" t="s">
        <v>20</v>
      </c>
      <c r="C38" s="18" t="s">
        <v>21</v>
      </c>
      <c r="J38" s="8"/>
      <c r="O38" s="78"/>
    </row>
    <row r="39" spans="1:15" s="52" customFormat="1" x14ac:dyDescent="0.25">
      <c r="A39" s="235" t="s">
        <v>38</v>
      </c>
      <c r="B39" s="235" t="s">
        <v>1358</v>
      </c>
      <c r="C39" s="237" t="s">
        <v>1363</v>
      </c>
      <c r="D39" s="240">
        <v>45932</v>
      </c>
      <c r="E39" s="259">
        <v>1659.84</v>
      </c>
      <c r="F39" s="259">
        <v>414.96</v>
      </c>
      <c r="G39" s="6">
        <v>1353.8</v>
      </c>
      <c r="H39" s="259">
        <v>186.73</v>
      </c>
      <c r="I39" s="253">
        <v>45964</v>
      </c>
      <c r="J39" s="50">
        <f>+E39-F39</f>
        <v>1244.8799999999999</v>
      </c>
      <c r="K39" s="47">
        <f>+I39-D39</f>
        <v>32</v>
      </c>
      <c r="L39" s="48">
        <v>0.03</v>
      </c>
      <c r="M39" s="49">
        <f>+J39*L39</f>
        <v>37.346399999999996</v>
      </c>
      <c r="N39" s="60"/>
      <c r="O39" s="78"/>
    </row>
    <row r="40" spans="1:15" s="52" customFormat="1" x14ac:dyDescent="0.25">
      <c r="A40" s="235" t="s">
        <v>52</v>
      </c>
      <c r="B40" s="235" t="s">
        <v>1359</v>
      </c>
      <c r="C40" s="237" t="s">
        <v>1364</v>
      </c>
      <c r="D40" s="240">
        <v>45919</v>
      </c>
      <c r="E40" s="178">
        <v>479.4</v>
      </c>
      <c r="F40" s="6">
        <v>119.85</v>
      </c>
      <c r="G40" s="6">
        <v>393.7</v>
      </c>
      <c r="H40" s="6">
        <v>53.93</v>
      </c>
      <c r="I40" s="253">
        <v>45969</v>
      </c>
      <c r="J40" s="50">
        <f t="shared" ref="J40:J43" si="3">+E40-F40</f>
        <v>359.54999999999995</v>
      </c>
      <c r="K40" s="47">
        <f t="shared" ref="K40:K43" si="4">+I40-D40</f>
        <v>50</v>
      </c>
      <c r="L40" s="48">
        <v>0.03</v>
      </c>
      <c r="M40" s="49">
        <f t="shared" ref="M40:M43" si="5">+J40*L40</f>
        <v>10.786499999999998</v>
      </c>
      <c r="N40" s="60"/>
      <c r="O40" s="78"/>
    </row>
    <row r="41" spans="1:15" s="52" customFormat="1" x14ac:dyDescent="0.25">
      <c r="A41" s="235" t="s">
        <v>46</v>
      </c>
      <c r="B41" s="235" t="s">
        <v>1360</v>
      </c>
      <c r="C41" s="237" t="s">
        <v>1365</v>
      </c>
      <c r="D41" s="240">
        <v>45938</v>
      </c>
      <c r="E41" s="259">
        <f>453.6+113.4</f>
        <v>567</v>
      </c>
      <c r="F41" s="259">
        <v>113.4</v>
      </c>
      <c r="G41" s="6">
        <v>496.69</v>
      </c>
      <c r="H41" s="259">
        <v>68.040000000000006</v>
      </c>
      <c r="I41" s="253">
        <v>45970</v>
      </c>
      <c r="J41" s="50">
        <f t="shared" si="3"/>
        <v>453.6</v>
      </c>
      <c r="K41" s="47">
        <f t="shared" si="4"/>
        <v>32</v>
      </c>
      <c r="L41" s="48">
        <v>0.03</v>
      </c>
      <c r="M41" s="49">
        <f t="shared" si="5"/>
        <v>13.608000000000001</v>
      </c>
      <c r="N41" s="60"/>
      <c r="O41" s="78"/>
    </row>
    <row r="42" spans="1:15" s="52" customFormat="1" x14ac:dyDescent="0.25">
      <c r="A42" s="235" t="s">
        <v>41</v>
      </c>
      <c r="B42" s="235" t="s">
        <v>1361</v>
      </c>
      <c r="C42" s="237" t="s">
        <v>1366</v>
      </c>
      <c r="D42" s="240">
        <v>45957</v>
      </c>
      <c r="E42" s="259">
        <f>130.05+22.95</f>
        <v>153</v>
      </c>
      <c r="F42" s="259">
        <v>22.95</v>
      </c>
      <c r="G42" s="6">
        <v>141.43</v>
      </c>
      <c r="H42" s="259">
        <v>19.510000000000002</v>
      </c>
      <c r="I42" s="253">
        <v>45971</v>
      </c>
      <c r="J42" s="50">
        <f t="shared" si="3"/>
        <v>130.05000000000001</v>
      </c>
      <c r="K42" s="47">
        <f t="shared" si="4"/>
        <v>14</v>
      </c>
      <c r="L42" s="48">
        <v>0.03</v>
      </c>
      <c r="M42" s="49">
        <f t="shared" si="5"/>
        <v>3.9015000000000004</v>
      </c>
      <c r="N42" s="60"/>
      <c r="O42" s="78"/>
    </row>
    <row r="43" spans="1:15" s="52" customFormat="1" x14ac:dyDescent="0.25">
      <c r="A43" s="235" t="s">
        <v>52</v>
      </c>
      <c r="B43" s="235" t="s">
        <v>1362</v>
      </c>
      <c r="C43" s="237" t="s">
        <v>1367</v>
      </c>
      <c r="D43" s="240">
        <v>45937</v>
      </c>
      <c r="E43" s="259">
        <f>278.37+92.79</f>
        <v>371.16</v>
      </c>
      <c r="F43" s="259">
        <v>92.79</v>
      </c>
      <c r="G43" s="6">
        <v>304.82</v>
      </c>
      <c r="H43" s="259">
        <v>41.76</v>
      </c>
      <c r="I43" s="253">
        <v>45991</v>
      </c>
      <c r="J43" s="50">
        <f t="shared" si="3"/>
        <v>278.37</v>
      </c>
      <c r="K43" s="47">
        <f t="shared" si="4"/>
        <v>54</v>
      </c>
      <c r="L43" s="48">
        <v>0.03</v>
      </c>
      <c r="M43" s="49">
        <f t="shared" si="5"/>
        <v>8.3511000000000006</v>
      </c>
      <c r="N43" s="230"/>
      <c r="O43" s="78"/>
    </row>
    <row r="44" spans="1:15" s="52" customFormat="1" ht="15" x14ac:dyDescent="0.25">
      <c r="A44" s="101"/>
      <c r="B44" s="102"/>
      <c r="C44" s="102"/>
      <c r="D44" s="105"/>
      <c r="E44" s="188"/>
      <c r="F44" s="188"/>
      <c r="G44" s="188"/>
      <c r="H44" s="104"/>
      <c r="I44" s="248"/>
      <c r="J44" s="50"/>
      <c r="K44" s="47"/>
      <c r="L44" s="48"/>
      <c r="M44" s="49"/>
      <c r="N44" s="60"/>
      <c r="O44" s="78"/>
    </row>
    <row r="45" spans="1:15" s="52" customFormat="1" ht="15.6" thickBot="1" x14ac:dyDescent="0.3">
      <c r="A45" s="101"/>
      <c r="B45" s="102"/>
      <c r="C45" s="101"/>
      <c r="D45" s="105"/>
      <c r="E45" s="92"/>
      <c r="F45" s="92"/>
      <c r="G45" s="90"/>
      <c r="H45" s="92"/>
      <c r="I45" s="248"/>
      <c r="J45" s="50"/>
      <c r="K45" s="47"/>
      <c r="L45" s="48"/>
      <c r="M45" s="49"/>
      <c r="N45" s="60"/>
      <c r="O45" s="78"/>
    </row>
    <row r="46" spans="1:15" ht="15" customHeight="1" thickBot="1" x14ac:dyDescent="0.35">
      <c r="A46" s="332" t="s">
        <v>29</v>
      </c>
      <c r="B46" s="332"/>
      <c r="C46" s="332"/>
      <c r="D46" s="332"/>
      <c r="E46" s="332"/>
      <c r="F46" s="332"/>
      <c r="G46" s="16">
        <f>SUM(G36:G45)</f>
        <v>10853.264000000001</v>
      </c>
      <c r="J46" s="16">
        <f>SUM(J36:J45)</f>
        <v>9894.9276000000009</v>
      </c>
      <c r="L46" s="20"/>
      <c r="M46" s="21">
        <f>SUM(M36:M45)</f>
        <v>315.21947800000004</v>
      </c>
    </row>
    <row r="47" spans="1:15" ht="15" customHeight="1" x14ac:dyDescent="0.3">
      <c r="A47" s="22"/>
      <c r="G47" s="8"/>
    </row>
    <row r="48" spans="1:15" ht="15" customHeight="1" x14ac:dyDescent="0.3">
      <c r="A48" s="22"/>
      <c r="G48" s="8"/>
    </row>
    <row r="49" spans="1:15" ht="15" customHeight="1" x14ac:dyDescent="0.3">
      <c r="A49" s="22"/>
      <c r="G49" s="8"/>
    </row>
    <row r="50" spans="1:15" ht="15" customHeight="1" x14ac:dyDescent="0.3">
      <c r="A50" s="39"/>
      <c r="G50" s="8"/>
      <c r="J50" s="8"/>
    </row>
    <row r="51" spans="1:15" ht="15" customHeight="1" x14ac:dyDescent="0.3">
      <c r="A51" s="39"/>
      <c r="G51" s="8"/>
      <c r="J51" s="8"/>
      <c r="M51" s="185">
        <f>M46/12</f>
        <v>26.268289833333338</v>
      </c>
      <c r="N51" s="59" t="s">
        <v>1505</v>
      </c>
    </row>
    <row r="52" spans="1:15" ht="15" customHeight="1" x14ac:dyDescent="0.3">
      <c r="A52" s="39"/>
      <c r="G52" s="8"/>
      <c r="J52" s="8"/>
      <c r="M52" s="185">
        <f>M46/24</f>
        <v>13.134144916666669</v>
      </c>
      <c r="N52" s="59" t="s">
        <v>1505</v>
      </c>
    </row>
    <row r="53" spans="1:15" ht="15" customHeight="1" x14ac:dyDescent="0.25">
      <c r="A53" s="30" t="s">
        <v>0</v>
      </c>
      <c r="B53" s="30"/>
      <c r="C53" s="30"/>
      <c r="D53" s="30"/>
      <c r="E53" s="30"/>
      <c r="F53" s="30"/>
      <c r="G53" s="24"/>
      <c r="H53" s="25"/>
      <c r="I53" s="249"/>
      <c r="J53" s="26"/>
      <c r="K53" s="27"/>
      <c r="L53" s="28"/>
      <c r="M53" s="29"/>
    </row>
    <row r="54" spans="1:15" ht="15" customHeight="1" x14ac:dyDescent="0.25">
      <c r="A54" s="30" t="s">
        <v>1</v>
      </c>
      <c r="B54" s="30"/>
      <c r="C54" s="30"/>
      <c r="D54" s="30"/>
      <c r="E54" s="30"/>
      <c r="F54" s="30"/>
      <c r="G54" s="24"/>
      <c r="H54" s="25"/>
      <c r="I54" s="249"/>
      <c r="J54" s="27"/>
      <c r="K54" s="27"/>
      <c r="L54" s="28"/>
      <c r="M54" s="29"/>
    </row>
    <row r="55" spans="1:15" ht="15" customHeight="1" x14ac:dyDescent="0.25">
      <c r="A55" s="30"/>
      <c r="B55" s="30" t="s">
        <v>1320</v>
      </c>
      <c r="C55" s="30"/>
      <c r="D55" s="64"/>
      <c r="E55" s="30"/>
      <c r="F55" s="30"/>
      <c r="G55" s="24"/>
      <c r="H55" s="25"/>
      <c r="I55" s="249"/>
      <c r="J55" s="27"/>
      <c r="K55" s="27"/>
      <c r="L55" s="28"/>
      <c r="M55" s="29"/>
    </row>
    <row r="56" spans="1:15" ht="15" customHeight="1" thickBot="1" x14ac:dyDescent="0.3">
      <c r="A56" s="30"/>
      <c r="B56" s="30" t="s">
        <v>1130</v>
      </c>
      <c r="C56" s="30"/>
      <c r="D56" s="64"/>
      <c r="E56" s="30"/>
      <c r="F56" s="30"/>
      <c r="G56" s="32"/>
      <c r="H56" s="24"/>
      <c r="I56" s="250"/>
      <c r="J56" s="33"/>
      <c r="K56" s="27"/>
      <c r="L56" s="28"/>
      <c r="M56" s="29"/>
    </row>
    <row r="57" spans="1:15" ht="15" customHeight="1" x14ac:dyDescent="0.25">
      <c r="A57" s="34" t="s">
        <v>66</v>
      </c>
      <c r="B57" s="182"/>
      <c r="C57" s="33"/>
      <c r="D57" s="65"/>
      <c r="E57" s="33"/>
      <c r="F57" s="33"/>
      <c r="G57" s="35" t="s">
        <v>3</v>
      </c>
      <c r="H57" s="27"/>
      <c r="I57" s="249"/>
      <c r="J57" s="36" t="s">
        <v>4</v>
      </c>
      <c r="K57" s="56" t="s">
        <v>5</v>
      </c>
      <c r="L57" s="40" t="s">
        <v>6</v>
      </c>
      <c r="M57" s="36" t="s">
        <v>7</v>
      </c>
      <c r="O57" s="8"/>
    </row>
    <row r="58" spans="1:15" ht="15" customHeight="1" thickBot="1" x14ac:dyDescent="0.3">
      <c r="A58" s="11" t="s">
        <v>8</v>
      </c>
      <c r="B58" s="11" t="s">
        <v>9</v>
      </c>
      <c r="C58" s="11" t="s">
        <v>10</v>
      </c>
      <c r="D58" s="66" t="s">
        <v>11</v>
      </c>
      <c r="E58" s="11" t="s">
        <v>12</v>
      </c>
      <c r="F58" s="54" t="s">
        <v>50</v>
      </c>
      <c r="G58" s="12" t="s">
        <v>13</v>
      </c>
      <c r="H58" s="13" t="s">
        <v>14</v>
      </c>
      <c r="I58" s="251" t="s">
        <v>15</v>
      </c>
      <c r="J58" s="14" t="s">
        <v>16</v>
      </c>
      <c r="K58" s="57"/>
      <c r="L58" s="58" t="s">
        <v>17</v>
      </c>
      <c r="M58" s="14" t="s">
        <v>39</v>
      </c>
      <c r="O58" s="8"/>
    </row>
    <row r="59" spans="1:15" ht="15" customHeight="1" x14ac:dyDescent="0.25">
      <c r="A59" s="235" t="s">
        <v>1321</v>
      </c>
      <c r="B59" s="236" t="s">
        <v>1324</v>
      </c>
      <c r="C59" s="237" t="s">
        <v>1325</v>
      </c>
      <c r="D59" s="238">
        <v>45875</v>
      </c>
      <c r="E59" s="239">
        <v>391.44</v>
      </c>
      <c r="F59" s="239">
        <v>50.89</v>
      </c>
      <c r="G59" s="6">
        <v>150</v>
      </c>
      <c r="H59" s="239">
        <v>51.08</v>
      </c>
      <c r="I59" s="253">
        <v>45957</v>
      </c>
      <c r="J59" s="50">
        <v>130.43</v>
      </c>
      <c r="K59" s="47">
        <f>+I59-D59</f>
        <v>82</v>
      </c>
      <c r="L59" s="48">
        <v>0.03</v>
      </c>
      <c r="M59" s="49">
        <f>+J59*L59</f>
        <v>3.9129</v>
      </c>
    </row>
    <row r="60" spans="1:15" ht="15" customHeight="1" x14ac:dyDescent="0.25">
      <c r="A60" s="235" t="s">
        <v>1322</v>
      </c>
      <c r="B60" s="141" t="s">
        <v>37</v>
      </c>
      <c r="C60" s="237" t="s">
        <v>1326</v>
      </c>
      <c r="D60" s="240">
        <v>45875.389594906999</v>
      </c>
      <c r="E60" s="49">
        <v>320.76</v>
      </c>
      <c r="F60" s="49">
        <v>64.150000000000006</v>
      </c>
      <c r="G60" s="6">
        <v>279.06</v>
      </c>
      <c r="H60" s="241">
        <v>38.49</v>
      </c>
      <c r="I60" s="253">
        <v>45947</v>
      </c>
      <c r="J60" s="50">
        <f>+E60-F60</f>
        <v>256.61</v>
      </c>
      <c r="K60" s="47">
        <f t="shared" ref="K60:K61" si="6">+I60-D60</f>
        <v>71.610405093000736</v>
      </c>
      <c r="L60" s="48">
        <v>0.03</v>
      </c>
      <c r="M60" s="49">
        <f t="shared" ref="M60:M61" si="7">+J60*L60</f>
        <v>7.6982999999999997</v>
      </c>
    </row>
    <row r="61" spans="1:15" ht="15" customHeight="1" x14ac:dyDescent="0.25">
      <c r="A61" s="235" t="s">
        <v>127</v>
      </c>
      <c r="B61" s="141" t="s">
        <v>23</v>
      </c>
      <c r="C61" s="237" t="s">
        <v>1327</v>
      </c>
      <c r="D61" s="240">
        <v>45894.340127315001</v>
      </c>
      <c r="E61" s="49">
        <v>297</v>
      </c>
      <c r="F61" s="49">
        <v>38.61</v>
      </c>
      <c r="G61" s="6">
        <v>297.14999999999998</v>
      </c>
      <c r="H61" s="241">
        <v>38.76</v>
      </c>
      <c r="I61" s="253">
        <v>45946</v>
      </c>
      <c r="J61" s="50">
        <f>+E61-F61</f>
        <v>258.39</v>
      </c>
      <c r="K61" s="47">
        <f t="shared" si="6"/>
        <v>51.659872684998845</v>
      </c>
      <c r="L61" s="48">
        <v>0.03</v>
      </c>
      <c r="M61" s="49">
        <f t="shared" si="7"/>
        <v>7.7516999999999996</v>
      </c>
    </row>
    <row r="62" spans="1:15" ht="15" customHeight="1" x14ac:dyDescent="0.25">
      <c r="A62" s="235" t="s">
        <v>1183</v>
      </c>
      <c r="B62" s="141" t="s">
        <v>1192</v>
      </c>
      <c r="C62" s="237" t="s">
        <v>1328</v>
      </c>
      <c r="D62" s="240">
        <v>45912</v>
      </c>
      <c r="E62" s="178">
        <v>356.4</v>
      </c>
      <c r="F62" s="6">
        <v>46.332000000000001</v>
      </c>
      <c r="G62" s="6">
        <v>356.58</v>
      </c>
      <c r="H62" s="6">
        <v>46.51</v>
      </c>
      <c r="I62" s="253">
        <v>45945</v>
      </c>
      <c r="J62" s="50">
        <f>+E62-F62</f>
        <v>310.06799999999998</v>
      </c>
      <c r="K62" s="47">
        <f>+I62-D62</f>
        <v>33</v>
      </c>
      <c r="L62" s="48">
        <v>0.03</v>
      </c>
      <c r="M62" s="49">
        <f>+J62*L62</f>
        <v>9.3020399999999999</v>
      </c>
    </row>
    <row r="63" spans="1:15" ht="15" customHeight="1" x14ac:dyDescent="0.25">
      <c r="A63" s="235" t="s">
        <v>1323</v>
      </c>
      <c r="B63" s="236" t="s">
        <v>27</v>
      </c>
      <c r="C63" s="237" t="s">
        <v>1329</v>
      </c>
      <c r="D63" s="238">
        <v>45936</v>
      </c>
      <c r="E63" s="239">
        <v>57</v>
      </c>
      <c r="F63" s="239">
        <v>0</v>
      </c>
      <c r="G63" s="6">
        <v>65.55</v>
      </c>
      <c r="H63" s="239">
        <v>8.5500000000000007</v>
      </c>
      <c r="I63" s="253">
        <v>45936</v>
      </c>
      <c r="J63" s="50">
        <f>+E63-F63</f>
        <v>57</v>
      </c>
      <c r="K63" s="47">
        <f>+I63-D63</f>
        <v>0</v>
      </c>
      <c r="L63" s="48">
        <v>0.03</v>
      </c>
      <c r="M63" s="49">
        <f>+J63*L63</f>
        <v>1.71</v>
      </c>
    </row>
    <row r="64" spans="1:15" ht="15" customHeight="1" x14ac:dyDescent="0.25">
      <c r="A64" s="171"/>
      <c r="B64" s="160"/>
      <c r="C64" s="171"/>
      <c r="D64" s="172"/>
      <c r="E64" s="87"/>
      <c r="F64" s="87"/>
      <c r="G64" s="94"/>
      <c r="H64" s="87"/>
      <c r="I64" s="247"/>
      <c r="J64" s="50"/>
      <c r="K64" s="47"/>
      <c r="L64" s="48"/>
      <c r="M64" s="49"/>
    </row>
    <row r="65" spans="1:14" ht="15" customHeight="1" x14ac:dyDescent="0.3">
      <c r="A65" s="42"/>
      <c r="B65" s="43"/>
      <c r="C65" s="43"/>
      <c r="D65" s="68"/>
      <c r="E65" s="44"/>
      <c r="F65" s="44"/>
      <c r="G65" s="45"/>
      <c r="H65" s="46"/>
      <c r="I65" s="260"/>
      <c r="J65" s="50"/>
      <c r="K65" s="47"/>
      <c r="L65" s="48"/>
      <c r="M65" s="49"/>
    </row>
    <row r="66" spans="1:14" ht="15" customHeight="1" x14ac:dyDescent="0.25">
      <c r="A66" s="213"/>
      <c r="B66" s="213"/>
      <c r="C66" s="213"/>
      <c r="D66" s="213"/>
      <c r="E66" s="213"/>
      <c r="F66" s="213"/>
      <c r="G66" s="75">
        <f>SUM(G59:G65)</f>
        <v>1148.3399999999999</v>
      </c>
      <c r="H66" s="80"/>
      <c r="I66" s="261"/>
      <c r="J66" s="75">
        <f>SUM(J59:J65)</f>
        <v>1012.498</v>
      </c>
      <c r="K66" s="82"/>
      <c r="L66" s="82"/>
      <c r="M66" s="75">
        <f>SUM(M59:M65)</f>
        <v>30.374940000000002</v>
      </c>
    </row>
    <row r="67" spans="1:14" ht="15" customHeight="1" x14ac:dyDescent="0.25">
      <c r="A67" s="76"/>
      <c r="B67" s="76"/>
      <c r="C67" s="76"/>
      <c r="D67" s="77"/>
      <c r="E67" s="76"/>
      <c r="F67" s="76"/>
      <c r="G67" s="78"/>
      <c r="H67" s="52"/>
      <c r="I67" s="262"/>
      <c r="J67" s="52"/>
      <c r="K67" s="52"/>
      <c r="L67" s="52"/>
      <c r="M67" s="52"/>
    </row>
    <row r="68" spans="1:14" x14ac:dyDescent="0.25">
      <c r="A68" s="76"/>
      <c r="B68" s="76"/>
      <c r="C68" s="76"/>
      <c r="D68" s="77"/>
      <c r="E68" s="76"/>
      <c r="F68" s="76"/>
      <c r="G68" s="78"/>
      <c r="H68" s="52"/>
      <c r="I68" s="262"/>
      <c r="J68" s="78"/>
      <c r="K68" s="52"/>
      <c r="L68" s="52"/>
      <c r="M68" s="78"/>
    </row>
    <row r="69" spans="1:14" x14ac:dyDescent="0.25">
      <c r="A69" s="52" t="s">
        <v>19</v>
      </c>
      <c r="B69" s="76" t="s">
        <v>20</v>
      </c>
      <c r="C69" s="76" t="s">
        <v>21</v>
      </c>
      <c r="D69" s="79"/>
      <c r="E69" s="52"/>
      <c r="F69" s="52"/>
      <c r="G69" s="78"/>
      <c r="H69" s="52"/>
      <c r="I69" s="262"/>
      <c r="J69" s="52"/>
      <c r="K69" s="52"/>
      <c r="L69" s="52"/>
      <c r="M69" s="52"/>
    </row>
    <row r="70" spans="1:14" s="52" customFormat="1" ht="15" x14ac:dyDescent="0.25">
      <c r="A70" s="101"/>
      <c r="B70" s="101"/>
      <c r="C70" s="102"/>
      <c r="D70" s="105"/>
      <c r="E70" s="92"/>
      <c r="F70" s="92"/>
      <c r="G70" s="90"/>
      <c r="H70" s="92"/>
      <c r="I70" s="248"/>
      <c r="J70" s="50"/>
      <c r="K70" s="47"/>
      <c r="L70" s="48"/>
      <c r="M70" s="49"/>
      <c r="N70" s="60"/>
    </row>
    <row r="71" spans="1:14" ht="15.6" thickBot="1" x14ac:dyDescent="0.3">
      <c r="A71" s="91"/>
      <c r="B71" s="102"/>
      <c r="C71" s="93"/>
      <c r="D71" s="88"/>
      <c r="E71" s="92"/>
      <c r="F71" s="92"/>
      <c r="G71" s="90"/>
      <c r="H71" s="92"/>
      <c r="I71" s="248"/>
      <c r="J71" s="50"/>
      <c r="K71" s="47"/>
      <c r="L71" s="48"/>
      <c r="M71" s="49"/>
    </row>
    <row r="72" spans="1:14" ht="16.2" thickBot="1" x14ac:dyDescent="0.35">
      <c r="A72" s="212" t="s">
        <v>29</v>
      </c>
      <c r="B72" s="212"/>
      <c r="C72" s="212"/>
      <c r="D72" s="212"/>
      <c r="E72" s="212"/>
      <c r="F72" s="212"/>
      <c r="G72" s="37">
        <f>SUM(G66:G71)</f>
        <v>1148.3399999999999</v>
      </c>
      <c r="I72" s="252"/>
      <c r="J72" s="37">
        <f>SUM(J66:J71)</f>
        <v>1012.498</v>
      </c>
      <c r="L72" s="20"/>
      <c r="M72" s="38">
        <f>SUM(M66:M71)</f>
        <v>30.374940000000002</v>
      </c>
    </row>
    <row r="73" spans="1:14" x14ac:dyDescent="0.25">
      <c r="A73" s="19"/>
      <c r="E73" s="19"/>
      <c r="F73" s="19"/>
      <c r="G73" s="8"/>
      <c r="I73" s="252"/>
    </row>
    <row r="75" spans="1:14" x14ac:dyDescent="0.25">
      <c r="J75" s="8"/>
    </row>
    <row r="76" spans="1:14" x14ac:dyDescent="0.25">
      <c r="J76" s="8"/>
    </row>
    <row r="77" spans="1:14" x14ac:dyDescent="0.25">
      <c r="J77" s="8">
        <f>(J46+J72)*2%</f>
        <v>218.14851200000001</v>
      </c>
      <c r="M77" s="185">
        <f>M72/12</f>
        <v>2.5312450000000002</v>
      </c>
      <c r="N77" s="59" t="s">
        <v>1504</v>
      </c>
    </row>
    <row r="78" spans="1:14" x14ac:dyDescent="0.25">
      <c r="J78" s="185">
        <f>J77/12</f>
        <v>18.179042666666668</v>
      </c>
      <c r="K78" s="7" t="s">
        <v>876</v>
      </c>
      <c r="M78" s="185">
        <f>M72/24</f>
        <v>1.2656225000000001</v>
      </c>
      <c r="N78" s="59" t="s">
        <v>1504</v>
      </c>
    </row>
    <row r="79" spans="1:14" x14ac:dyDescent="0.25">
      <c r="J79" s="185">
        <f>J77/24</f>
        <v>9.0895213333333338</v>
      </c>
      <c r="K79" s="7" t="s">
        <v>876</v>
      </c>
    </row>
  </sheetData>
  <sortState xmlns:xlrd2="http://schemas.microsoft.com/office/spreadsheetml/2017/richdata2" ref="A8:O33">
    <sortCondition ref="D8:D33"/>
  </sortState>
  <mergeCells count="2">
    <mergeCell ref="A3:F3"/>
    <mergeCell ref="A46:F46"/>
  </mergeCells>
  <pageMargins left="0.39370078740157483" right="0" top="0.59055118110236227" bottom="0" header="0" footer="0"/>
  <pageSetup paperSize="9" scale="80" orientation="landscape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48C61-18E6-45CD-B79B-7F2322690F3E}">
  <dimension ref="A1:O68"/>
  <sheetViews>
    <sheetView topLeftCell="D48" workbookViewId="0">
      <selection activeCell="B37" sqref="B37"/>
    </sheetView>
  </sheetViews>
  <sheetFormatPr baseColWidth="10" defaultColWidth="11.44140625" defaultRowHeight="13.2" x14ac:dyDescent="0.25"/>
  <cols>
    <col min="1" max="1" width="31.5546875" style="7" customWidth="1"/>
    <col min="2" max="2" width="20.5546875" style="19" customWidth="1"/>
    <col min="3" max="3" width="18.5546875" style="19" customWidth="1"/>
    <col min="4" max="4" width="10.33203125" style="67" customWidth="1"/>
    <col min="5" max="5" width="11.6640625" style="7" customWidth="1"/>
    <col min="6" max="6" width="9.88671875" style="7" customWidth="1"/>
    <col min="7" max="7" width="11.88671875" style="7" customWidth="1"/>
    <col min="8" max="8" width="9.88671875" style="7" customWidth="1"/>
    <col min="9" max="9" width="10.6640625" style="243" customWidth="1"/>
    <col min="10" max="10" width="11.5546875" style="7" customWidth="1"/>
    <col min="11" max="11" width="7.33203125" style="7" customWidth="1"/>
    <col min="12" max="12" width="6.44140625" style="7" customWidth="1"/>
    <col min="13" max="13" width="10.109375" style="7" customWidth="1"/>
    <col min="14" max="14" width="24.33203125" style="59" customWidth="1"/>
    <col min="15" max="16" width="8" style="7" customWidth="1"/>
    <col min="17" max="16384" width="11.44140625" style="7"/>
  </cols>
  <sheetData>
    <row r="1" spans="1:15" ht="15" customHeight="1" x14ac:dyDescent="0.25">
      <c r="B1" s="181"/>
      <c r="C1" s="181"/>
      <c r="G1" s="8"/>
    </row>
    <row r="2" spans="1:15" ht="15" customHeight="1" x14ac:dyDescent="0.25">
      <c r="A2" s="30"/>
      <c r="B2" s="30"/>
      <c r="C2" s="30"/>
      <c r="D2" s="30"/>
      <c r="E2" s="30"/>
      <c r="F2" s="30"/>
      <c r="G2" s="24"/>
      <c r="H2" s="24"/>
      <c r="I2" s="244"/>
      <c r="J2" s="26"/>
      <c r="K2" s="27"/>
      <c r="L2" s="28"/>
      <c r="M2" s="29"/>
    </row>
    <row r="3" spans="1:15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244"/>
      <c r="J3" s="27"/>
      <c r="K3" s="27"/>
      <c r="L3" s="28"/>
      <c r="M3" s="29"/>
    </row>
    <row r="4" spans="1:15" ht="15" customHeight="1" x14ac:dyDescent="0.25">
      <c r="A4" s="30"/>
      <c r="B4" s="30" t="s">
        <v>1368</v>
      </c>
      <c r="C4" s="30"/>
      <c r="D4" s="64"/>
      <c r="E4" s="30"/>
      <c r="F4" s="30"/>
      <c r="G4" s="24"/>
      <c r="H4" s="25"/>
      <c r="I4" s="244"/>
      <c r="J4" s="27"/>
      <c r="K4" s="27"/>
      <c r="L4" s="28"/>
      <c r="M4" s="29"/>
    </row>
    <row r="5" spans="1:15" ht="15" customHeight="1" thickBot="1" x14ac:dyDescent="0.3">
      <c r="A5" s="30"/>
      <c r="B5" s="30" t="s">
        <v>22</v>
      </c>
      <c r="C5" s="30"/>
      <c r="D5" s="64"/>
      <c r="E5" s="30"/>
      <c r="F5" s="30"/>
      <c r="G5" s="32"/>
      <c r="H5" s="24"/>
      <c r="I5" s="245"/>
      <c r="J5" s="33"/>
      <c r="K5" s="27"/>
      <c r="L5" s="28"/>
      <c r="M5" s="29"/>
    </row>
    <row r="6" spans="1:15" ht="15" customHeight="1" x14ac:dyDescent="0.25">
      <c r="A6" s="34"/>
      <c r="B6" s="182"/>
      <c r="C6" s="182"/>
      <c r="D6" s="195"/>
      <c r="E6" s="33"/>
      <c r="F6" s="33"/>
      <c r="G6" s="35" t="s">
        <v>3</v>
      </c>
      <c r="H6" s="27"/>
      <c r="I6" s="244"/>
      <c r="J6" s="36" t="s">
        <v>4</v>
      </c>
      <c r="K6" s="56" t="s">
        <v>5</v>
      </c>
      <c r="L6" s="40" t="s">
        <v>6</v>
      </c>
      <c r="M6" s="36" t="s">
        <v>7</v>
      </c>
    </row>
    <row r="7" spans="1:15" ht="15" customHeight="1" x14ac:dyDescent="0.25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62" t="s">
        <v>13</v>
      </c>
      <c r="H7" s="13" t="s">
        <v>14</v>
      </c>
      <c r="I7" s="246" t="s">
        <v>15</v>
      </c>
      <c r="J7" s="14" t="s">
        <v>16</v>
      </c>
      <c r="K7" s="57"/>
      <c r="L7" s="58" t="s">
        <v>17</v>
      </c>
      <c r="M7" s="14" t="s">
        <v>39</v>
      </c>
    </row>
    <row r="8" spans="1:15" ht="15" customHeight="1" x14ac:dyDescent="0.25">
      <c r="A8" s="235" t="s">
        <v>40</v>
      </c>
      <c r="B8" s="236" t="s">
        <v>18</v>
      </c>
      <c r="C8" s="237" t="s">
        <v>1371</v>
      </c>
      <c r="D8" s="263">
        <v>45966</v>
      </c>
      <c r="E8" s="259">
        <v>313.2</v>
      </c>
      <c r="F8" s="259">
        <v>78.3</v>
      </c>
      <c r="G8" s="6">
        <v>255.46</v>
      </c>
      <c r="H8" s="259">
        <v>35.24</v>
      </c>
      <c r="I8" s="263">
        <v>45967</v>
      </c>
      <c r="J8" s="50">
        <f t="shared" ref="J8:J13" si="0">+E8-F8</f>
        <v>234.89999999999998</v>
      </c>
      <c r="K8" s="47">
        <f t="shared" ref="K8:K22" si="1">+I8-D8</f>
        <v>1</v>
      </c>
      <c r="L8" s="5">
        <v>0.04</v>
      </c>
      <c r="M8" s="6">
        <f t="shared" ref="M8:M22" si="2">+J8*L8</f>
        <v>9.395999999999999</v>
      </c>
      <c r="O8" s="78"/>
    </row>
    <row r="9" spans="1:15" ht="15" customHeight="1" x14ac:dyDescent="0.25">
      <c r="A9" s="235" t="s">
        <v>89</v>
      </c>
      <c r="B9" s="235" t="s">
        <v>18</v>
      </c>
      <c r="C9" s="237" t="s">
        <v>1372</v>
      </c>
      <c r="D9" s="263">
        <v>45971</v>
      </c>
      <c r="E9" s="6">
        <f>51.61+9.11</f>
        <v>60.72</v>
      </c>
      <c r="F9" s="6">
        <v>9.11</v>
      </c>
      <c r="G9" s="235">
        <v>56.13</v>
      </c>
      <c r="H9" s="6">
        <v>7.74</v>
      </c>
      <c r="I9" s="263">
        <v>45972</v>
      </c>
      <c r="J9" s="50">
        <f t="shared" si="0"/>
        <v>51.61</v>
      </c>
      <c r="K9" s="47">
        <f t="shared" si="1"/>
        <v>1</v>
      </c>
      <c r="L9" s="5">
        <v>0.04</v>
      </c>
      <c r="M9" s="6">
        <f t="shared" si="2"/>
        <v>2.0644</v>
      </c>
      <c r="O9" s="78"/>
    </row>
    <row r="10" spans="1:15" ht="15" customHeight="1" x14ac:dyDescent="0.25">
      <c r="A10" s="235" t="s">
        <v>89</v>
      </c>
      <c r="B10" s="235" t="s">
        <v>18</v>
      </c>
      <c r="C10" s="237" t="s">
        <v>1373</v>
      </c>
      <c r="D10" s="263">
        <v>45971</v>
      </c>
      <c r="E10" s="6">
        <f>42.64+7.52</f>
        <v>50.16</v>
      </c>
      <c r="F10" s="6">
        <v>7.52</v>
      </c>
      <c r="G10" s="235">
        <v>46.37</v>
      </c>
      <c r="H10" s="6">
        <v>6.4</v>
      </c>
      <c r="I10" s="263">
        <v>45972</v>
      </c>
      <c r="J10" s="50">
        <f t="shared" si="0"/>
        <v>42.64</v>
      </c>
      <c r="K10" s="47">
        <f t="shared" si="1"/>
        <v>1</v>
      </c>
      <c r="L10" s="5">
        <v>0.04</v>
      </c>
      <c r="M10" s="6">
        <f t="shared" si="2"/>
        <v>1.7056</v>
      </c>
      <c r="O10" s="78"/>
    </row>
    <row r="11" spans="1:15" ht="15" customHeight="1" x14ac:dyDescent="0.25">
      <c r="A11" s="235" t="s">
        <v>701</v>
      </c>
      <c r="B11" s="141" t="s">
        <v>24</v>
      </c>
      <c r="C11" s="237" t="s">
        <v>1374</v>
      </c>
      <c r="D11" s="263">
        <v>45968</v>
      </c>
      <c r="E11" s="6">
        <f>322.2+107.4</f>
        <v>429.6</v>
      </c>
      <c r="F11" s="6">
        <v>107.4</v>
      </c>
      <c r="G11" s="235">
        <v>350.29</v>
      </c>
      <c r="H11" s="6">
        <v>48.33</v>
      </c>
      <c r="I11" s="263">
        <v>45973</v>
      </c>
      <c r="J11" s="50">
        <f t="shared" si="0"/>
        <v>322.20000000000005</v>
      </c>
      <c r="K11" s="47">
        <f t="shared" si="1"/>
        <v>5</v>
      </c>
      <c r="L11" s="5">
        <v>0.04</v>
      </c>
      <c r="M11" s="6">
        <f t="shared" si="2"/>
        <v>12.888000000000002</v>
      </c>
      <c r="O11" s="78"/>
    </row>
    <row r="12" spans="1:15" ht="15" customHeight="1" x14ac:dyDescent="0.25">
      <c r="A12" s="235" t="s">
        <v>701</v>
      </c>
      <c r="B12" s="255" t="s">
        <v>24</v>
      </c>
      <c r="C12" s="237" t="s">
        <v>1375</v>
      </c>
      <c r="D12" s="263">
        <v>45958</v>
      </c>
      <c r="E12" s="258">
        <f>612+204</f>
        <v>816</v>
      </c>
      <c r="F12" s="258">
        <v>204</v>
      </c>
      <c r="G12" s="235">
        <v>665.55</v>
      </c>
      <c r="H12" s="258">
        <v>91.8</v>
      </c>
      <c r="I12" s="263">
        <v>45973</v>
      </c>
      <c r="J12" s="50">
        <f t="shared" si="0"/>
        <v>612</v>
      </c>
      <c r="K12" s="47">
        <f t="shared" si="1"/>
        <v>15</v>
      </c>
      <c r="L12" s="5">
        <v>3.5000000000000003E-2</v>
      </c>
      <c r="M12" s="6">
        <f t="shared" si="2"/>
        <v>21.42</v>
      </c>
      <c r="O12" s="78"/>
    </row>
    <row r="13" spans="1:15" ht="15" customHeight="1" x14ac:dyDescent="0.25">
      <c r="A13" s="235" t="s">
        <v>80</v>
      </c>
      <c r="B13" s="235" t="s">
        <v>18</v>
      </c>
      <c r="C13" s="237" t="s">
        <v>1376</v>
      </c>
      <c r="D13" s="263">
        <v>45946</v>
      </c>
      <c r="E13" s="6">
        <f>367.2+91.8</f>
        <v>459</v>
      </c>
      <c r="F13" s="6">
        <v>91.8</v>
      </c>
      <c r="G13" s="235">
        <v>399.33</v>
      </c>
      <c r="H13" s="6">
        <v>55.08</v>
      </c>
      <c r="I13" s="263">
        <v>45972</v>
      </c>
      <c r="J13" s="50">
        <f t="shared" si="0"/>
        <v>367.2</v>
      </c>
      <c r="K13" s="47">
        <f t="shared" si="1"/>
        <v>26</v>
      </c>
      <c r="L13" s="5">
        <v>3.5000000000000003E-2</v>
      </c>
      <c r="M13" s="6">
        <f t="shared" si="2"/>
        <v>12.852</v>
      </c>
      <c r="O13" s="78"/>
    </row>
    <row r="14" spans="1:15" ht="15" customHeight="1" x14ac:dyDescent="0.25">
      <c r="A14" s="235" t="s">
        <v>80</v>
      </c>
      <c r="B14" s="141" t="s">
        <v>18</v>
      </c>
      <c r="C14" s="237" t="s">
        <v>1377</v>
      </c>
      <c r="D14" s="263">
        <v>45933</v>
      </c>
      <c r="E14" s="259">
        <f>408+102</f>
        <v>510</v>
      </c>
      <c r="F14" s="259">
        <v>102</v>
      </c>
      <c r="G14" s="6">
        <v>443.7</v>
      </c>
      <c r="H14" s="264">
        <v>61.2</v>
      </c>
      <c r="I14" s="263">
        <v>45968</v>
      </c>
      <c r="J14" s="50">
        <f>+E14-F14</f>
        <v>408</v>
      </c>
      <c r="K14" s="47">
        <f t="shared" si="1"/>
        <v>35</v>
      </c>
      <c r="L14" s="5">
        <v>0.03</v>
      </c>
      <c r="M14" s="6">
        <f t="shared" si="2"/>
        <v>12.24</v>
      </c>
      <c r="O14" s="78"/>
    </row>
    <row r="15" spans="1:15" ht="15" customHeight="1" x14ac:dyDescent="0.25">
      <c r="A15" s="235" t="s">
        <v>71</v>
      </c>
      <c r="B15" s="236" t="s">
        <v>24</v>
      </c>
      <c r="C15" s="237" t="s">
        <v>1378</v>
      </c>
      <c r="D15" s="263">
        <v>45932</v>
      </c>
      <c r="E15" s="259">
        <f>839.66+279.89</f>
        <v>1119.55</v>
      </c>
      <c r="F15" s="259">
        <v>279.89</v>
      </c>
      <c r="G15" s="6">
        <v>913.14</v>
      </c>
      <c r="H15" s="259">
        <v>125.95</v>
      </c>
      <c r="I15" s="263">
        <v>45968</v>
      </c>
      <c r="J15" s="50">
        <f t="shared" ref="J15:J22" si="3">+E15-F15</f>
        <v>839.66</v>
      </c>
      <c r="K15" s="47">
        <f t="shared" si="1"/>
        <v>36</v>
      </c>
      <c r="L15" s="5">
        <v>0.03</v>
      </c>
      <c r="M15" s="6">
        <f t="shared" si="2"/>
        <v>25.189799999999998</v>
      </c>
      <c r="O15" s="78"/>
    </row>
    <row r="16" spans="1:15" ht="15" customHeight="1" x14ac:dyDescent="0.25">
      <c r="A16" s="235" t="s">
        <v>694</v>
      </c>
      <c r="B16" s="141" t="s">
        <v>30</v>
      </c>
      <c r="C16" s="237" t="s">
        <v>1379</v>
      </c>
      <c r="D16" s="263">
        <v>45929</v>
      </c>
      <c r="E16" s="265">
        <v>118.80000000000001</v>
      </c>
      <c r="F16" s="259">
        <v>17.82</v>
      </c>
      <c r="G16" s="6">
        <v>116.13</v>
      </c>
      <c r="H16" s="259">
        <v>15.15</v>
      </c>
      <c r="I16" s="263">
        <v>45966</v>
      </c>
      <c r="J16" s="50">
        <f t="shared" si="3"/>
        <v>100.98000000000002</v>
      </c>
      <c r="K16" s="47">
        <f t="shared" si="1"/>
        <v>37</v>
      </c>
      <c r="L16" s="5">
        <v>0.03</v>
      </c>
      <c r="M16" s="6">
        <f t="shared" si="2"/>
        <v>3.0294000000000003</v>
      </c>
      <c r="O16" s="78"/>
    </row>
    <row r="17" spans="1:15" ht="15" customHeight="1" x14ac:dyDescent="0.25">
      <c r="A17" s="235" t="s">
        <v>106</v>
      </c>
      <c r="B17" s="141" t="s">
        <v>61</v>
      </c>
      <c r="C17" s="237" t="s">
        <v>1380</v>
      </c>
      <c r="D17" s="263">
        <v>45930</v>
      </c>
      <c r="E17" s="265">
        <v>85</v>
      </c>
      <c r="F17" s="259">
        <v>12.75</v>
      </c>
      <c r="G17" s="6">
        <v>83.09</v>
      </c>
      <c r="H17" s="264">
        <v>10.84</v>
      </c>
      <c r="I17" s="263">
        <v>45968</v>
      </c>
      <c r="J17" s="50">
        <f t="shared" si="3"/>
        <v>72.25</v>
      </c>
      <c r="K17" s="47">
        <f t="shared" si="1"/>
        <v>38</v>
      </c>
      <c r="L17" s="5">
        <v>0.03</v>
      </c>
      <c r="M17" s="6">
        <f t="shared" si="2"/>
        <v>2.1675</v>
      </c>
      <c r="O17" s="78"/>
    </row>
    <row r="18" spans="1:15" ht="15" customHeight="1" x14ac:dyDescent="0.25">
      <c r="A18" s="235" t="s">
        <v>80</v>
      </c>
      <c r="B18" s="141" t="s">
        <v>18</v>
      </c>
      <c r="C18" s="237" t="s">
        <v>1381</v>
      </c>
      <c r="D18" s="263">
        <v>45924</v>
      </c>
      <c r="E18" s="265">
        <v>561</v>
      </c>
      <c r="F18" s="259">
        <v>112.2</v>
      </c>
      <c r="G18" s="6">
        <v>488.07</v>
      </c>
      <c r="H18" s="259">
        <v>67.319999999999993</v>
      </c>
      <c r="I18" s="263">
        <v>45968</v>
      </c>
      <c r="J18" s="50">
        <f t="shared" si="3"/>
        <v>448.8</v>
      </c>
      <c r="K18" s="47">
        <f t="shared" si="1"/>
        <v>44</v>
      </c>
      <c r="L18" s="5">
        <v>0.03</v>
      </c>
      <c r="M18" s="6">
        <f t="shared" si="2"/>
        <v>13.464</v>
      </c>
      <c r="O18" s="78"/>
    </row>
    <row r="19" spans="1:15" ht="15" customHeight="1" x14ac:dyDescent="0.25">
      <c r="A19" s="235" t="s">
        <v>54</v>
      </c>
      <c r="B19" s="141" t="s">
        <v>32</v>
      </c>
      <c r="C19" s="237" t="s">
        <v>1382</v>
      </c>
      <c r="D19" s="263">
        <v>45908</v>
      </c>
      <c r="E19" s="265">
        <v>643.56000000000006</v>
      </c>
      <c r="F19" s="259">
        <v>109.40519999999999</v>
      </c>
      <c r="G19" s="6">
        <v>529.34</v>
      </c>
      <c r="H19" s="259">
        <v>80.12</v>
      </c>
      <c r="I19" s="263">
        <v>45966</v>
      </c>
      <c r="J19" s="50">
        <f t="shared" si="3"/>
        <v>534.15480000000002</v>
      </c>
      <c r="K19" s="47">
        <f t="shared" si="1"/>
        <v>58</v>
      </c>
      <c r="L19" s="5">
        <v>0.03</v>
      </c>
      <c r="M19" s="6">
        <f t="shared" si="2"/>
        <v>16.024643999999999</v>
      </c>
      <c r="O19" s="78"/>
    </row>
    <row r="20" spans="1:15" ht="15" customHeight="1" x14ac:dyDescent="0.25">
      <c r="A20" s="235" t="s">
        <v>89</v>
      </c>
      <c r="B20" s="141" t="s">
        <v>18</v>
      </c>
      <c r="C20" s="237" t="s">
        <v>1383</v>
      </c>
      <c r="D20" s="263">
        <v>45877</v>
      </c>
      <c r="E20" s="265">
        <v>891.24</v>
      </c>
      <c r="F20" s="265">
        <v>178.25</v>
      </c>
      <c r="G20" s="6">
        <v>775.37</v>
      </c>
      <c r="H20" s="119">
        <v>106.95</v>
      </c>
      <c r="I20" s="263">
        <v>45968</v>
      </c>
      <c r="J20" s="50">
        <f t="shared" si="3"/>
        <v>712.99</v>
      </c>
      <c r="K20" s="47">
        <f t="shared" si="1"/>
        <v>91</v>
      </c>
      <c r="L20" s="5">
        <v>0.03</v>
      </c>
      <c r="M20" s="6">
        <f t="shared" si="2"/>
        <v>21.389699999999998</v>
      </c>
      <c r="O20" s="78"/>
    </row>
    <row r="21" spans="1:15" ht="15" customHeight="1" x14ac:dyDescent="0.25">
      <c r="A21" s="235" t="s">
        <v>1283</v>
      </c>
      <c r="B21" s="116" t="s">
        <v>23</v>
      </c>
      <c r="C21" s="237" t="s">
        <v>1341</v>
      </c>
      <c r="D21" s="263">
        <v>45754</v>
      </c>
      <c r="E21" s="119">
        <f>2604.6+868.2</f>
        <v>3472.8</v>
      </c>
      <c r="F21" s="119">
        <v>868.2</v>
      </c>
      <c r="G21" s="6">
        <v>750</v>
      </c>
      <c r="H21" s="119">
        <v>390.69</v>
      </c>
      <c r="I21" s="263">
        <v>45966</v>
      </c>
      <c r="J21" s="50">
        <f>750/1.15</f>
        <v>652.17391304347836</v>
      </c>
      <c r="K21" s="47">
        <f t="shared" si="1"/>
        <v>212</v>
      </c>
      <c r="L21" s="5">
        <v>0.03</v>
      </c>
      <c r="M21" s="6">
        <f t="shared" si="2"/>
        <v>19.565217391304351</v>
      </c>
      <c r="O21" s="78"/>
    </row>
    <row r="22" spans="1:15" ht="15" customHeight="1" x14ac:dyDescent="0.25">
      <c r="A22" s="235" t="s">
        <v>44</v>
      </c>
      <c r="B22" s="266"/>
      <c r="C22" s="237" t="s">
        <v>1384</v>
      </c>
      <c r="D22" s="263">
        <v>45975</v>
      </c>
      <c r="E22" s="119">
        <f>25.08</f>
        <v>25.08</v>
      </c>
      <c r="F22" s="119">
        <v>0</v>
      </c>
      <c r="G22" s="235">
        <v>27.27</v>
      </c>
      <c r="H22" s="119">
        <v>3.76</v>
      </c>
      <c r="I22" s="263">
        <v>45975</v>
      </c>
      <c r="J22" s="50">
        <f t="shared" si="3"/>
        <v>25.08</v>
      </c>
      <c r="K22" s="47">
        <f t="shared" si="1"/>
        <v>0</v>
      </c>
      <c r="L22" s="5">
        <v>0.04</v>
      </c>
      <c r="M22" s="6">
        <f t="shared" si="2"/>
        <v>1.0031999999999999</v>
      </c>
      <c r="O22" s="78"/>
    </row>
    <row r="23" spans="1:15" ht="15" customHeight="1" x14ac:dyDescent="0.25">
      <c r="A23" s="171"/>
      <c r="B23" s="231"/>
      <c r="C23" s="184"/>
      <c r="D23" s="216"/>
      <c r="E23" s="232"/>
      <c r="F23" s="232"/>
      <c r="G23" s="232"/>
      <c r="H23" s="87"/>
      <c r="I23" s="247"/>
      <c r="J23" s="50"/>
      <c r="K23" s="47"/>
      <c r="L23" s="5"/>
      <c r="M23" s="6"/>
      <c r="O23" s="78"/>
    </row>
    <row r="24" spans="1:15" ht="15" customHeight="1" x14ac:dyDescent="0.25">
      <c r="A24" s="171"/>
      <c r="B24" s="160"/>
      <c r="C24" s="171"/>
      <c r="D24" s="201"/>
      <c r="E24" s="87"/>
      <c r="F24" s="87"/>
      <c r="G24" s="94"/>
      <c r="H24" s="87"/>
      <c r="I24" s="247"/>
      <c r="J24" s="50"/>
      <c r="K24" s="47"/>
      <c r="L24" s="5"/>
      <c r="M24" s="6"/>
      <c r="O24" s="78"/>
    </row>
    <row r="25" spans="1:15" ht="15" customHeight="1" x14ac:dyDescent="0.3">
      <c r="G25" s="16">
        <f>SUM(G8:G24)</f>
        <v>5899.2400000000007</v>
      </c>
      <c r="J25" s="16">
        <f>SUM(J8:J24)</f>
        <v>5424.6387130434778</v>
      </c>
      <c r="M25" s="16">
        <f>SUM(M8:M24)</f>
        <v>174.39946139130433</v>
      </c>
      <c r="O25" s="78"/>
    </row>
    <row r="26" spans="1:15" ht="15" customHeight="1" x14ac:dyDescent="0.25">
      <c r="G26" s="8"/>
      <c r="H26" s="8"/>
      <c r="O26" s="78"/>
    </row>
    <row r="27" spans="1:15" ht="15" customHeight="1" x14ac:dyDescent="0.25">
      <c r="A27" s="17" t="s">
        <v>19</v>
      </c>
      <c r="B27" s="18" t="s">
        <v>20</v>
      </c>
      <c r="C27" s="18" t="s">
        <v>21</v>
      </c>
      <c r="J27" s="8"/>
      <c r="O27" s="78"/>
    </row>
    <row r="28" spans="1:15" s="52" customFormat="1" x14ac:dyDescent="0.25">
      <c r="A28" s="235" t="s">
        <v>46</v>
      </c>
      <c r="B28" s="235" t="s">
        <v>1385</v>
      </c>
      <c r="C28" s="237" t="s">
        <v>1391</v>
      </c>
      <c r="D28" s="263">
        <v>45967</v>
      </c>
      <c r="E28" s="235">
        <f>138.92+34.73</f>
        <v>173.64999999999998</v>
      </c>
      <c r="F28" s="235">
        <v>34.729999999999997</v>
      </c>
      <c r="G28" s="6">
        <v>152.12</v>
      </c>
      <c r="H28" s="235">
        <v>20.84</v>
      </c>
      <c r="I28" s="263">
        <v>45997</v>
      </c>
      <c r="J28" s="50">
        <f>+E28-F28</f>
        <v>138.91999999999999</v>
      </c>
      <c r="K28" s="47">
        <f>+I28-D28</f>
        <v>30</v>
      </c>
      <c r="L28" s="48">
        <v>0.03</v>
      </c>
      <c r="M28" s="49">
        <f>+J28*L28</f>
        <v>4.1675999999999993</v>
      </c>
      <c r="N28" s="60"/>
      <c r="O28" s="78"/>
    </row>
    <row r="29" spans="1:15" s="52" customFormat="1" x14ac:dyDescent="0.25">
      <c r="A29" s="235" t="s">
        <v>46</v>
      </c>
      <c r="B29" s="235" t="s">
        <v>1386</v>
      </c>
      <c r="C29" s="237" t="s">
        <v>1392</v>
      </c>
      <c r="D29" s="263">
        <v>45971</v>
      </c>
      <c r="E29" s="6">
        <f>242.88+60.72</f>
        <v>303.60000000000002</v>
      </c>
      <c r="F29" s="235">
        <v>60.72</v>
      </c>
      <c r="G29" s="6">
        <v>265.95999999999998</v>
      </c>
      <c r="H29" s="235">
        <v>36.43</v>
      </c>
      <c r="I29" s="263">
        <v>46001</v>
      </c>
      <c r="J29" s="50">
        <f t="shared" ref="J29:J33" si="4">+E29-F29</f>
        <v>242.88000000000002</v>
      </c>
      <c r="K29" s="47">
        <f t="shared" ref="K29:K33" si="5">+I29-D29</f>
        <v>30</v>
      </c>
      <c r="L29" s="48">
        <v>0.03</v>
      </c>
      <c r="M29" s="49">
        <f t="shared" ref="M29:M33" si="6">+J29*L29</f>
        <v>7.2864000000000004</v>
      </c>
      <c r="N29" s="60"/>
      <c r="O29" s="78"/>
    </row>
    <row r="30" spans="1:15" s="52" customFormat="1" x14ac:dyDescent="0.25">
      <c r="A30" s="235" t="s">
        <v>38</v>
      </c>
      <c r="B30" s="235" t="s">
        <v>1387</v>
      </c>
      <c r="C30" s="237" t="s">
        <v>1393</v>
      </c>
      <c r="D30" s="263">
        <v>45954</v>
      </c>
      <c r="E30" s="6">
        <f>318.24+89.76</f>
        <v>408</v>
      </c>
      <c r="F30" s="6">
        <v>89.76</v>
      </c>
      <c r="G30" s="6">
        <v>346.09</v>
      </c>
      <c r="H30" s="6">
        <v>47.74</v>
      </c>
      <c r="I30" s="263">
        <v>45985</v>
      </c>
      <c r="J30" s="50">
        <f t="shared" si="4"/>
        <v>318.24</v>
      </c>
      <c r="K30" s="47">
        <f t="shared" si="5"/>
        <v>31</v>
      </c>
      <c r="L30" s="48">
        <v>0.03</v>
      </c>
      <c r="M30" s="49">
        <f t="shared" si="6"/>
        <v>9.5472000000000001</v>
      </c>
      <c r="N30" s="60"/>
      <c r="O30" s="78"/>
    </row>
    <row r="31" spans="1:15" s="52" customFormat="1" x14ac:dyDescent="0.25">
      <c r="A31" s="235" t="s">
        <v>46</v>
      </c>
      <c r="B31" s="235" t="s">
        <v>1388</v>
      </c>
      <c r="C31" s="237" t="s">
        <v>1394</v>
      </c>
      <c r="D31" s="263">
        <v>45973</v>
      </c>
      <c r="E31" s="6">
        <f>395.71+98.93</f>
        <v>494.64</v>
      </c>
      <c r="F31" s="6">
        <v>98.93</v>
      </c>
      <c r="G31" s="6">
        <v>430.34</v>
      </c>
      <c r="H31" s="6">
        <v>59.36</v>
      </c>
      <c r="I31" s="263">
        <v>46003</v>
      </c>
      <c r="J31" s="50">
        <f t="shared" si="4"/>
        <v>395.71</v>
      </c>
      <c r="K31" s="47">
        <f t="shared" si="5"/>
        <v>30</v>
      </c>
      <c r="L31" s="48">
        <v>0.03</v>
      </c>
      <c r="M31" s="49">
        <f t="shared" si="6"/>
        <v>11.8713</v>
      </c>
      <c r="N31" s="60"/>
      <c r="O31" s="78"/>
    </row>
    <row r="32" spans="1:15" s="52" customFormat="1" x14ac:dyDescent="0.25">
      <c r="A32" s="235" t="s">
        <v>97</v>
      </c>
      <c r="B32" s="235" t="s">
        <v>1389</v>
      </c>
      <c r="C32" s="237" t="s">
        <v>1395</v>
      </c>
      <c r="D32" s="263">
        <v>45915</v>
      </c>
      <c r="E32" s="6">
        <f>334.66+68.54</f>
        <v>403.20000000000005</v>
      </c>
      <c r="F32" s="6">
        <v>68.540000000000006</v>
      </c>
      <c r="G32" s="6">
        <v>384.86</v>
      </c>
      <c r="H32" s="6">
        <v>50.2</v>
      </c>
      <c r="I32" s="263">
        <v>45987</v>
      </c>
      <c r="J32" s="50">
        <f t="shared" si="4"/>
        <v>334.66</v>
      </c>
      <c r="K32" s="47">
        <f t="shared" si="5"/>
        <v>72</v>
      </c>
      <c r="L32" s="48">
        <v>0.03</v>
      </c>
      <c r="M32" s="49">
        <f t="shared" si="6"/>
        <v>10.0398</v>
      </c>
      <c r="N32" s="230"/>
      <c r="O32" s="78"/>
    </row>
    <row r="33" spans="1:15" s="52" customFormat="1" x14ac:dyDescent="0.25">
      <c r="A33" s="235" t="s">
        <v>58</v>
      </c>
      <c r="B33" s="235" t="s">
        <v>1390</v>
      </c>
      <c r="C33" s="237" t="s">
        <v>1396</v>
      </c>
      <c r="D33" s="263">
        <v>45915</v>
      </c>
      <c r="E33" s="6">
        <f>175.3+35.9</f>
        <v>211.20000000000002</v>
      </c>
      <c r="F33" s="6">
        <v>35.9</v>
      </c>
      <c r="G33" s="6">
        <v>190.63</v>
      </c>
      <c r="H33" s="6">
        <v>26.29</v>
      </c>
      <c r="I33" s="263">
        <v>45991</v>
      </c>
      <c r="J33" s="50">
        <f t="shared" si="4"/>
        <v>175.3</v>
      </c>
      <c r="K33" s="47">
        <f t="shared" si="5"/>
        <v>76</v>
      </c>
      <c r="L33" s="48">
        <v>0.03</v>
      </c>
      <c r="M33" s="49">
        <f t="shared" si="6"/>
        <v>5.2590000000000003</v>
      </c>
      <c r="N33" s="60"/>
      <c r="O33" s="78"/>
    </row>
    <row r="34" spans="1:15" s="52" customFormat="1" ht="15.6" thickBot="1" x14ac:dyDescent="0.3">
      <c r="A34" s="101"/>
      <c r="B34" s="102"/>
      <c r="C34" s="101"/>
      <c r="D34" s="105"/>
      <c r="E34" s="92"/>
      <c r="F34" s="92"/>
      <c r="G34" s="90"/>
      <c r="H34" s="92"/>
      <c r="I34" s="248"/>
      <c r="J34" s="50"/>
      <c r="K34" s="47"/>
      <c r="L34" s="48"/>
      <c r="M34" s="49"/>
      <c r="N34" s="60"/>
      <c r="O34" s="78"/>
    </row>
    <row r="35" spans="1:15" ht="15" customHeight="1" thickBot="1" x14ac:dyDescent="0.35">
      <c r="A35" s="332" t="s">
        <v>29</v>
      </c>
      <c r="B35" s="332"/>
      <c r="C35" s="332"/>
      <c r="D35" s="332"/>
      <c r="E35" s="332"/>
      <c r="F35" s="332"/>
      <c r="G35" s="16">
        <f>SUM(G25:G34)</f>
        <v>7669.2400000000007</v>
      </c>
      <c r="J35" s="16">
        <f>SUM(J25:J34)</f>
        <v>7030.3487130434778</v>
      </c>
      <c r="L35" s="20"/>
      <c r="M35" s="21">
        <f>SUM(M25:M34)</f>
        <v>222.57076139130436</v>
      </c>
    </row>
    <row r="36" spans="1:15" ht="15" customHeight="1" x14ac:dyDescent="0.3">
      <c r="A36" s="22"/>
      <c r="G36" s="8"/>
    </row>
    <row r="37" spans="1:15" ht="15" customHeight="1" x14ac:dyDescent="0.3">
      <c r="A37" s="22"/>
      <c r="G37" s="8"/>
    </row>
    <row r="38" spans="1:15" ht="15" customHeight="1" x14ac:dyDescent="0.3">
      <c r="A38" s="22"/>
      <c r="G38" s="8"/>
    </row>
    <row r="39" spans="1:15" ht="15" customHeight="1" x14ac:dyDescent="0.3">
      <c r="A39" s="39"/>
      <c r="G39" s="8"/>
      <c r="J39" s="8"/>
    </row>
    <row r="40" spans="1:15" ht="15" customHeight="1" x14ac:dyDescent="0.3">
      <c r="A40" s="39"/>
      <c r="G40" s="8"/>
      <c r="J40" s="8"/>
      <c r="M40" s="185">
        <f>M35/12</f>
        <v>18.547563449275362</v>
      </c>
      <c r="N40" s="59" t="s">
        <v>1505</v>
      </c>
    </row>
    <row r="41" spans="1:15" ht="15" customHeight="1" x14ac:dyDescent="0.3">
      <c r="A41" s="39"/>
      <c r="G41" s="8"/>
      <c r="J41" s="8"/>
      <c r="M41" s="185">
        <f>M35/24</f>
        <v>9.273781724637681</v>
      </c>
      <c r="N41" s="59" t="s">
        <v>1505</v>
      </c>
    </row>
    <row r="42" spans="1:15" ht="15" customHeight="1" x14ac:dyDescent="0.25">
      <c r="A42" s="30" t="s">
        <v>0</v>
      </c>
      <c r="B42" s="30"/>
      <c r="C42" s="30"/>
      <c r="D42" s="30"/>
      <c r="E42" s="30"/>
      <c r="F42" s="30"/>
      <c r="G42" s="24"/>
      <c r="H42" s="25"/>
      <c r="I42" s="249"/>
      <c r="J42" s="26"/>
      <c r="K42" s="27"/>
      <c r="L42" s="28"/>
      <c r="M42" s="29"/>
    </row>
    <row r="43" spans="1:15" ht="15" customHeight="1" x14ac:dyDescent="0.25">
      <c r="A43" s="30" t="s">
        <v>1</v>
      </c>
      <c r="B43" s="30"/>
      <c r="C43" s="30"/>
      <c r="D43" s="30"/>
      <c r="E43" s="30"/>
      <c r="F43" s="30"/>
      <c r="G43" s="24"/>
      <c r="H43" s="25"/>
      <c r="I43" s="249"/>
      <c r="J43" s="27"/>
      <c r="K43" s="27"/>
      <c r="L43" s="28"/>
      <c r="M43" s="29"/>
    </row>
    <row r="44" spans="1:15" ht="15" customHeight="1" x14ac:dyDescent="0.25">
      <c r="A44" s="30"/>
      <c r="B44" s="30" t="s">
        <v>1368</v>
      </c>
      <c r="C44" s="30"/>
      <c r="D44" s="64"/>
      <c r="E44" s="30"/>
      <c r="F44" s="30"/>
      <c r="G44" s="24"/>
      <c r="H44" s="25"/>
      <c r="I44" s="249"/>
      <c r="J44" s="27"/>
      <c r="K44" s="27"/>
      <c r="L44" s="28"/>
      <c r="M44" s="29"/>
    </row>
    <row r="45" spans="1:15" ht="15" customHeight="1" thickBot="1" x14ac:dyDescent="0.3">
      <c r="A45" s="30"/>
      <c r="B45" s="30" t="s">
        <v>1130</v>
      </c>
      <c r="C45" s="30"/>
      <c r="D45" s="64"/>
      <c r="E45" s="30"/>
      <c r="F45" s="30"/>
      <c r="G45" s="32"/>
      <c r="H45" s="24"/>
      <c r="I45" s="250"/>
      <c r="J45" s="33"/>
      <c r="K45" s="27"/>
      <c r="L45" s="28"/>
      <c r="M45" s="29"/>
    </row>
    <row r="46" spans="1:15" ht="15" customHeight="1" x14ac:dyDescent="0.25">
      <c r="A46" s="34" t="s">
        <v>66</v>
      </c>
      <c r="B46" s="182"/>
      <c r="C46" s="33"/>
      <c r="D46" s="65"/>
      <c r="E46" s="33"/>
      <c r="F46" s="33"/>
      <c r="G46" s="35" t="s">
        <v>3</v>
      </c>
      <c r="H46" s="27"/>
      <c r="I46" s="249"/>
      <c r="J46" s="36" t="s">
        <v>4</v>
      </c>
      <c r="K46" s="56" t="s">
        <v>5</v>
      </c>
      <c r="L46" s="40" t="s">
        <v>6</v>
      </c>
      <c r="M46" s="36" t="s">
        <v>7</v>
      </c>
      <c r="O46" s="8"/>
    </row>
    <row r="47" spans="1:15" ht="15" customHeight="1" thickBot="1" x14ac:dyDescent="0.3">
      <c r="A47" s="11" t="s">
        <v>8</v>
      </c>
      <c r="B47" s="11" t="s">
        <v>9</v>
      </c>
      <c r="C47" s="11" t="s">
        <v>10</v>
      </c>
      <c r="D47" s="66" t="s">
        <v>11</v>
      </c>
      <c r="E47" s="11" t="s">
        <v>12</v>
      </c>
      <c r="F47" s="54" t="s">
        <v>50</v>
      </c>
      <c r="G47" s="12" t="s">
        <v>13</v>
      </c>
      <c r="H47" s="13" t="s">
        <v>14</v>
      </c>
      <c r="I47" s="251" t="s">
        <v>15</v>
      </c>
      <c r="J47" s="14" t="s">
        <v>16</v>
      </c>
      <c r="K47" s="57"/>
      <c r="L47" s="58" t="s">
        <v>17</v>
      </c>
      <c r="M47" s="14" t="s">
        <v>39</v>
      </c>
      <c r="O47" s="8"/>
    </row>
    <row r="48" spans="1:15" ht="15" customHeight="1" x14ac:dyDescent="0.25">
      <c r="A48" s="235" t="s">
        <v>85</v>
      </c>
      <c r="B48" s="141" t="s">
        <v>23</v>
      </c>
      <c r="C48" s="237" t="s">
        <v>1399</v>
      </c>
      <c r="D48" s="263">
        <v>45889</v>
      </c>
      <c r="E48" s="265">
        <f>121.18+21.38</f>
        <v>142.56</v>
      </c>
      <c r="F48" s="265">
        <v>21.38</v>
      </c>
      <c r="G48" s="6">
        <v>131.78</v>
      </c>
      <c r="H48" s="119">
        <v>18.18</v>
      </c>
      <c r="I48" s="263">
        <v>45962</v>
      </c>
      <c r="J48" s="50">
        <f t="shared" ref="J48:J50" si="7">+E48-F48</f>
        <v>121.18</v>
      </c>
      <c r="K48" s="47">
        <f>+I48-D48</f>
        <v>73</v>
      </c>
      <c r="L48" s="48">
        <v>0.03</v>
      </c>
      <c r="M48" s="49">
        <f>+J48*L48</f>
        <v>3.6354000000000002</v>
      </c>
    </row>
    <row r="49" spans="1:14" ht="15" customHeight="1" x14ac:dyDescent="0.25">
      <c r="A49" s="235" t="s">
        <v>1323</v>
      </c>
      <c r="B49" s="236" t="s">
        <v>27</v>
      </c>
      <c r="C49" s="237" t="s">
        <v>1400</v>
      </c>
      <c r="D49" s="263">
        <v>45975</v>
      </c>
      <c r="E49" s="119">
        <f>489.33+163.11</f>
        <v>652.44000000000005</v>
      </c>
      <c r="F49" s="119">
        <v>163.11000000000001</v>
      </c>
      <c r="G49" s="235">
        <v>562.73</v>
      </c>
      <c r="H49" s="119">
        <v>73.400000000000006</v>
      </c>
      <c r="I49" s="263">
        <v>45975</v>
      </c>
      <c r="J49" s="50">
        <f t="shared" si="7"/>
        <v>489.33000000000004</v>
      </c>
      <c r="K49" s="47">
        <f t="shared" ref="K49:K51" si="8">+I49-D49</f>
        <v>0</v>
      </c>
      <c r="L49" s="48">
        <v>0.04</v>
      </c>
      <c r="M49" s="49">
        <f t="shared" ref="M49:M51" si="9">+J49*L49</f>
        <v>19.573200000000003</v>
      </c>
    </row>
    <row r="50" spans="1:14" ht="15" customHeight="1" x14ac:dyDescent="0.25">
      <c r="A50" s="235" t="s">
        <v>1180</v>
      </c>
      <c r="B50" s="236" t="s">
        <v>1191</v>
      </c>
      <c r="C50" s="237" t="s">
        <v>1401</v>
      </c>
      <c r="D50" s="263">
        <v>45896</v>
      </c>
      <c r="E50" s="119">
        <f>112.65+16.83</f>
        <v>129.48000000000002</v>
      </c>
      <c r="F50" s="119">
        <v>16.829999999999998</v>
      </c>
      <c r="G50" s="6">
        <v>129.55000000000001</v>
      </c>
      <c r="H50" s="119">
        <v>16.899999999999999</v>
      </c>
      <c r="I50" s="263">
        <v>45975</v>
      </c>
      <c r="J50" s="50">
        <f t="shared" si="7"/>
        <v>112.65000000000002</v>
      </c>
      <c r="K50" s="47">
        <f t="shared" si="8"/>
        <v>79</v>
      </c>
      <c r="L50" s="48">
        <v>0.03</v>
      </c>
      <c r="M50" s="49">
        <f t="shared" si="9"/>
        <v>3.3795000000000006</v>
      </c>
    </row>
    <row r="51" spans="1:14" ht="15" customHeight="1" x14ac:dyDescent="0.25">
      <c r="A51" s="235" t="s">
        <v>1397</v>
      </c>
      <c r="B51" s="236" t="s">
        <v>1398</v>
      </c>
      <c r="C51" s="237" t="s">
        <v>1402</v>
      </c>
      <c r="D51" s="263">
        <v>45902</v>
      </c>
      <c r="E51" s="119">
        <f>299.11+44.69</f>
        <v>343.8</v>
      </c>
      <c r="F51" s="119">
        <v>44.69</v>
      </c>
      <c r="G51" s="6">
        <v>225</v>
      </c>
      <c r="H51" s="119">
        <v>44.87</v>
      </c>
      <c r="I51" s="263">
        <v>45974</v>
      </c>
      <c r="J51" s="50">
        <f>225/1.15</f>
        <v>195.6521739130435</v>
      </c>
      <c r="K51" s="47">
        <f t="shared" si="8"/>
        <v>72</v>
      </c>
      <c r="L51" s="48">
        <v>0.03</v>
      </c>
      <c r="M51" s="49">
        <f t="shared" si="9"/>
        <v>5.8695652173913047</v>
      </c>
    </row>
    <row r="52" spans="1:14" ht="15" customHeight="1" x14ac:dyDescent="0.25">
      <c r="A52" s="235"/>
      <c r="B52" s="236"/>
      <c r="C52" s="237"/>
      <c r="D52" s="238"/>
      <c r="E52" s="239"/>
      <c r="F52" s="239"/>
      <c r="G52" s="6"/>
      <c r="H52" s="239"/>
      <c r="I52" s="253"/>
      <c r="J52" s="50"/>
      <c r="K52" s="47"/>
      <c r="L52" s="48"/>
      <c r="M52" s="49"/>
    </row>
    <row r="53" spans="1:14" ht="15" customHeight="1" x14ac:dyDescent="0.25">
      <c r="A53" s="171"/>
      <c r="B53" s="160"/>
      <c r="C53" s="171"/>
      <c r="D53" s="172"/>
      <c r="E53" s="87"/>
      <c r="F53" s="87"/>
      <c r="G53" s="94"/>
      <c r="H53" s="87"/>
      <c r="I53" s="247"/>
      <c r="J53" s="50"/>
      <c r="K53" s="47"/>
      <c r="L53" s="48"/>
      <c r="M53" s="49"/>
    </row>
    <row r="54" spans="1:14" ht="15" customHeight="1" x14ac:dyDescent="0.3">
      <c r="A54" s="42"/>
      <c r="B54" s="43"/>
      <c r="C54" s="43"/>
      <c r="D54" s="68"/>
      <c r="E54" s="44"/>
      <c r="F54" s="44"/>
      <c r="G54" s="45"/>
      <c r="H54" s="46"/>
      <c r="I54" s="260"/>
      <c r="J54" s="50"/>
      <c r="K54" s="47"/>
      <c r="L54" s="48"/>
      <c r="M54" s="49"/>
    </row>
    <row r="55" spans="1:14" ht="15" customHeight="1" x14ac:dyDescent="0.25">
      <c r="A55" s="213"/>
      <c r="B55" s="213"/>
      <c r="C55" s="213"/>
      <c r="D55" s="213"/>
      <c r="E55" s="213"/>
      <c r="F55" s="213"/>
      <c r="G55" s="75">
        <f>SUM(G48:G54)</f>
        <v>1049.06</v>
      </c>
      <c r="H55" s="80"/>
      <c r="I55" s="261"/>
      <c r="J55" s="75">
        <f>SUM(J48:J54)</f>
        <v>918.81217391304347</v>
      </c>
      <c r="K55" s="82"/>
      <c r="L55" s="82"/>
      <c r="M55" s="75">
        <f>SUM(M48:M54)</f>
        <v>32.457665217391309</v>
      </c>
    </row>
    <row r="56" spans="1:14" ht="15" customHeight="1" x14ac:dyDescent="0.25">
      <c r="A56" s="76"/>
      <c r="B56" s="76"/>
      <c r="C56" s="76"/>
      <c r="D56" s="77"/>
      <c r="E56" s="76"/>
      <c r="F56" s="76"/>
      <c r="G56" s="78"/>
      <c r="H56" s="52"/>
      <c r="I56" s="262"/>
      <c r="J56" s="52"/>
      <c r="K56" s="52"/>
      <c r="L56" s="52"/>
      <c r="M56" s="52"/>
    </row>
    <row r="57" spans="1:14" x14ac:dyDescent="0.25">
      <c r="A57" s="76"/>
      <c r="B57" s="76"/>
      <c r="C57" s="76"/>
      <c r="D57" s="77"/>
      <c r="E57" s="76"/>
      <c r="F57" s="76"/>
      <c r="G57" s="78"/>
      <c r="H57" s="52"/>
      <c r="I57" s="262"/>
      <c r="J57" s="78"/>
      <c r="K57" s="52"/>
      <c r="L57" s="52"/>
      <c r="M57" s="78"/>
    </row>
    <row r="58" spans="1:14" x14ac:dyDescent="0.25">
      <c r="A58" s="52" t="s">
        <v>19</v>
      </c>
      <c r="B58" s="76" t="s">
        <v>20</v>
      </c>
      <c r="C58" s="76" t="s">
        <v>21</v>
      </c>
      <c r="D58" s="79"/>
      <c r="E58" s="52"/>
      <c r="F58" s="52"/>
      <c r="G58" s="78"/>
      <c r="H58" s="52"/>
      <c r="I58" s="262"/>
      <c r="J58" s="52"/>
      <c r="K58" s="52"/>
      <c r="L58" s="52"/>
      <c r="M58" s="52"/>
    </row>
    <row r="59" spans="1:14" s="52" customFormat="1" ht="15" x14ac:dyDescent="0.25">
      <c r="A59" s="101"/>
      <c r="B59" s="101"/>
      <c r="C59" s="102"/>
      <c r="D59" s="105"/>
      <c r="E59" s="92"/>
      <c r="F59" s="92"/>
      <c r="G59" s="90"/>
      <c r="H59" s="92"/>
      <c r="I59" s="248"/>
      <c r="J59" s="50"/>
      <c r="K59" s="47"/>
      <c r="L59" s="48"/>
      <c r="M59" s="49"/>
      <c r="N59" s="60"/>
    </row>
    <row r="60" spans="1:14" ht="15.6" thickBot="1" x14ac:dyDescent="0.3">
      <c r="A60" s="91"/>
      <c r="B60" s="102"/>
      <c r="C60" s="93"/>
      <c r="D60" s="88"/>
      <c r="E60" s="92"/>
      <c r="F60" s="92"/>
      <c r="G60" s="90"/>
      <c r="H60" s="92"/>
      <c r="I60" s="248"/>
      <c r="J60" s="50"/>
      <c r="K60" s="47"/>
      <c r="L60" s="48"/>
      <c r="M60" s="49"/>
    </row>
    <row r="61" spans="1:14" ht="16.2" thickBot="1" x14ac:dyDescent="0.35">
      <c r="A61" s="212" t="s">
        <v>29</v>
      </c>
      <c r="B61" s="212"/>
      <c r="C61" s="212"/>
      <c r="D61" s="212"/>
      <c r="E61" s="212"/>
      <c r="F61" s="212"/>
      <c r="G61" s="37">
        <f>SUM(G55:G60)</f>
        <v>1049.06</v>
      </c>
      <c r="I61" s="252"/>
      <c r="J61" s="37">
        <f>SUM(J55:J60)</f>
        <v>918.81217391304347</v>
      </c>
      <c r="L61" s="20"/>
      <c r="M61" s="38">
        <f>SUM(M55:M60)</f>
        <v>32.457665217391309</v>
      </c>
    </row>
    <row r="62" spans="1:14" x14ac:dyDescent="0.25">
      <c r="A62" s="19"/>
      <c r="E62" s="19"/>
      <c r="F62" s="19"/>
      <c r="G62" s="8"/>
      <c r="I62" s="252"/>
    </row>
    <row r="64" spans="1:14" x14ac:dyDescent="0.25">
      <c r="J64" s="8"/>
    </row>
    <row r="65" spans="10:14" x14ac:dyDescent="0.25">
      <c r="J65" s="8"/>
    </row>
    <row r="66" spans="10:14" x14ac:dyDescent="0.25">
      <c r="J66" s="8">
        <f>(J35+J61)*2%</f>
        <v>158.98321773913042</v>
      </c>
      <c r="M66" s="185">
        <f>M61/12</f>
        <v>2.7048054347826089</v>
      </c>
      <c r="N66" s="59" t="s">
        <v>1504</v>
      </c>
    </row>
    <row r="67" spans="10:14" x14ac:dyDescent="0.25">
      <c r="J67" s="185">
        <f>J66/12</f>
        <v>13.248601478260868</v>
      </c>
      <c r="K67" s="7" t="s">
        <v>876</v>
      </c>
      <c r="M67" s="185">
        <f>M61/24</f>
        <v>1.3524027173913045</v>
      </c>
      <c r="N67" s="59" t="s">
        <v>1504</v>
      </c>
    </row>
    <row r="68" spans="10:14" x14ac:dyDescent="0.25">
      <c r="J68" s="185">
        <f>J66/24</f>
        <v>6.624300739130434</v>
      </c>
      <c r="K68" s="7" t="s">
        <v>876</v>
      </c>
    </row>
  </sheetData>
  <mergeCells count="2">
    <mergeCell ref="A3:F3"/>
    <mergeCell ref="A35:F35"/>
  </mergeCells>
  <pageMargins left="0.19685039370078741" right="0" top="0.39370078740157483" bottom="0" header="0" footer="0"/>
  <pageSetup paperSize="9" scale="85" orientation="landscape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B1E19-171E-4F96-A12F-271FACA97160}">
  <dimension ref="A1:O96"/>
  <sheetViews>
    <sheetView topLeftCell="A20" workbookViewId="0">
      <selection activeCell="C7" sqref="C7"/>
    </sheetView>
  </sheetViews>
  <sheetFormatPr baseColWidth="10" defaultColWidth="11.44140625" defaultRowHeight="13.2" x14ac:dyDescent="0.25"/>
  <cols>
    <col min="1" max="1" width="31.5546875" style="7" customWidth="1"/>
    <col min="2" max="2" width="20.5546875" style="19" customWidth="1"/>
    <col min="3" max="3" width="18.5546875" style="19" customWidth="1"/>
    <col min="4" max="4" width="10.33203125" style="67" customWidth="1"/>
    <col min="5" max="5" width="11.6640625" style="7" customWidth="1"/>
    <col min="6" max="6" width="9.88671875" style="7" customWidth="1"/>
    <col min="7" max="7" width="11.88671875" style="7" customWidth="1"/>
    <col min="8" max="8" width="9.88671875" style="7" customWidth="1"/>
    <col min="9" max="9" width="10.6640625" style="243" customWidth="1"/>
    <col min="10" max="10" width="12.88671875" style="7" customWidth="1"/>
    <col min="11" max="11" width="7.33203125" style="7" customWidth="1"/>
    <col min="12" max="12" width="6.44140625" style="7" customWidth="1"/>
    <col min="13" max="13" width="10.109375" style="7" customWidth="1"/>
    <col min="14" max="14" width="24.33203125" style="59" customWidth="1"/>
    <col min="15" max="16" width="8" style="7" customWidth="1"/>
    <col min="17" max="16384" width="11.44140625" style="7"/>
  </cols>
  <sheetData>
    <row r="1" spans="1:15" ht="15" customHeight="1" x14ac:dyDescent="0.25">
      <c r="B1" s="181"/>
      <c r="C1" s="181"/>
      <c r="G1" s="8"/>
    </row>
    <row r="2" spans="1:15" ht="15" customHeight="1" x14ac:dyDescent="0.25">
      <c r="A2" s="30"/>
      <c r="B2" s="30"/>
      <c r="C2" s="30"/>
      <c r="D2" s="30"/>
      <c r="E2" s="30"/>
      <c r="F2" s="30"/>
      <c r="G2" s="24"/>
      <c r="H2" s="24"/>
      <c r="I2" s="244"/>
      <c r="J2" s="26"/>
      <c r="K2" s="27"/>
      <c r="L2" s="28"/>
      <c r="M2" s="29"/>
    </row>
    <row r="3" spans="1:15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244"/>
      <c r="J3" s="27"/>
      <c r="K3" s="27"/>
      <c r="L3" s="28"/>
      <c r="M3" s="29"/>
    </row>
    <row r="4" spans="1:15" ht="15" customHeight="1" x14ac:dyDescent="0.25">
      <c r="A4" s="30"/>
      <c r="B4" s="30" t="s">
        <v>1369</v>
      </c>
      <c r="C4" s="30"/>
      <c r="D4" s="64"/>
      <c r="E4" s="30"/>
      <c r="F4" s="30"/>
      <c r="G4" s="24"/>
      <c r="H4" s="25"/>
      <c r="I4" s="244"/>
      <c r="J4" s="27"/>
      <c r="K4" s="27"/>
      <c r="L4" s="28"/>
      <c r="M4" s="29"/>
    </row>
    <row r="5" spans="1:15" ht="15" customHeight="1" thickBot="1" x14ac:dyDescent="0.3">
      <c r="A5" s="30"/>
      <c r="B5" s="30" t="s">
        <v>22</v>
      </c>
      <c r="C5" s="30"/>
      <c r="D5" s="64"/>
      <c r="E5" s="30"/>
      <c r="F5" s="30"/>
      <c r="G5" s="32"/>
      <c r="H5" s="24"/>
      <c r="I5" s="245"/>
      <c r="J5" s="33"/>
      <c r="K5" s="27"/>
      <c r="L5" s="28"/>
      <c r="M5" s="29"/>
    </row>
    <row r="6" spans="1:15" ht="15" customHeight="1" x14ac:dyDescent="0.25">
      <c r="A6" s="34"/>
      <c r="B6" s="182"/>
      <c r="C6" s="182"/>
      <c r="D6" s="195"/>
      <c r="E6" s="33"/>
      <c r="F6" s="33"/>
      <c r="G6" s="35" t="s">
        <v>3</v>
      </c>
      <c r="H6" s="27"/>
      <c r="I6" s="244"/>
      <c r="J6" s="36" t="s">
        <v>4</v>
      </c>
      <c r="K6" s="56" t="s">
        <v>5</v>
      </c>
      <c r="L6" s="40" t="s">
        <v>6</v>
      </c>
      <c r="M6" s="36" t="s">
        <v>7</v>
      </c>
      <c r="N6" s="268">
        <f>1146.12-229.21</f>
        <v>916.90999999999985</v>
      </c>
    </row>
    <row r="7" spans="1:15" ht="15" customHeight="1" x14ac:dyDescent="0.25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62" t="s">
        <v>13</v>
      </c>
      <c r="H7" s="13" t="s">
        <v>14</v>
      </c>
      <c r="I7" s="246" t="s">
        <v>15</v>
      </c>
      <c r="J7" s="14" t="s">
        <v>16</v>
      </c>
      <c r="K7" s="57"/>
      <c r="L7" s="58" t="s">
        <v>17</v>
      </c>
      <c r="M7" s="14" t="s">
        <v>39</v>
      </c>
      <c r="N7" s="268">
        <f>N6*15%</f>
        <v>137.53649999999996</v>
      </c>
    </row>
    <row r="8" spans="1:15" ht="15" customHeight="1" x14ac:dyDescent="0.25">
      <c r="A8" s="235" t="s">
        <v>65</v>
      </c>
      <c r="B8" s="236" t="s">
        <v>32</v>
      </c>
      <c r="C8" s="237" t="s">
        <v>1430</v>
      </c>
      <c r="D8" s="263">
        <v>45376</v>
      </c>
      <c r="E8" s="259">
        <v>942.36</v>
      </c>
      <c r="F8" s="259">
        <v>141.35</v>
      </c>
      <c r="G8" s="6">
        <v>23.8</v>
      </c>
      <c r="H8" s="267">
        <v>96.12</v>
      </c>
      <c r="I8" s="263">
        <v>45986</v>
      </c>
      <c r="J8" s="50">
        <f>23.8/1.15</f>
        <v>20.695652173913047</v>
      </c>
      <c r="K8" s="47">
        <f t="shared" ref="K8:K46" si="0">+I8-D8</f>
        <v>610</v>
      </c>
      <c r="L8" s="5">
        <v>0.03</v>
      </c>
      <c r="M8" s="6">
        <f t="shared" ref="M8:M46" si="1">+J8*L8</f>
        <v>0.62086956521739134</v>
      </c>
      <c r="O8" s="78"/>
    </row>
    <row r="9" spans="1:15" ht="15" customHeight="1" x14ac:dyDescent="0.25">
      <c r="A9" s="235" t="s">
        <v>701</v>
      </c>
      <c r="B9" s="236" t="s">
        <v>24</v>
      </c>
      <c r="C9" s="237" t="s">
        <v>1404</v>
      </c>
      <c r="D9" s="263">
        <v>45527</v>
      </c>
      <c r="E9" s="259">
        <v>1242</v>
      </c>
      <c r="F9" s="259">
        <v>310.5</v>
      </c>
      <c r="G9" s="6">
        <v>562.78</v>
      </c>
      <c r="H9" s="267">
        <v>139.72999999999999</v>
      </c>
      <c r="I9" s="263">
        <v>46014</v>
      </c>
      <c r="J9" s="50">
        <f>562.78/1.15</f>
        <v>489.3739130434783</v>
      </c>
      <c r="K9" s="47">
        <f t="shared" si="0"/>
        <v>487</v>
      </c>
      <c r="L9" s="5">
        <v>0.03</v>
      </c>
      <c r="M9" s="6">
        <f t="shared" si="1"/>
        <v>14.681217391304349</v>
      </c>
      <c r="O9" s="78"/>
    </row>
    <row r="10" spans="1:15" ht="15" customHeight="1" x14ac:dyDescent="0.25">
      <c r="A10" s="235" t="s">
        <v>701</v>
      </c>
      <c r="B10" s="236" t="s">
        <v>24</v>
      </c>
      <c r="C10" s="237" t="s">
        <v>1405</v>
      </c>
      <c r="D10" s="263">
        <v>45527</v>
      </c>
      <c r="E10" s="259">
        <v>258.89999999999998</v>
      </c>
      <c r="F10" s="259">
        <v>64.739999999999995</v>
      </c>
      <c r="G10" s="6">
        <v>161.94999999999999</v>
      </c>
      <c r="H10" s="267">
        <v>29.12</v>
      </c>
      <c r="I10" s="263">
        <v>46014</v>
      </c>
      <c r="J10" s="50">
        <f>+E10-F10</f>
        <v>194.15999999999997</v>
      </c>
      <c r="K10" s="47">
        <f t="shared" si="0"/>
        <v>487</v>
      </c>
      <c r="L10" s="5">
        <v>0.03</v>
      </c>
      <c r="M10" s="6">
        <f t="shared" si="1"/>
        <v>5.8247999999999989</v>
      </c>
      <c r="O10" s="78"/>
    </row>
    <row r="11" spans="1:15" ht="15" customHeight="1" x14ac:dyDescent="0.25">
      <c r="A11" s="235" t="s">
        <v>77</v>
      </c>
      <c r="B11" s="236" t="s">
        <v>33</v>
      </c>
      <c r="C11" s="237" t="s">
        <v>1408</v>
      </c>
      <c r="D11" s="263">
        <v>45810</v>
      </c>
      <c r="E11" s="259">
        <f>3269.75+1089.92</f>
        <v>4359.67</v>
      </c>
      <c r="F11" s="259">
        <v>1089.92</v>
      </c>
      <c r="G11" s="6">
        <v>300.36</v>
      </c>
      <c r="H11" s="267">
        <v>490.46</v>
      </c>
      <c r="I11" s="263">
        <v>45996</v>
      </c>
      <c r="J11" s="50">
        <f>300.36/1.15</f>
        <v>261.18260869565222</v>
      </c>
      <c r="K11" s="47">
        <f t="shared" si="0"/>
        <v>186</v>
      </c>
      <c r="L11" s="5">
        <v>0.03</v>
      </c>
      <c r="M11" s="6">
        <f t="shared" si="1"/>
        <v>7.8354782608695661</v>
      </c>
      <c r="O11" s="78"/>
    </row>
    <row r="12" spans="1:15" ht="15" customHeight="1" x14ac:dyDescent="0.25">
      <c r="A12" s="235" t="s">
        <v>77</v>
      </c>
      <c r="B12" s="236" t="s">
        <v>33</v>
      </c>
      <c r="C12" s="237" t="s">
        <v>1408</v>
      </c>
      <c r="D12" s="263">
        <v>45810</v>
      </c>
      <c r="E12" s="259">
        <f>3269.75+1089.92</f>
        <v>4359.67</v>
      </c>
      <c r="F12" s="259">
        <v>1089.92</v>
      </c>
      <c r="G12" s="6">
        <v>300</v>
      </c>
      <c r="H12" s="267">
        <v>490.46</v>
      </c>
      <c r="I12" s="263">
        <v>46007</v>
      </c>
      <c r="J12" s="50">
        <f>300/1.15</f>
        <v>260.86956521739131</v>
      </c>
      <c r="K12" s="47">
        <f t="shared" si="0"/>
        <v>197</v>
      </c>
      <c r="L12" s="5">
        <v>0.03</v>
      </c>
      <c r="M12" s="6">
        <f t="shared" si="1"/>
        <v>7.8260869565217392</v>
      </c>
      <c r="O12" s="78"/>
    </row>
    <row r="13" spans="1:15" ht="15" customHeight="1" x14ac:dyDescent="0.25">
      <c r="A13" s="235" t="s">
        <v>42</v>
      </c>
      <c r="B13" s="236" t="s">
        <v>18</v>
      </c>
      <c r="C13" s="237" t="s">
        <v>1424</v>
      </c>
      <c r="D13" s="263">
        <v>45845</v>
      </c>
      <c r="E13" s="259">
        <f>1014.34+253.58</f>
        <v>1267.92</v>
      </c>
      <c r="F13" s="259">
        <v>253.58</v>
      </c>
      <c r="G13" s="6">
        <v>663.8</v>
      </c>
      <c r="H13" s="267">
        <v>152.15</v>
      </c>
      <c r="I13" s="263">
        <v>45986</v>
      </c>
      <c r="J13" s="50">
        <f>663.8/1.15</f>
        <v>577.21739130434787</v>
      </c>
      <c r="K13" s="47">
        <f t="shared" si="0"/>
        <v>141</v>
      </c>
      <c r="L13" s="5">
        <v>0.03</v>
      </c>
      <c r="M13" s="6">
        <f t="shared" si="1"/>
        <v>17.316521739130437</v>
      </c>
      <c r="O13" s="78"/>
    </row>
    <row r="14" spans="1:15" ht="15" customHeight="1" x14ac:dyDescent="0.25">
      <c r="A14" s="235" t="s">
        <v>42</v>
      </c>
      <c r="B14" s="236" t="s">
        <v>18</v>
      </c>
      <c r="C14" s="237" t="s">
        <v>1424</v>
      </c>
      <c r="D14" s="263">
        <v>45845</v>
      </c>
      <c r="E14" s="259">
        <f>1014.34+253.58</f>
        <v>1267.92</v>
      </c>
      <c r="F14" s="259">
        <v>253.58</v>
      </c>
      <c r="G14" s="6">
        <v>439.29</v>
      </c>
      <c r="H14" s="267">
        <v>152.15</v>
      </c>
      <c r="I14" s="263">
        <v>45994</v>
      </c>
      <c r="J14" s="50">
        <f>439.29/1.15</f>
        <v>381.99130434782614</v>
      </c>
      <c r="K14" s="47">
        <f t="shared" si="0"/>
        <v>149</v>
      </c>
      <c r="L14" s="5">
        <v>0.03</v>
      </c>
      <c r="M14" s="6">
        <f t="shared" si="1"/>
        <v>11.459739130434784</v>
      </c>
      <c r="O14" s="78"/>
    </row>
    <row r="15" spans="1:15" ht="15" customHeight="1" x14ac:dyDescent="0.25">
      <c r="A15" s="235" t="s">
        <v>42</v>
      </c>
      <c r="B15" s="236" t="s">
        <v>18</v>
      </c>
      <c r="C15" s="237" t="s">
        <v>1425</v>
      </c>
      <c r="D15" s="263">
        <v>45859</v>
      </c>
      <c r="E15" s="259">
        <f>77.42+13.66</f>
        <v>91.08</v>
      </c>
      <c r="F15" s="259">
        <v>13.66</v>
      </c>
      <c r="G15" s="6">
        <v>84.2</v>
      </c>
      <c r="H15" s="267">
        <v>11.61</v>
      </c>
      <c r="I15" s="263">
        <v>45994</v>
      </c>
      <c r="J15" s="50">
        <f t="shared" ref="J15:J33" si="2">+E15-F15</f>
        <v>77.42</v>
      </c>
      <c r="K15" s="47">
        <f t="shared" si="0"/>
        <v>135</v>
      </c>
      <c r="L15" s="5">
        <v>0.03</v>
      </c>
      <c r="M15" s="6">
        <f t="shared" si="1"/>
        <v>2.3226</v>
      </c>
      <c r="O15" s="78"/>
    </row>
    <row r="16" spans="1:15" ht="15" customHeight="1" x14ac:dyDescent="0.25">
      <c r="A16" s="235" t="s">
        <v>42</v>
      </c>
      <c r="B16" s="236" t="s">
        <v>18</v>
      </c>
      <c r="C16" s="237" t="s">
        <v>1426</v>
      </c>
      <c r="D16" s="263">
        <v>45874</v>
      </c>
      <c r="E16" s="259">
        <f>129.03+22.77</f>
        <v>151.80000000000001</v>
      </c>
      <c r="F16" s="259">
        <v>22.77</v>
      </c>
      <c r="G16" s="6">
        <v>140.31</v>
      </c>
      <c r="H16" s="267">
        <v>19.350000000000001</v>
      </c>
      <c r="I16" s="263">
        <v>45994</v>
      </c>
      <c r="J16" s="50">
        <f t="shared" si="2"/>
        <v>129.03</v>
      </c>
      <c r="K16" s="47">
        <f t="shared" si="0"/>
        <v>120</v>
      </c>
      <c r="L16" s="5">
        <v>0.03</v>
      </c>
      <c r="M16" s="6">
        <f t="shared" si="1"/>
        <v>3.8708999999999998</v>
      </c>
      <c r="O16" s="78"/>
    </row>
    <row r="17" spans="1:15" ht="15" customHeight="1" x14ac:dyDescent="0.25">
      <c r="A17" s="235" t="s">
        <v>102</v>
      </c>
      <c r="B17" s="236" t="s">
        <v>18</v>
      </c>
      <c r="C17" s="237" t="s">
        <v>1420</v>
      </c>
      <c r="D17" s="263">
        <v>45890</v>
      </c>
      <c r="E17" s="259">
        <f>129.03+22.77</f>
        <v>151.80000000000001</v>
      </c>
      <c r="F17" s="259">
        <v>22.77</v>
      </c>
      <c r="G17" s="6">
        <v>148.38</v>
      </c>
      <c r="H17" s="267">
        <v>19.350000000000001</v>
      </c>
      <c r="I17" s="263">
        <v>46000</v>
      </c>
      <c r="J17" s="50">
        <f t="shared" si="2"/>
        <v>129.03</v>
      </c>
      <c r="K17" s="47">
        <f t="shared" si="0"/>
        <v>110</v>
      </c>
      <c r="L17" s="5">
        <v>0.03</v>
      </c>
      <c r="M17" s="6">
        <f t="shared" si="1"/>
        <v>3.8708999999999998</v>
      </c>
      <c r="O17" s="78"/>
    </row>
    <row r="18" spans="1:15" ht="15" customHeight="1" x14ac:dyDescent="0.25">
      <c r="A18" s="235" t="s">
        <v>100</v>
      </c>
      <c r="B18" s="236" t="s">
        <v>75</v>
      </c>
      <c r="C18" s="237" t="s">
        <v>1433</v>
      </c>
      <c r="D18" s="263">
        <v>45897</v>
      </c>
      <c r="E18" s="259">
        <f>88.74+15.66</f>
        <v>104.39999999999999</v>
      </c>
      <c r="F18" s="259">
        <v>15.66</v>
      </c>
      <c r="G18" s="6">
        <v>102.05</v>
      </c>
      <c r="H18" s="267">
        <v>13.31</v>
      </c>
      <c r="I18" s="263">
        <v>45981</v>
      </c>
      <c r="J18" s="50">
        <f t="shared" si="2"/>
        <v>88.74</v>
      </c>
      <c r="K18" s="47">
        <f t="shared" si="0"/>
        <v>84</v>
      </c>
      <c r="L18" s="5">
        <v>0.03</v>
      </c>
      <c r="M18" s="6">
        <f t="shared" si="1"/>
        <v>2.6621999999999999</v>
      </c>
      <c r="O18" s="78"/>
    </row>
    <row r="19" spans="1:15" ht="15" customHeight="1" x14ac:dyDescent="0.25">
      <c r="A19" s="235" t="s">
        <v>79</v>
      </c>
      <c r="B19" s="236" t="s">
        <v>30</v>
      </c>
      <c r="C19" s="237" t="s">
        <v>1436</v>
      </c>
      <c r="D19" s="263">
        <v>45897</v>
      </c>
      <c r="E19" s="259">
        <f>446.66+78.82</f>
        <v>525.48</v>
      </c>
      <c r="F19" s="259">
        <v>78.819999999999993</v>
      </c>
      <c r="G19" s="6">
        <v>485.72</v>
      </c>
      <c r="H19" s="267">
        <v>67</v>
      </c>
      <c r="I19" s="263">
        <v>45980</v>
      </c>
      <c r="J19" s="50">
        <f t="shared" si="2"/>
        <v>446.66</v>
      </c>
      <c r="K19" s="47">
        <f t="shared" si="0"/>
        <v>83</v>
      </c>
      <c r="L19" s="5">
        <v>0.03</v>
      </c>
      <c r="M19" s="6">
        <f t="shared" si="1"/>
        <v>13.399800000000001</v>
      </c>
      <c r="O19" s="78"/>
    </row>
    <row r="20" spans="1:15" ht="15" customHeight="1" x14ac:dyDescent="0.25">
      <c r="A20" s="235" t="s">
        <v>42</v>
      </c>
      <c r="B20" s="236" t="s">
        <v>18</v>
      </c>
      <c r="C20" s="237" t="s">
        <v>1417</v>
      </c>
      <c r="D20" s="263">
        <v>45901</v>
      </c>
      <c r="E20" s="259">
        <f>96.8+17.08</f>
        <v>113.88</v>
      </c>
      <c r="F20" s="259">
        <v>17.079999999999998</v>
      </c>
      <c r="G20" s="6">
        <v>105.27</v>
      </c>
      <c r="H20" s="267">
        <v>14.52</v>
      </c>
      <c r="I20" s="263">
        <v>46001</v>
      </c>
      <c r="J20" s="50">
        <f t="shared" si="2"/>
        <v>96.8</v>
      </c>
      <c r="K20" s="47">
        <f t="shared" si="0"/>
        <v>100</v>
      </c>
      <c r="L20" s="5">
        <v>0.03</v>
      </c>
      <c r="M20" s="6">
        <f t="shared" si="1"/>
        <v>2.9039999999999999</v>
      </c>
      <c r="O20" s="78"/>
    </row>
    <row r="21" spans="1:15" ht="15" customHeight="1" x14ac:dyDescent="0.25">
      <c r="A21" s="235" t="s">
        <v>132</v>
      </c>
      <c r="B21" s="236" t="s">
        <v>18</v>
      </c>
      <c r="C21" s="237" t="s">
        <v>1437</v>
      </c>
      <c r="D21" s="263">
        <v>45902</v>
      </c>
      <c r="E21" s="259">
        <f>44.88+7.92</f>
        <v>52.800000000000004</v>
      </c>
      <c r="F21" s="259">
        <v>7.92</v>
      </c>
      <c r="G21" s="6">
        <v>51.61</v>
      </c>
      <c r="H21" s="267">
        <v>6.73</v>
      </c>
      <c r="I21" s="263">
        <v>45980</v>
      </c>
      <c r="J21" s="50">
        <f t="shared" si="2"/>
        <v>44.88</v>
      </c>
      <c r="K21" s="47">
        <f t="shared" si="0"/>
        <v>78</v>
      </c>
      <c r="L21" s="5">
        <v>0.03</v>
      </c>
      <c r="M21" s="6">
        <f t="shared" si="1"/>
        <v>1.3464</v>
      </c>
      <c r="O21" s="78"/>
    </row>
    <row r="22" spans="1:15" ht="15" customHeight="1" x14ac:dyDescent="0.25">
      <c r="A22" s="235" t="s">
        <v>115</v>
      </c>
      <c r="B22" s="236" t="s">
        <v>18</v>
      </c>
      <c r="C22" s="237" t="s">
        <v>1415</v>
      </c>
      <c r="D22" s="263">
        <v>45902</v>
      </c>
      <c r="E22" s="259">
        <f>322.56+80.64</f>
        <v>403.2</v>
      </c>
      <c r="F22" s="259">
        <v>80.64</v>
      </c>
      <c r="G22" s="6">
        <v>350.79</v>
      </c>
      <c r="H22" s="267">
        <v>48.38</v>
      </c>
      <c r="I22" s="263">
        <v>46003</v>
      </c>
      <c r="J22" s="50">
        <f t="shared" si="2"/>
        <v>322.56</v>
      </c>
      <c r="K22" s="47">
        <f t="shared" si="0"/>
        <v>101</v>
      </c>
      <c r="L22" s="5">
        <v>0.03</v>
      </c>
      <c r="M22" s="6">
        <f t="shared" si="1"/>
        <v>9.6768000000000001</v>
      </c>
      <c r="O22" s="78"/>
    </row>
    <row r="23" spans="1:15" ht="15" customHeight="1" x14ac:dyDescent="0.25">
      <c r="A23" s="235" t="s">
        <v>134</v>
      </c>
      <c r="B23" s="236" t="s">
        <v>95</v>
      </c>
      <c r="C23" s="237" t="s">
        <v>1427</v>
      </c>
      <c r="D23" s="263">
        <v>45908</v>
      </c>
      <c r="E23" s="259">
        <f>88.03+15.53</f>
        <v>103.56</v>
      </c>
      <c r="F23" s="259">
        <v>15.53</v>
      </c>
      <c r="G23" s="6">
        <v>101.23</v>
      </c>
      <c r="H23" s="267">
        <v>13.2</v>
      </c>
      <c r="I23" s="263">
        <v>45992</v>
      </c>
      <c r="J23" s="50">
        <f t="shared" si="2"/>
        <v>88.03</v>
      </c>
      <c r="K23" s="47">
        <f t="shared" si="0"/>
        <v>84</v>
      </c>
      <c r="L23" s="5">
        <v>0.03</v>
      </c>
      <c r="M23" s="6">
        <f t="shared" si="1"/>
        <v>2.6408999999999998</v>
      </c>
      <c r="O23" s="78"/>
    </row>
    <row r="24" spans="1:15" ht="15" customHeight="1" x14ac:dyDescent="0.25">
      <c r="A24" s="235" t="s">
        <v>476</v>
      </c>
      <c r="B24" s="236" t="s">
        <v>61</v>
      </c>
      <c r="C24" s="237" t="s">
        <v>1428</v>
      </c>
      <c r="D24" s="263">
        <v>45908</v>
      </c>
      <c r="E24" s="259">
        <f>45.9+8.1</f>
        <v>54</v>
      </c>
      <c r="F24" s="259">
        <v>8.1</v>
      </c>
      <c r="G24" s="6">
        <v>52.79</v>
      </c>
      <c r="H24" s="267">
        <v>6.89</v>
      </c>
      <c r="I24" s="263">
        <v>45992</v>
      </c>
      <c r="J24" s="50">
        <f t="shared" si="2"/>
        <v>45.9</v>
      </c>
      <c r="K24" s="47">
        <f t="shared" si="0"/>
        <v>84</v>
      </c>
      <c r="L24" s="5">
        <v>0.03</v>
      </c>
      <c r="M24" s="6">
        <f t="shared" si="1"/>
        <v>1.377</v>
      </c>
      <c r="O24" s="78"/>
    </row>
    <row r="25" spans="1:15" ht="15" customHeight="1" x14ac:dyDescent="0.25">
      <c r="A25" s="235" t="s">
        <v>42</v>
      </c>
      <c r="B25" s="236" t="s">
        <v>18</v>
      </c>
      <c r="C25" s="237" t="s">
        <v>1418</v>
      </c>
      <c r="D25" s="263">
        <v>45911</v>
      </c>
      <c r="E25" s="259">
        <f>103.22+18.22</f>
        <v>121.44</v>
      </c>
      <c r="F25" s="259">
        <v>18.22</v>
      </c>
      <c r="G25" s="6">
        <v>112.25</v>
      </c>
      <c r="H25" s="267">
        <v>15.48</v>
      </c>
      <c r="I25" s="263">
        <v>46001</v>
      </c>
      <c r="J25" s="50">
        <f t="shared" si="2"/>
        <v>103.22</v>
      </c>
      <c r="K25" s="47">
        <f t="shared" si="0"/>
        <v>90</v>
      </c>
      <c r="L25" s="5">
        <v>0.03</v>
      </c>
      <c r="M25" s="6">
        <f t="shared" si="1"/>
        <v>3.0966</v>
      </c>
      <c r="O25" s="78"/>
    </row>
    <row r="26" spans="1:15" ht="15" customHeight="1" x14ac:dyDescent="0.25">
      <c r="A26" s="235" t="s">
        <v>90</v>
      </c>
      <c r="B26" s="236" t="s">
        <v>18</v>
      </c>
      <c r="C26" s="237" t="s">
        <v>1407</v>
      </c>
      <c r="D26" s="263">
        <v>45916</v>
      </c>
      <c r="E26" s="259">
        <f>88.74+15.66</f>
        <v>104.39999999999999</v>
      </c>
      <c r="F26" s="259">
        <v>15.66</v>
      </c>
      <c r="G26" s="6">
        <v>102.05</v>
      </c>
      <c r="H26" s="267">
        <v>13.31</v>
      </c>
      <c r="I26" s="263">
        <v>46013</v>
      </c>
      <c r="J26" s="50">
        <f t="shared" si="2"/>
        <v>88.74</v>
      </c>
      <c r="K26" s="47">
        <f t="shared" si="0"/>
        <v>97</v>
      </c>
      <c r="L26" s="5">
        <v>0.03</v>
      </c>
      <c r="M26" s="6">
        <f t="shared" si="1"/>
        <v>2.6621999999999999</v>
      </c>
      <c r="O26" s="78"/>
    </row>
    <row r="27" spans="1:15" ht="15" customHeight="1" x14ac:dyDescent="0.25">
      <c r="A27" s="235" t="s">
        <v>115</v>
      </c>
      <c r="B27" s="236" t="s">
        <v>18</v>
      </c>
      <c r="C27" s="237" t="s">
        <v>1416</v>
      </c>
      <c r="D27" s="263">
        <v>45923</v>
      </c>
      <c r="E27" s="259">
        <f>109.82+27.46</f>
        <v>137.28</v>
      </c>
      <c r="F27" s="259">
        <v>27.46</v>
      </c>
      <c r="G27" s="6">
        <v>119.43</v>
      </c>
      <c r="H27" s="267">
        <v>16.47</v>
      </c>
      <c r="I27" s="263">
        <v>46003</v>
      </c>
      <c r="J27" s="50">
        <f t="shared" si="2"/>
        <v>109.82</v>
      </c>
      <c r="K27" s="47">
        <f t="shared" si="0"/>
        <v>80</v>
      </c>
      <c r="L27" s="5">
        <v>0.03</v>
      </c>
      <c r="M27" s="6">
        <f t="shared" si="1"/>
        <v>3.2945999999999995</v>
      </c>
      <c r="O27" s="78"/>
    </row>
    <row r="28" spans="1:15" ht="15" customHeight="1" x14ac:dyDescent="0.25">
      <c r="A28" s="235" t="s">
        <v>42</v>
      </c>
      <c r="B28" s="236" t="s">
        <v>18</v>
      </c>
      <c r="C28" s="237" t="s">
        <v>1419</v>
      </c>
      <c r="D28" s="263">
        <v>45929</v>
      </c>
      <c r="E28" s="259">
        <f>73.95+13.05</f>
        <v>87</v>
      </c>
      <c r="F28" s="259">
        <v>13.05</v>
      </c>
      <c r="G28" s="6">
        <v>80.42</v>
      </c>
      <c r="H28" s="267">
        <v>11.09</v>
      </c>
      <c r="I28" s="263">
        <v>46001</v>
      </c>
      <c r="J28" s="50">
        <f t="shared" si="2"/>
        <v>73.95</v>
      </c>
      <c r="K28" s="47">
        <f t="shared" si="0"/>
        <v>72</v>
      </c>
      <c r="L28" s="5">
        <v>0.03</v>
      </c>
      <c r="M28" s="6">
        <f t="shared" si="1"/>
        <v>2.2185000000000001</v>
      </c>
      <c r="O28" s="78"/>
    </row>
    <row r="29" spans="1:15" ht="15" customHeight="1" x14ac:dyDescent="0.25">
      <c r="A29" s="235" t="s">
        <v>89</v>
      </c>
      <c r="B29" s="236" t="s">
        <v>18</v>
      </c>
      <c r="C29" s="237" t="s">
        <v>1403</v>
      </c>
      <c r="D29" s="263">
        <v>45933</v>
      </c>
      <c r="E29" s="259">
        <f>121.44+30.36</f>
        <v>151.80000000000001</v>
      </c>
      <c r="F29" s="259">
        <v>30.36</v>
      </c>
      <c r="G29" s="6">
        <v>132.06</v>
      </c>
      <c r="H29" s="267">
        <v>18.22</v>
      </c>
      <c r="I29" s="263">
        <v>46022</v>
      </c>
      <c r="J29" s="50">
        <f t="shared" si="2"/>
        <v>121.44000000000001</v>
      </c>
      <c r="K29" s="47">
        <f t="shared" si="0"/>
        <v>89</v>
      </c>
      <c r="L29" s="5">
        <v>0.03</v>
      </c>
      <c r="M29" s="6">
        <f t="shared" si="1"/>
        <v>3.6432000000000002</v>
      </c>
      <c r="O29" s="78"/>
    </row>
    <row r="30" spans="1:15" ht="15" customHeight="1" x14ac:dyDescent="0.25">
      <c r="A30" s="235" t="s">
        <v>80</v>
      </c>
      <c r="B30" s="236" t="s">
        <v>18</v>
      </c>
      <c r="C30" s="237" t="s">
        <v>1438</v>
      </c>
      <c r="D30" s="263">
        <v>45937</v>
      </c>
      <c r="E30" s="259">
        <f>408+102</f>
        <v>510</v>
      </c>
      <c r="F30" s="259">
        <v>102</v>
      </c>
      <c r="G30" s="6">
        <v>443.7</v>
      </c>
      <c r="H30" s="267">
        <v>61.2</v>
      </c>
      <c r="I30" s="263">
        <v>45979</v>
      </c>
      <c r="J30" s="50">
        <f t="shared" si="2"/>
        <v>408</v>
      </c>
      <c r="K30" s="47">
        <f t="shared" si="0"/>
        <v>42</v>
      </c>
      <c r="L30" s="5">
        <v>0.03</v>
      </c>
      <c r="M30" s="6">
        <f t="shared" si="1"/>
        <v>12.24</v>
      </c>
      <c r="O30" s="78"/>
    </row>
    <row r="31" spans="1:15" ht="15" customHeight="1" x14ac:dyDescent="0.25">
      <c r="A31" s="235" t="s">
        <v>73</v>
      </c>
      <c r="B31" s="236" t="s">
        <v>18</v>
      </c>
      <c r="C31" s="237" t="s">
        <v>1421</v>
      </c>
      <c r="D31" s="263">
        <v>45947</v>
      </c>
      <c r="E31" s="259">
        <f>1925.76+481.44</f>
        <v>2407.1999999999998</v>
      </c>
      <c r="F31" s="259">
        <v>481.44</v>
      </c>
      <c r="G31" s="6">
        <v>1906.5</v>
      </c>
      <c r="H31" s="267">
        <v>288.86</v>
      </c>
      <c r="I31" s="263">
        <v>46000</v>
      </c>
      <c r="J31" s="50">
        <f t="shared" si="2"/>
        <v>1925.7599999999998</v>
      </c>
      <c r="K31" s="47">
        <f t="shared" si="0"/>
        <v>53</v>
      </c>
      <c r="L31" s="5">
        <v>0.03</v>
      </c>
      <c r="M31" s="6">
        <f t="shared" si="1"/>
        <v>57.772799999999989</v>
      </c>
      <c r="O31" s="78"/>
    </row>
    <row r="32" spans="1:15" ht="15" customHeight="1" x14ac:dyDescent="0.25">
      <c r="A32" s="235" t="s">
        <v>35</v>
      </c>
      <c r="B32" s="236" t="s">
        <v>18</v>
      </c>
      <c r="C32" s="237" t="s">
        <v>1435</v>
      </c>
      <c r="D32" s="263">
        <v>45952</v>
      </c>
      <c r="E32" s="259">
        <f>59.67+10.53</f>
        <v>70.2</v>
      </c>
      <c r="F32" s="259">
        <v>10.53</v>
      </c>
      <c r="G32" s="6">
        <v>68.62</v>
      </c>
      <c r="H32" s="267">
        <v>8.9499999999999993</v>
      </c>
      <c r="I32" s="263">
        <v>45980</v>
      </c>
      <c r="J32" s="50">
        <f t="shared" si="2"/>
        <v>59.67</v>
      </c>
      <c r="K32" s="47">
        <f t="shared" si="0"/>
        <v>28</v>
      </c>
      <c r="L32" s="5">
        <v>3.5000000000000003E-2</v>
      </c>
      <c r="M32" s="6">
        <f t="shared" si="1"/>
        <v>2.0884500000000004</v>
      </c>
      <c r="O32" s="78"/>
    </row>
    <row r="33" spans="1:15" ht="15" customHeight="1" x14ac:dyDescent="0.25">
      <c r="A33" s="235" t="s">
        <v>80</v>
      </c>
      <c r="B33" s="236" t="s">
        <v>18</v>
      </c>
      <c r="C33" s="237" t="s">
        <v>1414</v>
      </c>
      <c r="D33" s="263">
        <v>45953</v>
      </c>
      <c r="E33" s="259">
        <f>408+102</f>
        <v>510</v>
      </c>
      <c r="F33" s="259">
        <v>102</v>
      </c>
      <c r="G33" s="6">
        <v>443.7</v>
      </c>
      <c r="H33" s="267">
        <v>61.2</v>
      </c>
      <c r="I33" s="263">
        <v>45991</v>
      </c>
      <c r="J33" s="50">
        <f t="shared" si="2"/>
        <v>408</v>
      </c>
      <c r="K33" s="47">
        <f t="shared" si="0"/>
        <v>38</v>
      </c>
      <c r="L33" s="5">
        <v>0.03</v>
      </c>
      <c r="M33" s="6">
        <f t="shared" si="1"/>
        <v>12.24</v>
      </c>
      <c r="O33" s="78"/>
    </row>
    <row r="34" spans="1:15" ht="15" customHeight="1" x14ac:dyDescent="0.25">
      <c r="A34" s="235" t="s">
        <v>106</v>
      </c>
      <c r="B34" s="236" t="s">
        <v>61</v>
      </c>
      <c r="C34" s="237" t="s">
        <v>1411</v>
      </c>
      <c r="D34" s="263">
        <v>45958</v>
      </c>
      <c r="E34" s="259">
        <f>213.64+43.76</f>
        <v>257.39999999999998</v>
      </c>
      <c r="F34" s="259">
        <v>43.76</v>
      </c>
      <c r="G34" s="6">
        <v>100</v>
      </c>
      <c r="H34" s="267">
        <v>32.049999999999997</v>
      </c>
      <c r="I34" s="263">
        <v>45996</v>
      </c>
      <c r="J34" s="50">
        <f>100/1.15</f>
        <v>86.956521739130437</v>
      </c>
      <c r="K34" s="47">
        <f t="shared" si="0"/>
        <v>38</v>
      </c>
      <c r="L34" s="5">
        <v>0.03</v>
      </c>
      <c r="M34" s="6">
        <f t="shared" si="1"/>
        <v>2.6086956521739131</v>
      </c>
      <c r="O34" s="78"/>
    </row>
    <row r="35" spans="1:15" ht="15" customHeight="1" x14ac:dyDescent="0.25">
      <c r="A35" s="235" t="s">
        <v>106</v>
      </c>
      <c r="B35" s="236" t="s">
        <v>61</v>
      </c>
      <c r="C35" s="237" t="s">
        <v>1411</v>
      </c>
      <c r="D35" s="263">
        <v>45958</v>
      </c>
      <c r="E35" s="259">
        <f>213.64+43.76</f>
        <v>257.39999999999998</v>
      </c>
      <c r="F35" s="259">
        <v>43.76</v>
      </c>
      <c r="G35" s="6">
        <v>145.69</v>
      </c>
      <c r="H35" s="267">
        <v>32.049999999999997</v>
      </c>
      <c r="I35" s="263">
        <v>46006</v>
      </c>
      <c r="J35" s="50">
        <f>145.69/1.15</f>
        <v>126.68695652173913</v>
      </c>
      <c r="K35" s="47">
        <f t="shared" si="0"/>
        <v>48</v>
      </c>
      <c r="L35" s="5">
        <v>0.03</v>
      </c>
      <c r="M35" s="6">
        <f t="shared" si="1"/>
        <v>3.8006086956521741</v>
      </c>
      <c r="O35" s="78"/>
    </row>
    <row r="36" spans="1:15" ht="15" customHeight="1" x14ac:dyDescent="0.25">
      <c r="A36" s="235" t="s">
        <v>130</v>
      </c>
      <c r="B36" s="236" t="s">
        <v>84</v>
      </c>
      <c r="C36" s="237" t="s">
        <v>1429</v>
      </c>
      <c r="D36" s="263">
        <v>45959</v>
      </c>
      <c r="E36" s="259">
        <f>300.42+53.02</f>
        <v>353.44</v>
      </c>
      <c r="F36" s="259">
        <v>53.02</v>
      </c>
      <c r="G36" s="6">
        <v>345.48</v>
      </c>
      <c r="H36" s="267">
        <v>45.06</v>
      </c>
      <c r="I36" s="263">
        <v>45988</v>
      </c>
      <c r="J36" s="50">
        <f t="shared" ref="J36:J46" si="3">+E36-F36</f>
        <v>300.42</v>
      </c>
      <c r="K36" s="47">
        <f t="shared" si="0"/>
        <v>29</v>
      </c>
      <c r="L36" s="5">
        <v>3.5000000000000003E-2</v>
      </c>
      <c r="M36" s="6">
        <f t="shared" si="1"/>
        <v>10.514700000000001</v>
      </c>
      <c r="O36" s="78"/>
    </row>
    <row r="37" spans="1:15" ht="15" customHeight="1" x14ac:dyDescent="0.25">
      <c r="A37" s="235" t="s">
        <v>847</v>
      </c>
      <c r="B37" s="236" t="s">
        <v>18</v>
      </c>
      <c r="C37" s="237" t="s">
        <v>1410</v>
      </c>
      <c r="D37" s="263">
        <v>45971</v>
      </c>
      <c r="E37" s="259">
        <f>123.93+21.87</f>
        <v>145.80000000000001</v>
      </c>
      <c r="F37" s="259">
        <v>21.87</v>
      </c>
      <c r="G37" s="6">
        <v>134.77000000000001</v>
      </c>
      <c r="H37" s="267">
        <v>18.59</v>
      </c>
      <c r="I37" s="263">
        <v>46007</v>
      </c>
      <c r="J37" s="50">
        <f t="shared" si="3"/>
        <v>123.93</v>
      </c>
      <c r="K37" s="47">
        <f t="shared" si="0"/>
        <v>36</v>
      </c>
      <c r="L37" s="5">
        <v>0.03</v>
      </c>
      <c r="M37" s="6">
        <f t="shared" si="1"/>
        <v>3.7179000000000002</v>
      </c>
      <c r="O37" s="78"/>
    </row>
    <row r="38" spans="1:15" ht="15" customHeight="1" x14ac:dyDescent="0.25">
      <c r="A38" s="235" t="s">
        <v>38</v>
      </c>
      <c r="B38" s="236" t="s">
        <v>18</v>
      </c>
      <c r="C38" s="237" t="s">
        <v>1413</v>
      </c>
      <c r="D38" s="263">
        <v>45975</v>
      </c>
      <c r="E38" s="259">
        <f>536.22+178.74</f>
        <v>714.96</v>
      </c>
      <c r="F38" s="259">
        <v>178.74</v>
      </c>
      <c r="G38" s="6">
        <v>583.14</v>
      </c>
      <c r="H38" s="267">
        <v>80.430000000000007</v>
      </c>
      <c r="I38" s="263">
        <v>46006</v>
      </c>
      <c r="J38" s="50">
        <f t="shared" si="3"/>
        <v>536.22</v>
      </c>
      <c r="K38" s="47">
        <f t="shared" si="0"/>
        <v>31</v>
      </c>
      <c r="L38" s="5">
        <v>0.03</v>
      </c>
      <c r="M38" s="6">
        <f t="shared" si="1"/>
        <v>16.086600000000001</v>
      </c>
      <c r="O38" s="78"/>
    </row>
    <row r="39" spans="1:15" ht="15" customHeight="1" x14ac:dyDescent="0.25">
      <c r="A39" s="235" t="s">
        <v>94</v>
      </c>
      <c r="B39" s="236" t="s">
        <v>18</v>
      </c>
      <c r="C39" s="237" t="s">
        <v>1406</v>
      </c>
      <c r="D39" s="263">
        <v>45980</v>
      </c>
      <c r="E39" s="259">
        <f>202.29+35.7</f>
        <v>237.99</v>
      </c>
      <c r="F39" s="259">
        <v>35.700000000000003</v>
      </c>
      <c r="G39" s="6">
        <v>232.63</v>
      </c>
      <c r="H39" s="267">
        <v>30.34</v>
      </c>
      <c r="I39" s="263">
        <v>46014</v>
      </c>
      <c r="J39" s="50">
        <f t="shared" si="3"/>
        <v>202.29000000000002</v>
      </c>
      <c r="K39" s="47">
        <f t="shared" si="0"/>
        <v>34</v>
      </c>
      <c r="L39" s="5">
        <v>0.03</v>
      </c>
      <c r="M39" s="6">
        <f t="shared" si="1"/>
        <v>6.0687000000000006</v>
      </c>
      <c r="O39" s="78"/>
    </row>
    <row r="40" spans="1:15" ht="15" customHeight="1" x14ac:dyDescent="0.25">
      <c r="A40" s="235" t="s">
        <v>78</v>
      </c>
      <c r="B40" s="236" t="s">
        <v>18</v>
      </c>
      <c r="C40" s="237" t="s">
        <v>1434</v>
      </c>
      <c r="D40" s="263">
        <v>45980</v>
      </c>
      <c r="E40" s="259">
        <f>57.32+8.56</f>
        <v>65.88</v>
      </c>
      <c r="F40" s="259">
        <v>8.56</v>
      </c>
      <c r="G40" s="6">
        <v>62.34</v>
      </c>
      <c r="H40" s="267">
        <v>8.6</v>
      </c>
      <c r="I40" s="263">
        <v>45981</v>
      </c>
      <c r="J40" s="50">
        <f t="shared" si="3"/>
        <v>57.319999999999993</v>
      </c>
      <c r="K40" s="47">
        <f t="shared" si="0"/>
        <v>1</v>
      </c>
      <c r="L40" s="5">
        <v>0.04</v>
      </c>
      <c r="M40" s="6">
        <f t="shared" si="1"/>
        <v>2.2927999999999997</v>
      </c>
      <c r="O40" s="78"/>
    </row>
    <row r="41" spans="1:15" ht="15" customHeight="1" x14ac:dyDescent="0.25">
      <c r="A41" s="235" t="s">
        <v>624</v>
      </c>
      <c r="B41" s="236" t="s">
        <v>30</v>
      </c>
      <c r="C41" s="237" t="s">
        <v>1432</v>
      </c>
      <c r="D41" s="263">
        <v>45982</v>
      </c>
      <c r="E41" s="259">
        <f>97.57+13.31</f>
        <v>110.88</v>
      </c>
      <c r="F41" s="259">
        <v>13.31</v>
      </c>
      <c r="G41" s="6">
        <v>106.11</v>
      </c>
      <c r="H41" s="267">
        <v>14.64</v>
      </c>
      <c r="I41" s="263">
        <v>45985</v>
      </c>
      <c r="J41" s="50">
        <f t="shared" si="3"/>
        <v>97.57</v>
      </c>
      <c r="K41" s="47">
        <f t="shared" si="0"/>
        <v>3</v>
      </c>
      <c r="L41" s="5">
        <v>0.04</v>
      </c>
      <c r="M41" s="6">
        <f t="shared" si="1"/>
        <v>3.9027999999999996</v>
      </c>
      <c r="O41" s="78"/>
    </row>
    <row r="42" spans="1:15" ht="15" customHeight="1" x14ac:dyDescent="0.25">
      <c r="A42" s="235" t="s">
        <v>78</v>
      </c>
      <c r="B42" s="236" t="s">
        <v>18</v>
      </c>
      <c r="C42" s="237" t="s">
        <v>1431</v>
      </c>
      <c r="D42" s="263">
        <v>45985</v>
      </c>
      <c r="E42" s="259">
        <f>35.5+5.3</f>
        <v>40.799999999999997</v>
      </c>
      <c r="F42" s="259">
        <v>5.3</v>
      </c>
      <c r="G42" s="6">
        <v>38.6</v>
      </c>
      <c r="H42" s="267">
        <v>5.32</v>
      </c>
      <c r="I42" s="263">
        <v>45986</v>
      </c>
      <c r="J42" s="50">
        <f t="shared" si="3"/>
        <v>35.5</v>
      </c>
      <c r="K42" s="47">
        <f t="shared" si="0"/>
        <v>1</v>
      </c>
      <c r="L42" s="5">
        <v>0.04</v>
      </c>
      <c r="M42" s="6">
        <f t="shared" si="1"/>
        <v>1.42</v>
      </c>
      <c r="O42" s="78"/>
    </row>
    <row r="43" spans="1:15" ht="15" customHeight="1" x14ac:dyDescent="0.25">
      <c r="A43" s="235" t="s">
        <v>47</v>
      </c>
      <c r="B43" s="236" t="s">
        <v>18</v>
      </c>
      <c r="C43" s="237" t="s">
        <v>1422</v>
      </c>
      <c r="D43" s="263">
        <v>45994</v>
      </c>
      <c r="E43" s="259">
        <f>226.37+56.59</f>
        <v>282.96000000000004</v>
      </c>
      <c r="F43" s="259">
        <v>56.59</v>
      </c>
      <c r="G43" s="6">
        <v>260.33</v>
      </c>
      <c r="H43" s="267">
        <v>33.96</v>
      </c>
      <c r="I43" s="263">
        <v>45996</v>
      </c>
      <c r="J43" s="50">
        <f t="shared" si="3"/>
        <v>226.37000000000003</v>
      </c>
      <c r="K43" s="47">
        <f t="shared" si="0"/>
        <v>2</v>
      </c>
      <c r="L43" s="5">
        <v>0.04</v>
      </c>
      <c r="M43" s="6">
        <f t="shared" si="1"/>
        <v>9.054800000000002</v>
      </c>
      <c r="O43" s="78"/>
    </row>
    <row r="44" spans="1:15" ht="15" customHeight="1" x14ac:dyDescent="0.25">
      <c r="A44" s="235" t="s">
        <v>125</v>
      </c>
      <c r="B44" s="236" t="s">
        <v>18</v>
      </c>
      <c r="C44" s="237" t="s">
        <v>1423</v>
      </c>
      <c r="D44" s="263">
        <v>45994</v>
      </c>
      <c r="E44" s="259">
        <f>122.4</f>
        <v>122.4</v>
      </c>
      <c r="F44" s="259">
        <v>0</v>
      </c>
      <c r="G44" s="6">
        <v>140.76</v>
      </c>
      <c r="H44" s="267">
        <v>18.36</v>
      </c>
      <c r="I44" s="263">
        <v>45995</v>
      </c>
      <c r="J44" s="50">
        <f t="shared" si="3"/>
        <v>122.4</v>
      </c>
      <c r="K44" s="47">
        <f t="shared" si="0"/>
        <v>1</v>
      </c>
      <c r="L44" s="5">
        <v>0.04</v>
      </c>
      <c r="M44" s="6">
        <f t="shared" si="1"/>
        <v>4.8959999999999999</v>
      </c>
      <c r="O44" s="78"/>
    </row>
    <row r="45" spans="1:15" ht="15" customHeight="1" x14ac:dyDescent="0.25">
      <c r="A45" s="235" t="s">
        <v>25</v>
      </c>
      <c r="B45" s="236" t="s">
        <v>30</v>
      </c>
      <c r="C45" s="237" t="s">
        <v>1412</v>
      </c>
      <c r="D45" s="263">
        <v>46000</v>
      </c>
      <c r="E45" s="259">
        <f>918.36+306.12</f>
        <v>1224.48</v>
      </c>
      <c r="F45" s="259">
        <v>306.12</v>
      </c>
      <c r="G45" s="6">
        <v>998.71</v>
      </c>
      <c r="H45" s="267">
        <v>137.75</v>
      </c>
      <c r="I45" s="263">
        <v>46006</v>
      </c>
      <c r="J45" s="50">
        <f t="shared" si="3"/>
        <v>918.36</v>
      </c>
      <c r="K45" s="47">
        <f t="shared" si="0"/>
        <v>6</v>
      </c>
      <c r="L45" s="5">
        <v>0.04</v>
      </c>
      <c r="M45" s="6">
        <f t="shared" si="1"/>
        <v>36.734400000000001</v>
      </c>
      <c r="O45" s="78"/>
    </row>
    <row r="46" spans="1:15" ht="15" customHeight="1" x14ac:dyDescent="0.25">
      <c r="A46" s="235" t="s">
        <v>40</v>
      </c>
      <c r="B46" s="236" t="s">
        <v>18</v>
      </c>
      <c r="C46" s="237" t="s">
        <v>1409</v>
      </c>
      <c r="D46" s="263">
        <v>46006</v>
      </c>
      <c r="E46" s="259">
        <f>130.05+43.35</f>
        <v>173.4</v>
      </c>
      <c r="F46" s="259">
        <v>43.35</v>
      </c>
      <c r="G46" s="6">
        <v>141.43</v>
      </c>
      <c r="H46" s="267">
        <v>19.510000000000002</v>
      </c>
      <c r="I46" s="263">
        <v>46007</v>
      </c>
      <c r="J46" s="50">
        <f t="shared" si="3"/>
        <v>130.05000000000001</v>
      </c>
      <c r="K46" s="47">
        <f t="shared" si="0"/>
        <v>1</v>
      </c>
      <c r="L46" s="5">
        <v>0.04</v>
      </c>
      <c r="M46" s="6">
        <f t="shared" si="1"/>
        <v>5.2020000000000008</v>
      </c>
      <c r="O46" s="78"/>
    </row>
    <row r="47" spans="1:15" ht="15" customHeight="1" x14ac:dyDescent="0.25">
      <c r="A47" s="235"/>
      <c r="B47" s="236"/>
      <c r="C47" s="237"/>
      <c r="D47" s="263"/>
      <c r="E47" s="259"/>
      <c r="F47" s="259"/>
      <c r="G47" s="242"/>
      <c r="H47" s="267"/>
      <c r="I47" s="263"/>
      <c r="J47" s="50"/>
      <c r="K47" s="47"/>
      <c r="L47" s="5"/>
      <c r="M47" s="6"/>
      <c r="O47" s="78"/>
    </row>
    <row r="48" spans="1:15" ht="15" customHeight="1" x14ac:dyDescent="0.25">
      <c r="A48" s="235"/>
      <c r="B48" s="236"/>
      <c r="C48" s="237"/>
      <c r="D48" s="263"/>
      <c r="E48" s="259"/>
      <c r="F48" s="259"/>
      <c r="G48" s="6"/>
      <c r="H48" s="267"/>
      <c r="I48" s="263"/>
      <c r="J48" s="50"/>
      <c r="K48" s="47"/>
      <c r="L48" s="5"/>
      <c r="M48" s="6"/>
      <c r="O48" s="78"/>
    </row>
    <row r="49" spans="1:15" ht="15" customHeight="1" x14ac:dyDescent="0.25">
      <c r="A49" s="235"/>
      <c r="B49" s="236"/>
      <c r="C49" s="237"/>
      <c r="D49" s="263"/>
      <c r="E49" s="259"/>
      <c r="F49" s="259"/>
      <c r="G49" s="94"/>
      <c r="H49" s="267"/>
      <c r="I49" s="263"/>
      <c r="J49" s="50"/>
      <c r="K49" s="47"/>
      <c r="L49" s="5"/>
      <c r="M49" s="6"/>
      <c r="O49" s="78"/>
    </row>
    <row r="50" spans="1:15" ht="15" customHeight="1" x14ac:dyDescent="0.3">
      <c r="G50" s="16">
        <f>SUM(G8:G49)</f>
        <v>10773.05</v>
      </c>
      <c r="J50" s="16">
        <f>SUM(J8:J49)</f>
        <v>9917.2139130434789</v>
      </c>
      <c r="M50" s="16">
        <f>SUM(M8:M49)</f>
        <v>315.19256739130441</v>
      </c>
      <c r="O50" s="78"/>
    </row>
    <row r="51" spans="1:15" ht="15" customHeight="1" x14ac:dyDescent="0.25">
      <c r="G51" s="8"/>
      <c r="H51" s="8"/>
      <c r="O51" s="78"/>
    </row>
    <row r="52" spans="1:15" ht="15" customHeight="1" x14ac:dyDescent="0.25">
      <c r="A52" s="17" t="s">
        <v>19</v>
      </c>
      <c r="B52" s="18" t="s">
        <v>20</v>
      </c>
      <c r="C52" s="18" t="s">
        <v>21</v>
      </c>
      <c r="J52" s="8"/>
      <c r="O52" s="78"/>
    </row>
    <row r="53" spans="1:15" s="52" customFormat="1" x14ac:dyDescent="0.25">
      <c r="A53" s="235" t="s">
        <v>52</v>
      </c>
      <c r="B53" s="235" t="s">
        <v>1445</v>
      </c>
      <c r="C53" s="237" t="s">
        <v>1439</v>
      </c>
      <c r="D53" s="263">
        <v>45986</v>
      </c>
      <c r="E53" s="259">
        <f>639.9+213.3</f>
        <v>853.2</v>
      </c>
      <c r="F53" s="259">
        <v>213.3</v>
      </c>
      <c r="G53" s="6">
        <v>695.89</v>
      </c>
      <c r="H53" s="267">
        <v>95.99</v>
      </c>
      <c r="I53" s="263">
        <v>46052</v>
      </c>
      <c r="J53" s="50">
        <f>+E53-F53</f>
        <v>639.90000000000009</v>
      </c>
      <c r="K53" s="47">
        <f>+I53-D53</f>
        <v>66</v>
      </c>
      <c r="L53" s="48">
        <v>0.03</v>
      </c>
      <c r="M53" s="49">
        <f>+J53*L53</f>
        <v>19.197000000000003</v>
      </c>
      <c r="N53" s="60"/>
      <c r="O53" s="78"/>
    </row>
    <row r="54" spans="1:15" s="52" customFormat="1" x14ac:dyDescent="0.25">
      <c r="A54" s="235" t="s">
        <v>52</v>
      </c>
      <c r="B54" s="235" t="s">
        <v>1446</v>
      </c>
      <c r="C54" s="237" t="s">
        <v>1440</v>
      </c>
      <c r="D54" s="263">
        <v>45973</v>
      </c>
      <c r="E54" s="259">
        <f>559.26+186.42</f>
        <v>745.68</v>
      </c>
      <c r="F54" s="259">
        <v>186.42</v>
      </c>
      <c r="G54" s="6">
        <v>608.19000000000005</v>
      </c>
      <c r="H54" s="267">
        <v>83.89</v>
      </c>
      <c r="I54" s="263">
        <v>46041</v>
      </c>
      <c r="J54" s="50">
        <f t="shared" ref="J54:J58" si="4">+E54-F54</f>
        <v>559.26</v>
      </c>
      <c r="K54" s="47">
        <f t="shared" ref="K54:K58" si="5">+I54-D54</f>
        <v>68</v>
      </c>
      <c r="L54" s="48">
        <v>0.03</v>
      </c>
      <c r="M54" s="49">
        <f t="shared" ref="M54:M58" si="6">+J54*L54</f>
        <v>16.777799999999999</v>
      </c>
      <c r="N54" s="60"/>
      <c r="O54" s="78"/>
    </row>
    <row r="55" spans="1:15" s="52" customFormat="1" x14ac:dyDescent="0.25">
      <c r="A55" s="235" t="s">
        <v>48</v>
      </c>
      <c r="B55" s="235" t="s">
        <v>1447</v>
      </c>
      <c r="C55" s="237" t="s">
        <v>1441</v>
      </c>
      <c r="D55" s="263">
        <v>45901</v>
      </c>
      <c r="E55" s="259">
        <f>140.58+46.86</f>
        <v>187.44</v>
      </c>
      <c r="F55" s="259">
        <v>46.86</v>
      </c>
      <c r="G55" s="6">
        <v>152.88</v>
      </c>
      <c r="H55" s="267">
        <v>21.09</v>
      </c>
      <c r="I55" s="263">
        <v>46034</v>
      </c>
      <c r="J55" s="50">
        <f t="shared" si="4"/>
        <v>140.57999999999998</v>
      </c>
      <c r="K55" s="47">
        <f t="shared" si="5"/>
        <v>133</v>
      </c>
      <c r="L55" s="48">
        <v>0.03</v>
      </c>
      <c r="M55" s="49">
        <f t="shared" si="6"/>
        <v>4.2173999999999996</v>
      </c>
      <c r="N55" s="60"/>
      <c r="O55" s="78"/>
    </row>
    <row r="56" spans="1:15" s="52" customFormat="1" x14ac:dyDescent="0.25">
      <c r="A56" s="235" t="s">
        <v>46</v>
      </c>
      <c r="B56" s="235" t="s">
        <v>1448</v>
      </c>
      <c r="C56" s="237" t="s">
        <v>1442</v>
      </c>
      <c r="D56" s="263">
        <v>45994</v>
      </c>
      <c r="E56" s="259">
        <f>326.4+81.6</f>
        <v>408</v>
      </c>
      <c r="F56" s="259">
        <v>81.599999999999994</v>
      </c>
      <c r="G56" s="6">
        <v>354.96</v>
      </c>
      <c r="H56" s="267">
        <v>48.96</v>
      </c>
      <c r="I56" s="263">
        <v>46027</v>
      </c>
      <c r="J56" s="50">
        <f t="shared" si="4"/>
        <v>326.39999999999998</v>
      </c>
      <c r="K56" s="47">
        <f t="shared" si="5"/>
        <v>33</v>
      </c>
      <c r="L56" s="48">
        <v>0.03</v>
      </c>
      <c r="M56" s="49">
        <f t="shared" si="6"/>
        <v>9.7919999999999998</v>
      </c>
      <c r="N56" s="60"/>
      <c r="O56" s="78"/>
    </row>
    <row r="57" spans="1:15" s="52" customFormat="1" x14ac:dyDescent="0.25">
      <c r="A57" s="235" t="s">
        <v>52</v>
      </c>
      <c r="B57" s="235" t="s">
        <v>1449</v>
      </c>
      <c r="C57" s="237" t="s">
        <v>1443</v>
      </c>
      <c r="D57" s="263">
        <v>45993</v>
      </c>
      <c r="E57" s="259">
        <f>341.55+113.85</f>
        <v>455.4</v>
      </c>
      <c r="F57" s="259">
        <v>113.85</v>
      </c>
      <c r="G57" s="6">
        <v>371.43</v>
      </c>
      <c r="H57" s="267">
        <v>51.23</v>
      </c>
      <c r="I57" s="263">
        <v>46059</v>
      </c>
      <c r="J57" s="50">
        <f t="shared" si="4"/>
        <v>341.54999999999995</v>
      </c>
      <c r="K57" s="47">
        <f t="shared" si="5"/>
        <v>66</v>
      </c>
      <c r="L57" s="48">
        <v>0.03</v>
      </c>
      <c r="M57" s="49">
        <f t="shared" si="6"/>
        <v>10.246499999999997</v>
      </c>
      <c r="N57" s="230"/>
      <c r="O57" s="78"/>
    </row>
    <row r="58" spans="1:15" s="52" customFormat="1" x14ac:dyDescent="0.25">
      <c r="A58" s="235" t="s">
        <v>48</v>
      </c>
      <c r="B58" s="235" t="s">
        <v>1450</v>
      </c>
      <c r="C58" s="237" t="s">
        <v>1444</v>
      </c>
      <c r="D58" s="263">
        <v>45992</v>
      </c>
      <c r="E58" s="259">
        <f>801.9+267.3</f>
        <v>1069.2</v>
      </c>
      <c r="F58" s="259">
        <v>267.3</v>
      </c>
      <c r="G58" s="6">
        <v>872.07</v>
      </c>
      <c r="H58" s="267">
        <v>120.29</v>
      </c>
      <c r="I58" s="263">
        <v>46087</v>
      </c>
      <c r="J58" s="50">
        <f t="shared" si="4"/>
        <v>801.90000000000009</v>
      </c>
      <c r="K58" s="47">
        <f t="shared" si="5"/>
        <v>95</v>
      </c>
      <c r="L58" s="48">
        <v>0.03</v>
      </c>
      <c r="M58" s="49">
        <f t="shared" si="6"/>
        <v>24.057000000000002</v>
      </c>
      <c r="N58" s="60"/>
      <c r="O58" s="78"/>
    </row>
    <row r="59" spans="1:15" s="52" customFormat="1" ht="15.6" thickBot="1" x14ac:dyDescent="0.3">
      <c r="A59" s="101"/>
      <c r="B59" s="102"/>
      <c r="C59" s="101"/>
      <c r="D59" s="105"/>
      <c r="E59" s="92"/>
      <c r="F59" s="92"/>
      <c r="G59" s="90"/>
      <c r="H59" s="92"/>
      <c r="I59" s="248"/>
      <c r="J59" s="50"/>
      <c r="K59" s="47"/>
      <c r="L59" s="48"/>
      <c r="M59" s="49"/>
      <c r="N59" s="60"/>
      <c r="O59" s="78"/>
    </row>
    <row r="60" spans="1:15" ht="15" customHeight="1" thickBot="1" x14ac:dyDescent="0.35">
      <c r="A60" s="332" t="s">
        <v>29</v>
      </c>
      <c r="B60" s="332"/>
      <c r="C60" s="332"/>
      <c r="D60" s="332"/>
      <c r="E60" s="332"/>
      <c r="F60" s="332"/>
      <c r="G60" s="16">
        <f>SUM(G50:G59)</f>
        <v>13828.469999999998</v>
      </c>
      <c r="J60" s="16">
        <f>SUM(J50:J59)</f>
        <v>12726.803913043477</v>
      </c>
      <c r="L60" s="20"/>
      <c r="M60" s="21">
        <f>SUM(M50:M59)</f>
        <v>399.48026739130444</v>
      </c>
    </row>
    <row r="61" spans="1:15" ht="15" customHeight="1" x14ac:dyDescent="0.3">
      <c r="A61" s="22"/>
      <c r="G61" s="8"/>
    </row>
    <row r="62" spans="1:15" ht="15" customHeight="1" x14ac:dyDescent="0.3">
      <c r="A62" s="39"/>
      <c r="G62" s="8"/>
      <c r="J62" s="8"/>
    </row>
    <row r="63" spans="1:15" ht="15" customHeight="1" x14ac:dyDescent="0.3">
      <c r="A63" s="39"/>
      <c r="G63" s="8"/>
      <c r="J63" s="8"/>
    </row>
    <row r="64" spans="1:15" ht="15" customHeight="1" x14ac:dyDescent="0.3">
      <c r="A64" s="39"/>
      <c r="G64" s="8"/>
      <c r="J64" s="8"/>
    </row>
    <row r="65" spans="1:15" ht="15" customHeight="1" x14ac:dyDescent="0.3">
      <c r="A65" s="39"/>
      <c r="G65" s="8"/>
      <c r="J65" s="8"/>
      <c r="M65" s="185">
        <f>M60/12</f>
        <v>33.290022282608703</v>
      </c>
      <c r="N65" s="59" t="s">
        <v>1505</v>
      </c>
    </row>
    <row r="66" spans="1:15" ht="15" customHeight="1" x14ac:dyDescent="0.3">
      <c r="A66" s="39"/>
      <c r="G66" s="8"/>
      <c r="J66" s="8"/>
      <c r="M66" s="185">
        <f>M60/24</f>
        <v>16.645011141304352</v>
      </c>
      <c r="N66" s="59" t="s">
        <v>1505</v>
      </c>
    </row>
    <row r="67" spans="1:15" ht="15" customHeight="1" x14ac:dyDescent="0.25">
      <c r="A67" s="30" t="s">
        <v>0</v>
      </c>
      <c r="B67" s="30"/>
      <c r="C67" s="30"/>
      <c r="D67" s="30"/>
      <c r="E67" s="30"/>
      <c r="F67" s="30"/>
      <c r="G67" s="24"/>
      <c r="H67" s="25"/>
      <c r="I67" s="249"/>
      <c r="J67" s="26"/>
      <c r="K67" s="27"/>
      <c r="L67" s="28"/>
      <c r="M67" s="29"/>
    </row>
    <row r="68" spans="1:15" ht="15" customHeight="1" x14ac:dyDescent="0.25">
      <c r="A68" s="30" t="s">
        <v>1</v>
      </c>
      <c r="B68" s="30"/>
      <c r="C68" s="30"/>
      <c r="D68" s="30"/>
      <c r="E68" s="30"/>
      <c r="F68" s="30"/>
      <c r="G68" s="24"/>
      <c r="H68" s="25"/>
      <c r="I68" s="249"/>
      <c r="J68" s="27"/>
      <c r="K68" s="27"/>
      <c r="L68" s="28"/>
      <c r="M68" s="29"/>
    </row>
    <row r="69" spans="1:15" ht="15" customHeight="1" x14ac:dyDescent="0.25">
      <c r="A69" s="30"/>
      <c r="B69" s="30" t="s">
        <v>1369</v>
      </c>
      <c r="C69" s="30"/>
      <c r="D69" s="64"/>
      <c r="E69" s="30"/>
      <c r="F69" s="30"/>
      <c r="G69" s="24"/>
      <c r="H69" s="25"/>
      <c r="I69" s="249"/>
      <c r="J69" s="27"/>
      <c r="K69" s="27"/>
      <c r="L69" s="28"/>
      <c r="M69" s="29"/>
    </row>
    <row r="70" spans="1:15" ht="15" customHeight="1" thickBot="1" x14ac:dyDescent="0.3">
      <c r="A70" s="30"/>
      <c r="B70" s="30" t="s">
        <v>1130</v>
      </c>
      <c r="C70" s="30"/>
      <c r="D70" s="64"/>
      <c r="E70" s="30"/>
      <c r="F70" s="30"/>
      <c r="G70" s="32"/>
      <c r="H70" s="24"/>
      <c r="I70" s="250"/>
      <c r="J70" s="33"/>
      <c r="K70" s="27"/>
      <c r="L70" s="28"/>
      <c r="M70" s="29"/>
    </row>
    <row r="71" spans="1:15" ht="15" customHeight="1" x14ac:dyDescent="0.25">
      <c r="A71" s="34" t="s">
        <v>66</v>
      </c>
      <c r="B71" s="182"/>
      <c r="C71" s="33"/>
      <c r="D71" s="65"/>
      <c r="E71" s="33"/>
      <c r="F71" s="33"/>
      <c r="G71" s="35" t="s">
        <v>3</v>
      </c>
      <c r="H71" s="27"/>
      <c r="I71" s="249"/>
      <c r="J71" s="36" t="s">
        <v>4</v>
      </c>
      <c r="K71" s="56" t="s">
        <v>5</v>
      </c>
      <c r="L71" s="40" t="s">
        <v>6</v>
      </c>
      <c r="M71" s="36" t="s">
        <v>7</v>
      </c>
      <c r="O71" s="8"/>
    </row>
    <row r="72" spans="1:15" ht="15" customHeight="1" thickBot="1" x14ac:dyDescent="0.3">
      <c r="A72" s="11" t="s">
        <v>8</v>
      </c>
      <c r="B72" s="11" t="s">
        <v>9</v>
      </c>
      <c r="C72" s="11" t="s">
        <v>10</v>
      </c>
      <c r="D72" s="66" t="s">
        <v>11</v>
      </c>
      <c r="E72" s="11" t="s">
        <v>12</v>
      </c>
      <c r="F72" s="54" t="s">
        <v>50</v>
      </c>
      <c r="G72" s="12" t="s">
        <v>13</v>
      </c>
      <c r="H72" s="13" t="s">
        <v>14</v>
      </c>
      <c r="I72" s="251" t="s">
        <v>15</v>
      </c>
      <c r="J72" s="14" t="s">
        <v>16</v>
      </c>
      <c r="K72" s="57"/>
      <c r="L72" s="58" t="s">
        <v>17</v>
      </c>
      <c r="M72" s="14" t="s">
        <v>39</v>
      </c>
      <c r="O72" s="8"/>
    </row>
    <row r="73" spans="1:15" ht="15" customHeight="1" x14ac:dyDescent="0.25">
      <c r="A73" s="235" t="s">
        <v>1451</v>
      </c>
      <c r="B73" s="236" t="s">
        <v>1324</v>
      </c>
      <c r="C73" s="237" t="s">
        <v>1457</v>
      </c>
      <c r="D73" s="263">
        <v>45875</v>
      </c>
      <c r="E73" s="267">
        <f>570.24+142.56</f>
        <v>712.8</v>
      </c>
      <c r="F73" s="267">
        <v>142.56</v>
      </c>
      <c r="G73" s="6">
        <v>310.07</v>
      </c>
      <c r="H73" s="267">
        <v>85.54</v>
      </c>
      <c r="I73" s="263">
        <v>45999</v>
      </c>
      <c r="J73" s="50">
        <v>285.12</v>
      </c>
      <c r="K73" s="47">
        <f t="shared" ref="K73:K81" si="7">+I73-D73</f>
        <v>124</v>
      </c>
      <c r="L73" s="48">
        <v>0.03</v>
      </c>
      <c r="M73" s="49">
        <f t="shared" ref="M73:M81" si="8">+J73*L73</f>
        <v>8.5535999999999994</v>
      </c>
    </row>
    <row r="74" spans="1:15" ht="15" customHeight="1" x14ac:dyDescent="0.25">
      <c r="A74" s="235" t="s">
        <v>1451</v>
      </c>
      <c r="B74" s="236" t="s">
        <v>1324</v>
      </c>
      <c r="C74" s="237" t="s">
        <v>1457</v>
      </c>
      <c r="D74" s="263">
        <v>45875</v>
      </c>
      <c r="E74" s="267">
        <f>570.24+142.56</f>
        <v>712.8</v>
      </c>
      <c r="F74" s="267">
        <v>142.56</v>
      </c>
      <c r="G74" s="6">
        <v>310.07</v>
      </c>
      <c r="H74" s="267">
        <v>85.54</v>
      </c>
      <c r="I74" s="263">
        <v>45993</v>
      </c>
      <c r="J74" s="50">
        <v>285.12</v>
      </c>
      <c r="K74" s="47">
        <f t="shared" si="7"/>
        <v>118</v>
      </c>
      <c r="L74" s="48">
        <v>0.03</v>
      </c>
      <c r="M74" s="49">
        <f t="shared" si="8"/>
        <v>8.5535999999999994</v>
      </c>
      <c r="N74" s="268"/>
    </row>
    <row r="75" spans="1:15" ht="15" customHeight="1" x14ac:dyDescent="0.25">
      <c r="A75" s="235" t="s">
        <v>1321</v>
      </c>
      <c r="B75" s="236" t="s">
        <v>1324</v>
      </c>
      <c r="C75" s="237" t="s">
        <v>1325</v>
      </c>
      <c r="D75" s="263">
        <v>45875</v>
      </c>
      <c r="E75" s="267">
        <f>340.55+50.89</f>
        <v>391.44</v>
      </c>
      <c r="F75" s="267">
        <v>50.89</v>
      </c>
      <c r="G75" s="6">
        <v>241.63</v>
      </c>
      <c r="H75" s="267">
        <v>51.08</v>
      </c>
      <c r="I75" s="263">
        <v>45981</v>
      </c>
      <c r="J75" s="50">
        <f>241.63/1.15</f>
        <v>210.11304347826089</v>
      </c>
      <c r="K75" s="47">
        <f t="shared" si="7"/>
        <v>106</v>
      </c>
      <c r="L75" s="48">
        <v>0.03</v>
      </c>
      <c r="M75" s="49">
        <f t="shared" si="8"/>
        <v>6.3033913043478265</v>
      </c>
    </row>
    <row r="76" spans="1:15" ht="15" customHeight="1" x14ac:dyDescent="0.25">
      <c r="A76" s="235" t="s">
        <v>1397</v>
      </c>
      <c r="B76" s="236" t="s">
        <v>1398</v>
      </c>
      <c r="C76" s="237" t="s">
        <v>1402</v>
      </c>
      <c r="D76" s="263">
        <v>45902</v>
      </c>
      <c r="E76" s="267">
        <f>299.11+44.69</f>
        <v>343.8</v>
      </c>
      <c r="F76" s="267">
        <v>44.69</v>
      </c>
      <c r="G76" s="6">
        <v>118.98</v>
      </c>
      <c r="H76" s="267">
        <v>44.87</v>
      </c>
      <c r="I76" s="263">
        <v>45987</v>
      </c>
      <c r="J76" s="50">
        <f>118.98/1.15</f>
        <v>103.46086956521741</v>
      </c>
      <c r="K76" s="47">
        <f t="shared" si="7"/>
        <v>85</v>
      </c>
      <c r="L76" s="48">
        <v>0.03</v>
      </c>
      <c r="M76" s="49">
        <f t="shared" si="8"/>
        <v>3.1038260869565222</v>
      </c>
    </row>
    <row r="77" spans="1:15" ht="15" customHeight="1" x14ac:dyDescent="0.25">
      <c r="A77" s="235" t="s">
        <v>128</v>
      </c>
      <c r="B77" s="236" t="s">
        <v>133</v>
      </c>
      <c r="C77" s="237" t="s">
        <v>1455</v>
      </c>
      <c r="D77" s="263">
        <v>45904</v>
      </c>
      <c r="E77" s="267">
        <f>380.16+95.04</f>
        <v>475.20000000000005</v>
      </c>
      <c r="F77" s="267">
        <v>95.04</v>
      </c>
      <c r="G77" s="6">
        <v>136.24</v>
      </c>
      <c r="H77" s="267">
        <v>57.02</v>
      </c>
      <c r="I77" s="263">
        <v>46006</v>
      </c>
      <c r="J77" s="50">
        <v>118.47</v>
      </c>
      <c r="K77" s="47">
        <f t="shared" si="7"/>
        <v>102</v>
      </c>
      <c r="L77" s="48">
        <v>0.03</v>
      </c>
      <c r="M77" s="49">
        <f t="shared" si="8"/>
        <v>3.5541</v>
      </c>
    </row>
    <row r="78" spans="1:15" ht="15" customHeight="1" x14ac:dyDescent="0.25">
      <c r="A78" s="235" t="s">
        <v>128</v>
      </c>
      <c r="B78" s="236" t="s">
        <v>133</v>
      </c>
      <c r="C78" s="237" t="s">
        <v>1455</v>
      </c>
      <c r="D78" s="263">
        <v>45904</v>
      </c>
      <c r="E78" s="267">
        <f>380.16+95.04</f>
        <v>475.20000000000005</v>
      </c>
      <c r="F78" s="267">
        <v>95.04</v>
      </c>
      <c r="G78" s="6">
        <v>280</v>
      </c>
      <c r="H78" s="267">
        <v>57.02</v>
      </c>
      <c r="I78" s="263">
        <v>45994</v>
      </c>
      <c r="J78" s="50">
        <v>261.69</v>
      </c>
      <c r="K78" s="47">
        <f t="shared" si="7"/>
        <v>90</v>
      </c>
      <c r="L78" s="48">
        <v>0.03</v>
      </c>
      <c r="M78" s="49">
        <f t="shared" si="8"/>
        <v>7.8506999999999998</v>
      </c>
      <c r="N78" s="268"/>
    </row>
    <row r="79" spans="1:15" ht="15" customHeight="1" x14ac:dyDescent="0.25">
      <c r="A79" s="235" t="s">
        <v>126</v>
      </c>
      <c r="B79" s="236" t="s">
        <v>133</v>
      </c>
      <c r="C79" s="237" t="s">
        <v>1454</v>
      </c>
      <c r="D79" s="263">
        <v>45943</v>
      </c>
      <c r="E79" s="267">
        <f>152.69+26.95</f>
        <v>179.64</v>
      </c>
      <c r="F79" s="267">
        <v>26.95</v>
      </c>
      <c r="G79" s="6">
        <v>166.05</v>
      </c>
      <c r="H79" s="267">
        <v>22.9</v>
      </c>
      <c r="I79" s="263">
        <v>46007</v>
      </c>
      <c r="J79" s="50">
        <f>E79-F79</f>
        <v>152.69</v>
      </c>
      <c r="K79" s="47">
        <f t="shared" si="7"/>
        <v>64</v>
      </c>
      <c r="L79" s="48">
        <v>0.03</v>
      </c>
      <c r="M79" s="49">
        <f t="shared" si="8"/>
        <v>4.5806999999999993</v>
      </c>
    </row>
    <row r="80" spans="1:15" ht="15" customHeight="1" x14ac:dyDescent="0.25">
      <c r="A80" s="235" t="s">
        <v>85</v>
      </c>
      <c r="B80" s="236" t="s">
        <v>1452</v>
      </c>
      <c r="C80" s="237" t="s">
        <v>1453</v>
      </c>
      <c r="D80" s="263">
        <v>45946</v>
      </c>
      <c r="E80" s="267">
        <f>100.98+17.82</f>
        <v>118.80000000000001</v>
      </c>
      <c r="F80" s="267">
        <v>17.82</v>
      </c>
      <c r="G80" s="6">
        <v>109.82</v>
      </c>
      <c r="H80" s="267">
        <v>15.15</v>
      </c>
      <c r="I80" s="263">
        <v>46013</v>
      </c>
      <c r="J80" s="50">
        <f>E80-F80</f>
        <v>100.98000000000002</v>
      </c>
      <c r="K80" s="47">
        <f t="shared" si="7"/>
        <v>67</v>
      </c>
      <c r="L80" s="48">
        <v>0.03</v>
      </c>
      <c r="M80" s="49">
        <f t="shared" si="8"/>
        <v>3.0294000000000003</v>
      </c>
    </row>
    <row r="81" spans="1:14" ht="15" customHeight="1" x14ac:dyDescent="0.25">
      <c r="A81" s="235" t="s">
        <v>100</v>
      </c>
      <c r="B81" s="236" t="s">
        <v>75</v>
      </c>
      <c r="C81" s="237" t="s">
        <v>1456</v>
      </c>
      <c r="D81" s="263">
        <v>45968</v>
      </c>
      <c r="E81" s="267">
        <f>31.32+3.48</f>
        <v>34.799999999999997</v>
      </c>
      <c r="F81" s="267">
        <v>3.48</v>
      </c>
      <c r="G81" s="6">
        <v>36.020000000000003</v>
      </c>
      <c r="H81" s="267">
        <v>4.7</v>
      </c>
      <c r="I81" s="263">
        <v>46000</v>
      </c>
      <c r="J81" s="50">
        <f>E81-F81</f>
        <v>31.319999999999997</v>
      </c>
      <c r="K81" s="47">
        <f t="shared" si="7"/>
        <v>32</v>
      </c>
      <c r="L81" s="48">
        <v>0.03</v>
      </c>
      <c r="M81" s="49">
        <f t="shared" si="8"/>
        <v>0.93959999999999988</v>
      </c>
    </row>
    <row r="82" spans="1:14" ht="15" customHeight="1" x14ac:dyDescent="0.3">
      <c r="A82" s="42"/>
      <c r="B82" s="43"/>
      <c r="C82" s="43"/>
      <c r="D82" s="68"/>
      <c r="E82" s="44"/>
      <c r="F82" s="44"/>
      <c r="G82" s="45"/>
      <c r="H82" s="46"/>
      <c r="I82" s="260"/>
      <c r="J82" s="50"/>
      <c r="K82" s="47"/>
      <c r="L82" s="48"/>
      <c r="M82" s="49"/>
    </row>
    <row r="83" spans="1:14" ht="15" customHeight="1" x14ac:dyDescent="0.25">
      <c r="A83" s="213"/>
      <c r="B83" s="213"/>
      <c r="C83" s="213"/>
      <c r="D83" s="213"/>
      <c r="E83" s="213"/>
      <c r="F83" s="213"/>
      <c r="G83" s="75">
        <f>SUM(G73:G82)</f>
        <v>1708.8799999999999</v>
      </c>
      <c r="H83" s="80"/>
      <c r="I83" s="261"/>
      <c r="J83" s="75">
        <f>SUM(J73:J82)</f>
        <v>1548.9639130434784</v>
      </c>
      <c r="K83" s="82"/>
      <c r="L83" s="82"/>
      <c r="M83" s="75">
        <f>SUM(M73:M82)</f>
        <v>46.468917391304345</v>
      </c>
    </row>
    <row r="84" spans="1:14" ht="15" customHeight="1" x14ac:dyDescent="0.25">
      <c r="A84" s="76"/>
      <c r="B84" s="76"/>
      <c r="C84" s="76"/>
      <c r="D84" s="77"/>
      <c r="E84" s="76"/>
      <c r="F84" s="76"/>
      <c r="G84" s="78"/>
      <c r="H84" s="52"/>
      <c r="I84" s="262"/>
      <c r="J84" s="52"/>
      <c r="K84" s="52"/>
      <c r="L84" s="52"/>
      <c r="M84" s="52"/>
    </row>
    <row r="85" spans="1:14" x14ac:dyDescent="0.25">
      <c r="A85" s="76"/>
      <c r="B85" s="76"/>
      <c r="C85" s="76"/>
      <c r="D85" s="77"/>
      <c r="E85" s="76"/>
      <c r="F85" s="76"/>
      <c r="G85" s="78"/>
      <c r="H85" s="52"/>
      <c r="I85" s="262"/>
      <c r="J85" s="78"/>
      <c r="K85" s="52"/>
      <c r="L85" s="52"/>
      <c r="M85" s="78"/>
    </row>
    <row r="86" spans="1:14" x14ac:dyDescent="0.25">
      <c r="A86" s="52" t="s">
        <v>19</v>
      </c>
      <c r="B86" s="76" t="s">
        <v>20</v>
      </c>
      <c r="C86" s="76" t="s">
        <v>21</v>
      </c>
      <c r="D86" s="79"/>
      <c r="E86" s="52"/>
      <c r="F86" s="52"/>
      <c r="G86" s="78"/>
      <c r="H86" s="52"/>
      <c r="I86" s="262"/>
      <c r="J86" s="52"/>
      <c r="K86" s="52"/>
      <c r="L86" s="52"/>
      <c r="M86" s="52"/>
    </row>
    <row r="87" spans="1:14" s="52" customFormat="1" ht="15" x14ac:dyDescent="0.25">
      <c r="A87" s="101"/>
      <c r="B87" s="101"/>
      <c r="C87" s="102"/>
      <c r="D87" s="105"/>
      <c r="E87" s="92"/>
      <c r="F87" s="92"/>
      <c r="G87" s="90"/>
      <c r="H87" s="92"/>
      <c r="I87" s="248"/>
      <c r="J87" s="50"/>
      <c r="K87" s="47"/>
      <c r="L87" s="48"/>
      <c r="M87" s="49"/>
      <c r="N87" s="60"/>
    </row>
    <row r="88" spans="1:14" ht="15.6" thickBot="1" x14ac:dyDescent="0.3">
      <c r="A88" s="91"/>
      <c r="B88" s="102"/>
      <c r="C88" s="93"/>
      <c r="D88" s="88"/>
      <c r="E88" s="92"/>
      <c r="F88" s="92"/>
      <c r="G88" s="90"/>
      <c r="H88" s="92"/>
      <c r="I88" s="248"/>
      <c r="J88" s="50"/>
      <c r="K88" s="47"/>
      <c r="L88" s="48"/>
      <c r="M88" s="49"/>
    </row>
    <row r="89" spans="1:14" ht="16.2" thickBot="1" x14ac:dyDescent="0.35">
      <c r="A89" s="212" t="s">
        <v>29</v>
      </c>
      <c r="B89" s="212"/>
      <c r="C89" s="212"/>
      <c r="D89" s="212"/>
      <c r="E89" s="212"/>
      <c r="F89" s="212"/>
      <c r="G89" s="37">
        <f>SUM(G83:G88)</f>
        <v>1708.8799999999999</v>
      </c>
      <c r="I89" s="252"/>
      <c r="J89" s="37">
        <f>SUM(J83:J88)</f>
        <v>1548.9639130434784</v>
      </c>
      <c r="L89" s="20"/>
      <c r="M89" s="38">
        <f>SUM(M83:M88)</f>
        <v>46.468917391304345</v>
      </c>
    </row>
    <row r="90" spans="1:14" x14ac:dyDescent="0.25">
      <c r="A90" s="19"/>
      <c r="E90" s="19"/>
      <c r="F90" s="19"/>
      <c r="G90" s="8"/>
      <c r="I90" s="252"/>
    </row>
    <row r="92" spans="1:14" x14ac:dyDescent="0.25">
      <c r="J92" s="8"/>
    </row>
    <row r="93" spans="1:14" x14ac:dyDescent="0.25">
      <c r="J93" s="8"/>
    </row>
    <row r="94" spans="1:14" x14ac:dyDescent="0.25">
      <c r="J94" s="8">
        <f>(J60+J89)*2%</f>
        <v>285.51535652173914</v>
      </c>
      <c r="M94" s="185">
        <f>M89/12</f>
        <v>3.8724097826086954</v>
      </c>
      <c r="N94" s="59" t="s">
        <v>1504</v>
      </c>
    </row>
    <row r="95" spans="1:14" x14ac:dyDescent="0.25">
      <c r="J95" s="185">
        <f>J94/12</f>
        <v>23.792946376811596</v>
      </c>
      <c r="K95" s="7" t="s">
        <v>876</v>
      </c>
      <c r="M95" s="185">
        <f>M89/24</f>
        <v>1.9362048913043477</v>
      </c>
      <c r="N95" s="59" t="s">
        <v>1504</v>
      </c>
    </row>
    <row r="96" spans="1:14" x14ac:dyDescent="0.25">
      <c r="J96" s="185">
        <f>J94/24</f>
        <v>11.896473188405798</v>
      </c>
      <c r="K96" s="7" t="s">
        <v>876</v>
      </c>
    </row>
  </sheetData>
  <autoFilter ref="A3:N46" xr:uid="{48FB1E19-171E-4F96-A12F-271FACA97160}">
    <filterColumn colId="0" showButton="0"/>
    <filterColumn colId="1" showButton="0"/>
    <filterColumn colId="2" showButton="0"/>
    <filterColumn colId="3" showButton="0"/>
    <filterColumn colId="4" showButton="0"/>
  </autoFilter>
  <sortState xmlns:xlrd2="http://schemas.microsoft.com/office/spreadsheetml/2017/richdata2" ref="A73:P81">
    <sortCondition ref="C73:C81"/>
  </sortState>
  <mergeCells count="2">
    <mergeCell ref="A3:F3"/>
    <mergeCell ref="A60:F60"/>
  </mergeCells>
  <pageMargins left="0.19685039370078741" right="0" top="0.59055118110236227" bottom="0" header="0" footer="0"/>
  <pageSetup paperSize="9" scale="85" orientation="landscape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084D4-E62D-4F00-BFA5-CCB82F8AB2FE}">
  <dimension ref="A1:O84"/>
  <sheetViews>
    <sheetView topLeftCell="D63" workbookViewId="0">
      <selection activeCell="A21" sqref="A1:XFD1048576"/>
    </sheetView>
  </sheetViews>
  <sheetFormatPr baseColWidth="10" defaultColWidth="11.44140625" defaultRowHeight="13.2" x14ac:dyDescent="0.25"/>
  <cols>
    <col min="1" max="1" width="31.5546875" style="7" customWidth="1"/>
    <col min="2" max="2" width="20.5546875" style="19" customWidth="1"/>
    <col min="3" max="3" width="18.5546875" style="19" customWidth="1"/>
    <col min="4" max="4" width="10.33203125" style="67" customWidth="1"/>
    <col min="5" max="5" width="11.6640625" style="7" customWidth="1"/>
    <col min="6" max="6" width="9.88671875" style="7" customWidth="1"/>
    <col min="7" max="7" width="11.88671875" style="7" customWidth="1"/>
    <col min="8" max="8" width="9.88671875" style="7" customWidth="1"/>
    <col min="9" max="9" width="10.6640625" style="243" customWidth="1"/>
    <col min="10" max="10" width="13.5546875" style="7" customWidth="1"/>
    <col min="11" max="11" width="7.33203125" style="7" customWidth="1"/>
    <col min="12" max="12" width="6.44140625" style="7" customWidth="1"/>
    <col min="13" max="13" width="10.109375" style="7" customWidth="1"/>
    <col min="14" max="14" width="24.33203125" style="59" customWidth="1"/>
    <col min="15" max="16" width="8" style="7" customWidth="1"/>
    <col min="17" max="16384" width="11.44140625" style="7"/>
  </cols>
  <sheetData>
    <row r="1" spans="1:15" ht="15" customHeight="1" x14ac:dyDescent="0.25">
      <c r="B1" s="181"/>
      <c r="C1" s="181"/>
      <c r="G1" s="8"/>
    </row>
    <row r="2" spans="1:15" ht="15" customHeight="1" x14ac:dyDescent="0.25">
      <c r="A2" s="30"/>
      <c r="B2" s="30"/>
      <c r="C2" s="30"/>
      <c r="D2" s="30"/>
      <c r="E2" s="30"/>
      <c r="F2" s="30"/>
      <c r="G2" s="24"/>
      <c r="H2" s="24"/>
      <c r="I2" s="244"/>
      <c r="J2" s="26"/>
      <c r="K2" s="27"/>
      <c r="L2" s="28"/>
      <c r="M2" s="29"/>
    </row>
    <row r="3" spans="1:15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244"/>
      <c r="J3" s="27"/>
      <c r="K3" s="27"/>
      <c r="L3" s="28"/>
      <c r="M3" s="29"/>
    </row>
    <row r="4" spans="1:15" ht="15" customHeight="1" x14ac:dyDescent="0.25">
      <c r="A4" s="30"/>
      <c r="B4" s="30" t="s">
        <v>1370</v>
      </c>
      <c r="C4" s="30"/>
      <c r="D4" s="64"/>
      <c r="E4" s="30"/>
      <c r="F4" s="30"/>
      <c r="G4" s="24"/>
      <c r="H4" s="25"/>
      <c r="I4" s="244"/>
      <c r="J4" s="27"/>
      <c r="K4" s="27"/>
      <c r="L4" s="28"/>
      <c r="M4" s="29"/>
    </row>
    <row r="5" spans="1:15" ht="15" customHeight="1" thickBot="1" x14ac:dyDescent="0.3">
      <c r="A5" s="30"/>
      <c r="B5" s="30" t="s">
        <v>22</v>
      </c>
      <c r="C5" s="30"/>
      <c r="D5" s="64"/>
      <c r="E5" s="30"/>
      <c r="F5" s="30"/>
      <c r="G5" s="32"/>
      <c r="H5" s="24"/>
      <c r="I5" s="245"/>
      <c r="J5" s="33"/>
      <c r="K5" s="27"/>
      <c r="L5" s="28"/>
      <c r="M5" s="29"/>
    </row>
    <row r="6" spans="1:15" ht="15" customHeight="1" x14ac:dyDescent="0.25">
      <c r="A6" s="34"/>
      <c r="B6" s="182"/>
      <c r="C6" s="182"/>
      <c r="D6" s="195"/>
      <c r="E6" s="33"/>
      <c r="F6" s="33"/>
      <c r="G6" s="35" t="s">
        <v>3</v>
      </c>
      <c r="H6" s="27"/>
      <c r="I6" s="244"/>
      <c r="J6" s="36" t="s">
        <v>4</v>
      </c>
      <c r="K6" s="56" t="s">
        <v>5</v>
      </c>
      <c r="L6" s="40" t="s">
        <v>6</v>
      </c>
      <c r="M6" s="36" t="s">
        <v>7</v>
      </c>
    </row>
    <row r="7" spans="1:15" ht="15" customHeight="1" x14ac:dyDescent="0.25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62" t="s">
        <v>13</v>
      </c>
      <c r="H7" s="13" t="s">
        <v>14</v>
      </c>
      <c r="I7" s="246" t="s">
        <v>15</v>
      </c>
      <c r="J7" s="14" t="s">
        <v>16</v>
      </c>
      <c r="K7" s="57"/>
      <c r="L7" s="58" t="s">
        <v>17</v>
      </c>
      <c r="M7" s="14" t="s">
        <v>39</v>
      </c>
    </row>
    <row r="8" spans="1:15" ht="15" customHeight="1" x14ac:dyDescent="0.25">
      <c r="A8" s="235" t="s">
        <v>420</v>
      </c>
      <c r="B8" s="236" t="s">
        <v>57</v>
      </c>
      <c r="C8" s="237" t="s">
        <v>1488</v>
      </c>
      <c r="D8" s="263">
        <v>45757</v>
      </c>
      <c r="E8" s="267">
        <f>313.65+55.35</f>
        <v>369</v>
      </c>
      <c r="F8" s="267">
        <v>55.35</v>
      </c>
      <c r="G8" s="6">
        <v>190</v>
      </c>
      <c r="H8" s="267">
        <v>47.05</v>
      </c>
      <c r="I8" s="263">
        <v>46038</v>
      </c>
      <c r="J8" s="50">
        <f>190/1.15</f>
        <v>165.21739130434784</v>
      </c>
      <c r="K8" s="47">
        <f t="shared" ref="K8:K34" si="0">+I8-D8</f>
        <v>281</v>
      </c>
      <c r="L8" s="5">
        <v>0.03</v>
      </c>
      <c r="M8" s="6">
        <f t="shared" ref="M8:M34" si="1">+J8*L8</f>
        <v>4.9565217391304355</v>
      </c>
      <c r="O8" s="78"/>
    </row>
    <row r="9" spans="1:15" ht="15" customHeight="1" x14ac:dyDescent="0.25">
      <c r="A9" s="235" t="s">
        <v>77</v>
      </c>
      <c r="B9" s="236" t="s">
        <v>33</v>
      </c>
      <c r="C9" s="237" t="s">
        <v>1408</v>
      </c>
      <c r="D9" s="263">
        <v>45810</v>
      </c>
      <c r="E9" s="267">
        <f>3269.75+1089.92</f>
        <v>4359.67</v>
      </c>
      <c r="F9" s="267">
        <v>1089.92</v>
      </c>
      <c r="G9" s="6">
        <v>500.36</v>
      </c>
      <c r="H9" s="267">
        <v>490.46</v>
      </c>
      <c r="I9" s="263">
        <v>46036</v>
      </c>
      <c r="J9" s="50">
        <f>500.36/1.15</f>
        <v>435.09565217391309</v>
      </c>
      <c r="K9" s="47">
        <f t="shared" si="0"/>
        <v>226</v>
      </c>
      <c r="L9" s="5">
        <v>0.03</v>
      </c>
      <c r="M9" s="6">
        <f t="shared" si="1"/>
        <v>13.052869565217392</v>
      </c>
      <c r="O9" s="78"/>
    </row>
    <row r="10" spans="1:15" ht="15" customHeight="1" x14ac:dyDescent="0.25">
      <c r="A10" s="235" t="s">
        <v>77</v>
      </c>
      <c r="B10" s="236" t="s">
        <v>33</v>
      </c>
      <c r="C10" s="237" t="s">
        <v>1408</v>
      </c>
      <c r="D10" s="263">
        <v>45810</v>
      </c>
      <c r="E10" s="267">
        <f>3269.75+1089.92</f>
        <v>4359.67</v>
      </c>
      <c r="F10" s="267">
        <v>1089.92</v>
      </c>
      <c r="G10" s="6">
        <v>300</v>
      </c>
      <c r="H10" s="267">
        <v>490.46</v>
      </c>
      <c r="I10" s="263">
        <v>46045</v>
      </c>
      <c r="J10" s="50">
        <f>300/1.15</f>
        <v>260.86956521739131</v>
      </c>
      <c r="K10" s="47">
        <f t="shared" si="0"/>
        <v>235</v>
      </c>
      <c r="L10" s="5">
        <v>0.03</v>
      </c>
      <c r="M10" s="6">
        <f t="shared" si="1"/>
        <v>7.8260869565217392</v>
      </c>
      <c r="O10" s="78"/>
    </row>
    <row r="11" spans="1:15" ht="15" customHeight="1" x14ac:dyDescent="0.25">
      <c r="A11" s="235" t="s">
        <v>93</v>
      </c>
      <c r="B11" s="236" t="s">
        <v>95</v>
      </c>
      <c r="C11" s="237" t="s">
        <v>1482</v>
      </c>
      <c r="D11" s="263">
        <v>45908</v>
      </c>
      <c r="E11" s="267">
        <f>164.63+29.05</f>
        <v>193.68</v>
      </c>
      <c r="F11" s="267">
        <v>29.05</v>
      </c>
      <c r="G11" s="6">
        <v>189.32</v>
      </c>
      <c r="H11" s="267">
        <v>24.69</v>
      </c>
      <c r="I11" s="263">
        <v>46044</v>
      </c>
      <c r="J11" s="50">
        <f t="shared" ref="J11:J27" si="2">+E11-F11</f>
        <v>164.63</v>
      </c>
      <c r="K11" s="47">
        <f t="shared" si="0"/>
        <v>136</v>
      </c>
      <c r="L11" s="5">
        <v>0.03</v>
      </c>
      <c r="M11" s="6">
        <f t="shared" si="1"/>
        <v>4.9388999999999994</v>
      </c>
      <c r="O11" s="78"/>
    </row>
    <row r="12" spans="1:15" ht="15" customHeight="1" x14ac:dyDescent="0.25">
      <c r="A12" s="235" t="s">
        <v>121</v>
      </c>
      <c r="B12" s="236" t="s">
        <v>32</v>
      </c>
      <c r="C12" s="237" t="s">
        <v>1483</v>
      </c>
      <c r="D12" s="263">
        <v>45908</v>
      </c>
      <c r="E12" s="267">
        <f>38.76+6.84</f>
        <v>45.599999999999994</v>
      </c>
      <c r="F12" s="267">
        <v>6.84</v>
      </c>
      <c r="G12" s="6">
        <v>44.57</v>
      </c>
      <c r="H12" s="267">
        <v>5.81</v>
      </c>
      <c r="I12" s="263">
        <v>46041</v>
      </c>
      <c r="J12" s="50">
        <f t="shared" si="2"/>
        <v>38.759999999999991</v>
      </c>
      <c r="K12" s="47">
        <f t="shared" si="0"/>
        <v>133</v>
      </c>
      <c r="L12" s="5">
        <v>0.03</v>
      </c>
      <c r="M12" s="6">
        <f t="shared" si="1"/>
        <v>1.1627999999999996</v>
      </c>
      <c r="O12" s="78"/>
    </row>
    <row r="13" spans="1:15" ht="15" customHeight="1" x14ac:dyDescent="0.25">
      <c r="A13" s="235" t="s">
        <v>129</v>
      </c>
      <c r="B13" s="236" t="s">
        <v>30</v>
      </c>
      <c r="C13" s="237" t="s">
        <v>1477</v>
      </c>
      <c r="D13" s="263">
        <v>45936</v>
      </c>
      <c r="E13" s="267">
        <f>93.92+16.57</f>
        <v>110.49000000000001</v>
      </c>
      <c r="F13" s="267">
        <v>16.57</v>
      </c>
      <c r="G13" s="6">
        <v>108.08</v>
      </c>
      <c r="H13" s="267">
        <v>14.09</v>
      </c>
      <c r="I13" s="263">
        <v>46044</v>
      </c>
      <c r="J13" s="50">
        <f t="shared" si="2"/>
        <v>93.920000000000016</v>
      </c>
      <c r="K13" s="47">
        <f t="shared" si="0"/>
        <v>108</v>
      </c>
      <c r="L13" s="5">
        <v>0.03</v>
      </c>
      <c r="M13" s="6">
        <f t="shared" si="1"/>
        <v>2.8176000000000005</v>
      </c>
      <c r="O13" s="78"/>
    </row>
    <row r="14" spans="1:15" ht="15" customHeight="1" x14ac:dyDescent="0.25">
      <c r="A14" s="235" t="s">
        <v>118</v>
      </c>
      <c r="B14" s="236" t="s">
        <v>120</v>
      </c>
      <c r="C14" s="237" t="s">
        <v>1474</v>
      </c>
      <c r="D14" s="263">
        <v>45952</v>
      </c>
      <c r="E14" s="267">
        <f>146.98+25.94</f>
        <v>172.92</v>
      </c>
      <c r="F14" s="267">
        <v>25.94</v>
      </c>
      <c r="G14" s="6">
        <v>159.85</v>
      </c>
      <c r="H14" s="267">
        <v>22.05</v>
      </c>
      <c r="I14" s="263">
        <v>46049</v>
      </c>
      <c r="J14" s="50">
        <f t="shared" si="2"/>
        <v>146.97999999999999</v>
      </c>
      <c r="K14" s="47">
        <f t="shared" si="0"/>
        <v>97</v>
      </c>
      <c r="L14" s="5">
        <v>0.03</v>
      </c>
      <c r="M14" s="6">
        <f t="shared" si="1"/>
        <v>4.4093999999999998</v>
      </c>
      <c r="O14" s="78"/>
    </row>
    <row r="15" spans="1:15" ht="15" customHeight="1" x14ac:dyDescent="0.25">
      <c r="A15" s="235" t="s">
        <v>99</v>
      </c>
      <c r="B15" s="236" t="s">
        <v>120</v>
      </c>
      <c r="C15" s="237" t="s">
        <v>1470</v>
      </c>
      <c r="D15" s="263">
        <v>45953</v>
      </c>
      <c r="E15" s="267">
        <f>113.32+20</f>
        <v>133.32</v>
      </c>
      <c r="F15" s="267">
        <v>20</v>
      </c>
      <c r="G15" s="6">
        <v>128.34</v>
      </c>
      <c r="H15" s="267">
        <v>17</v>
      </c>
      <c r="I15" s="263">
        <v>46052</v>
      </c>
      <c r="J15" s="50">
        <f t="shared" si="2"/>
        <v>113.32</v>
      </c>
      <c r="K15" s="47">
        <f t="shared" si="0"/>
        <v>99</v>
      </c>
      <c r="L15" s="5">
        <v>0.03</v>
      </c>
      <c r="M15" s="6">
        <f t="shared" si="1"/>
        <v>3.3995999999999995</v>
      </c>
      <c r="O15" s="78"/>
    </row>
    <row r="16" spans="1:15" ht="15" customHeight="1" x14ac:dyDescent="0.25">
      <c r="A16" s="235" t="s">
        <v>1469</v>
      </c>
      <c r="B16" s="236" t="s">
        <v>120</v>
      </c>
      <c r="C16" s="237" t="s">
        <v>1480</v>
      </c>
      <c r="D16" s="263">
        <v>45953</v>
      </c>
      <c r="E16" s="267">
        <f>98.33+17.35</f>
        <v>115.68</v>
      </c>
      <c r="F16" s="267">
        <v>17.350000000000001</v>
      </c>
      <c r="G16" s="6">
        <v>113.08</v>
      </c>
      <c r="H16" s="267">
        <v>14.75</v>
      </c>
      <c r="I16" s="263">
        <v>46044</v>
      </c>
      <c r="J16" s="50">
        <f t="shared" si="2"/>
        <v>98.330000000000013</v>
      </c>
      <c r="K16" s="47">
        <f t="shared" si="0"/>
        <v>91</v>
      </c>
      <c r="L16" s="5">
        <v>0.03</v>
      </c>
      <c r="M16" s="6">
        <f t="shared" si="1"/>
        <v>2.9499000000000004</v>
      </c>
      <c r="O16" s="78"/>
    </row>
    <row r="17" spans="1:15" ht="15" customHeight="1" x14ac:dyDescent="0.25">
      <c r="A17" s="235" t="s">
        <v>1227</v>
      </c>
      <c r="B17" s="236" t="s">
        <v>26</v>
      </c>
      <c r="C17" s="237" t="s">
        <v>1479</v>
      </c>
      <c r="D17" s="263">
        <v>45953</v>
      </c>
      <c r="E17" s="267">
        <f>125.77+22.19</f>
        <v>147.96</v>
      </c>
      <c r="F17" s="267">
        <v>22.19</v>
      </c>
      <c r="G17" s="6">
        <v>136.77000000000001</v>
      </c>
      <c r="H17" s="267">
        <v>18.86</v>
      </c>
      <c r="I17" s="263">
        <v>46044</v>
      </c>
      <c r="J17" s="50">
        <f t="shared" si="2"/>
        <v>125.77000000000001</v>
      </c>
      <c r="K17" s="47">
        <f t="shared" si="0"/>
        <v>91</v>
      </c>
      <c r="L17" s="5">
        <v>0.03</v>
      </c>
      <c r="M17" s="6">
        <f t="shared" si="1"/>
        <v>3.7731000000000003</v>
      </c>
      <c r="O17" s="78"/>
    </row>
    <row r="18" spans="1:15" ht="15" customHeight="1" x14ac:dyDescent="0.25">
      <c r="A18" s="235" t="s">
        <v>47</v>
      </c>
      <c r="B18" s="236" t="s">
        <v>18</v>
      </c>
      <c r="C18" s="237" t="s">
        <v>1472</v>
      </c>
      <c r="D18" s="263">
        <v>45968</v>
      </c>
      <c r="E18" s="267">
        <f>146.88+36.72</f>
        <v>183.6</v>
      </c>
      <c r="F18" s="267">
        <v>36.72</v>
      </c>
      <c r="G18" s="6">
        <v>168.91</v>
      </c>
      <c r="H18" s="267">
        <v>22.03</v>
      </c>
      <c r="I18" s="263">
        <v>46051</v>
      </c>
      <c r="J18" s="50">
        <f t="shared" si="2"/>
        <v>146.88</v>
      </c>
      <c r="K18" s="47">
        <f t="shared" si="0"/>
        <v>83</v>
      </c>
      <c r="L18" s="5">
        <v>0.03</v>
      </c>
      <c r="M18" s="6">
        <f t="shared" si="1"/>
        <v>4.4063999999999997</v>
      </c>
      <c r="O18" s="78"/>
    </row>
    <row r="19" spans="1:15" ht="15" customHeight="1" x14ac:dyDescent="0.25">
      <c r="A19" s="235" t="s">
        <v>56</v>
      </c>
      <c r="B19" s="236" t="s">
        <v>57</v>
      </c>
      <c r="C19" s="237" t="s">
        <v>1481</v>
      </c>
      <c r="D19" s="263">
        <v>45985</v>
      </c>
      <c r="E19" s="267">
        <f>67.32+11.88</f>
        <v>79.199999999999989</v>
      </c>
      <c r="F19" s="267">
        <v>11.88</v>
      </c>
      <c r="G19" s="6">
        <v>77.42</v>
      </c>
      <c r="H19" s="267">
        <v>10.1</v>
      </c>
      <c r="I19" s="263">
        <v>46044</v>
      </c>
      <c r="J19" s="50">
        <f t="shared" si="2"/>
        <v>67.319999999999993</v>
      </c>
      <c r="K19" s="47">
        <f t="shared" si="0"/>
        <v>59</v>
      </c>
      <c r="L19" s="5">
        <v>0.03</v>
      </c>
      <c r="M19" s="6">
        <f t="shared" si="1"/>
        <v>2.0195999999999996</v>
      </c>
      <c r="O19" s="78"/>
    </row>
    <row r="20" spans="1:15" ht="15" customHeight="1" x14ac:dyDescent="0.25">
      <c r="A20" s="235" t="s">
        <v>80</v>
      </c>
      <c r="B20" s="236" t="s">
        <v>18</v>
      </c>
      <c r="C20" s="237" t="s">
        <v>1494</v>
      </c>
      <c r="D20" s="263">
        <v>45985</v>
      </c>
      <c r="E20" s="267">
        <f>489.6+122.4</f>
        <v>612</v>
      </c>
      <c r="F20" s="267">
        <v>122.4</v>
      </c>
      <c r="G20" s="6">
        <v>532.44000000000005</v>
      </c>
      <c r="H20" s="267">
        <v>73.44</v>
      </c>
      <c r="I20" s="263">
        <v>46029</v>
      </c>
      <c r="J20" s="50">
        <f t="shared" si="2"/>
        <v>489.6</v>
      </c>
      <c r="K20" s="47">
        <f t="shared" si="0"/>
        <v>44</v>
      </c>
      <c r="L20" s="5">
        <v>0.03</v>
      </c>
      <c r="M20" s="6">
        <f t="shared" si="1"/>
        <v>14.688000000000001</v>
      </c>
      <c r="O20" s="78"/>
    </row>
    <row r="21" spans="1:15" ht="15" customHeight="1" x14ac:dyDescent="0.25">
      <c r="A21" s="235" t="s">
        <v>34</v>
      </c>
      <c r="B21" s="236" t="s">
        <v>18</v>
      </c>
      <c r="C21" s="237" t="s">
        <v>1476</v>
      </c>
      <c r="D21" s="263">
        <v>45993</v>
      </c>
      <c r="E21" s="267">
        <f>223.69+39.47</f>
        <v>263.15999999999997</v>
      </c>
      <c r="F21" s="267">
        <v>39.47</v>
      </c>
      <c r="G21" s="6">
        <v>243.26</v>
      </c>
      <c r="H21" s="267">
        <v>33.549999999999997</v>
      </c>
      <c r="I21" s="263">
        <v>46045</v>
      </c>
      <c r="J21" s="50">
        <f t="shared" si="2"/>
        <v>223.68999999999997</v>
      </c>
      <c r="K21" s="47">
        <f t="shared" si="0"/>
        <v>52</v>
      </c>
      <c r="L21" s="5">
        <v>0.03</v>
      </c>
      <c r="M21" s="6">
        <f t="shared" si="1"/>
        <v>6.7106999999999992</v>
      </c>
      <c r="O21" s="78"/>
    </row>
    <row r="22" spans="1:15" ht="15" customHeight="1" x14ac:dyDescent="0.25">
      <c r="A22" s="235" t="s">
        <v>71</v>
      </c>
      <c r="B22" s="236" t="s">
        <v>24</v>
      </c>
      <c r="C22" s="237" t="s">
        <v>1493</v>
      </c>
      <c r="D22" s="263">
        <v>45996</v>
      </c>
      <c r="E22" s="267">
        <f>324.9+108.3</f>
        <v>433.2</v>
      </c>
      <c r="F22" s="267">
        <v>108.3</v>
      </c>
      <c r="G22" s="6">
        <v>353.33</v>
      </c>
      <c r="H22" s="267">
        <v>48.74</v>
      </c>
      <c r="I22" s="263">
        <v>46031</v>
      </c>
      <c r="J22" s="50">
        <f t="shared" si="2"/>
        <v>324.89999999999998</v>
      </c>
      <c r="K22" s="47">
        <f t="shared" si="0"/>
        <v>35</v>
      </c>
      <c r="L22" s="5">
        <v>0.03</v>
      </c>
      <c r="M22" s="6">
        <f t="shared" si="1"/>
        <v>9.7469999999999981</v>
      </c>
      <c r="O22" s="78"/>
    </row>
    <row r="23" spans="1:15" ht="15" customHeight="1" x14ac:dyDescent="0.25">
      <c r="A23" s="235" t="s">
        <v>80</v>
      </c>
      <c r="B23" s="236" t="s">
        <v>18</v>
      </c>
      <c r="C23" s="237" t="s">
        <v>1492</v>
      </c>
      <c r="D23" s="263">
        <v>46003</v>
      </c>
      <c r="E23" s="267">
        <f>81.6+20.4</f>
        <v>102</v>
      </c>
      <c r="F23" s="267">
        <v>20.399999999999999</v>
      </c>
      <c r="G23" s="6">
        <v>88.74</v>
      </c>
      <c r="H23" s="267">
        <v>12.24</v>
      </c>
      <c r="I23" s="263">
        <v>46034</v>
      </c>
      <c r="J23" s="50">
        <f t="shared" si="2"/>
        <v>81.599999999999994</v>
      </c>
      <c r="K23" s="47">
        <f t="shared" si="0"/>
        <v>31</v>
      </c>
      <c r="L23" s="5">
        <v>0.03</v>
      </c>
      <c r="M23" s="6">
        <f t="shared" si="1"/>
        <v>2.448</v>
      </c>
      <c r="O23" s="78"/>
    </row>
    <row r="24" spans="1:15" ht="15" customHeight="1" x14ac:dyDescent="0.25">
      <c r="A24" s="235" t="s">
        <v>38</v>
      </c>
      <c r="B24" s="236" t="s">
        <v>18</v>
      </c>
      <c r="C24" s="237" t="s">
        <v>1485</v>
      </c>
      <c r="D24" s="263">
        <v>46007</v>
      </c>
      <c r="E24" s="267">
        <f>23.87+6.73</f>
        <v>30.6</v>
      </c>
      <c r="F24" s="267">
        <v>6.73</v>
      </c>
      <c r="G24" s="6">
        <v>25.96</v>
      </c>
      <c r="H24" s="267">
        <v>3.58</v>
      </c>
      <c r="I24" s="263">
        <v>46038</v>
      </c>
      <c r="J24" s="50">
        <f t="shared" si="2"/>
        <v>23.87</v>
      </c>
      <c r="K24" s="47">
        <f t="shared" si="0"/>
        <v>31</v>
      </c>
      <c r="L24" s="5">
        <v>0.03</v>
      </c>
      <c r="M24" s="6">
        <f t="shared" si="1"/>
        <v>0.71609999999999996</v>
      </c>
      <c r="O24" s="78"/>
    </row>
    <row r="25" spans="1:15" ht="15" customHeight="1" x14ac:dyDescent="0.25">
      <c r="A25" s="235" t="s">
        <v>38</v>
      </c>
      <c r="B25" s="236" t="s">
        <v>18</v>
      </c>
      <c r="C25" s="237" t="s">
        <v>1486</v>
      </c>
      <c r="D25" s="263">
        <v>46008</v>
      </c>
      <c r="E25" s="267">
        <f>86.49+24.39</f>
        <v>110.88</v>
      </c>
      <c r="F25" s="267">
        <v>24.39</v>
      </c>
      <c r="G25" s="6">
        <v>94.06</v>
      </c>
      <c r="H25" s="267">
        <v>12.97</v>
      </c>
      <c r="I25" s="263">
        <v>46038</v>
      </c>
      <c r="J25" s="50">
        <f t="shared" si="2"/>
        <v>86.49</v>
      </c>
      <c r="K25" s="47">
        <f t="shared" si="0"/>
        <v>30</v>
      </c>
      <c r="L25" s="5">
        <v>3.5000000000000003E-2</v>
      </c>
      <c r="M25" s="6">
        <f t="shared" si="1"/>
        <v>3.0271500000000002</v>
      </c>
      <c r="O25" s="78"/>
    </row>
    <row r="26" spans="1:15" ht="15" customHeight="1" x14ac:dyDescent="0.25">
      <c r="A26" s="235" t="s">
        <v>130</v>
      </c>
      <c r="B26" s="236" t="s">
        <v>84</v>
      </c>
      <c r="C26" s="237" t="s">
        <v>1487</v>
      </c>
      <c r="D26" s="263">
        <v>46020</v>
      </c>
      <c r="E26" s="267">
        <f>130.05+22.95</f>
        <v>153</v>
      </c>
      <c r="F26" s="267">
        <v>22.95</v>
      </c>
      <c r="G26" s="6">
        <v>149.56</v>
      </c>
      <c r="H26" s="267">
        <v>19.510000000000002</v>
      </c>
      <c r="I26" s="263">
        <v>46041</v>
      </c>
      <c r="J26" s="50">
        <f t="shared" si="2"/>
        <v>130.05000000000001</v>
      </c>
      <c r="K26" s="47">
        <f t="shared" si="0"/>
        <v>21</v>
      </c>
      <c r="L26" s="5">
        <v>3.5000000000000003E-2</v>
      </c>
      <c r="M26" s="6">
        <f t="shared" si="1"/>
        <v>4.5517500000000011</v>
      </c>
      <c r="O26" s="78"/>
    </row>
    <row r="27" spans="1:15" ht="15" customHeight="1" x14ac:dyDescent="0.25">
      <c r="A27" s="235" t="s">
        <v>80</v>
      </c>
      <c r="B27" s="236" t="s">
        <v>18</v>
      </c>
      <c r="C27" s="237" t="s">
        <v>1475</v>
      </c>
      <c r="D27" s="263">
        <v>46028</v>
      </c>
      <c r="E27" s="267">
        <f>326.4+81.6</f>
        <v>408</v>
      </c>
      <c r="F27" s="267">
        <v>81.599999999999994</v>
      </c>
      <c r="G27" s="6">
        <v>354.96</v>
      </c>
      <c r="H27" s="267">
        <v>48.96</v>
      </c>
      <c r="I27" s="263">
        <v>46048</v>
      </c>
      <c r="J27" s="50">
        <f t="shared" si="2"/>
        <v>326.39999999999998</v>
      </c>
      <c r="K27" s="47">
        <f t="shared" si="0"/>
        <v>20</v>
      </c>
      <c r="L27" s="5">
        <v>3.5000000000000003E-2</v>
      </c>
      <c r="M27" s="6">
        <f t="shared" si="1"/>
        <v>11.423999999999999</v>
      </c>
      <c r="O27" s="78"/>
    </row>
    <row r="28" spans="1:15" ht="15" customHeight="1" x14ac:dyDescent="0.25">
      <c r="A28" s="235" t="s">
        <v>60</v>
      </c>
      <c r="B28" s="236" t="s">
        <v>61</v>
      </c>
      <c r="C28" s="237" t="s">
        <v>1471</v>
      </c>
      <c r="D28" s="263">
        <v>46029</v>
      </c>
      <c r="E28" s="267">
        <f>292.84+51.68</f>
        <v>344.52</v>
      </c>
      <c r="F28" s="267">
        <v>51.68</v>
      </c>
      <c r="G28" s="6">
        <v>136.77000000000001</v>
      </c>
      <c r="H28" s="267">
        <v>43.93</v>
      </c>
      <c r="I28" s="263">
        <v>46052</v>
      </c>
      <c r="J28" s="50">
        <f>136.77/1.15</f>
        <v>118.93043478260871</v>
      </c>
      <c r="K28" s="47">
        <f t="shared" si="0"/>
        <v>23</v>
      </c>
      <c r="L28" s="5">
        <v>3.5000000000000003E-2</v>
      </c>
      <c r="M28" s="6">
        <f t="shared" si="1"/>
        <v>4.1625652173913057</v>
      </c>
      <c r="O28" s="78"/>
    </row>
    <row r="29" spans="1:15" ht="15" customHeight="1" x14ac:dyDescent="0.25">
      <c r="A29" s="235" t="s">
        <v>25</v>
      </c>
      <c r="B29" s="236" t="s">
        <v>30</v>
      </c>
      <c r="C29" s="237" t="s">
        <v>1489</v>
      </c>
      <c r="D29" s="263">
        <v>46030</v>
      </c>
      <c r="E29" s="267">
        <f>519.57+173.19</f>
        <v>692.76</v>
      </c>
      <c r="F29" s="267">
        <v>173.19</v>
      </c>
      <c r="G29" s="6">
        <v>565.04</v>
      </c>
      <c r="H29" s="267">
        <v>77.94</v>
      </c>
      <c r="I29" s="263">
        <v>46036</v>
      </c>
      <c r="J29" s="50">
        <f t="shared" ref="J29:J34" si="3">+E29-F29</f>
        <v>519.56999999999994</v>
      </c>
      <c r="K29" s="47">
        <f t="shared" si="0"/>
        <v>6</v>
      </c>
      <c r="L29" s="5">
        <v>0.04</v>
      </c>
      <c r="M29" s="6">
        <f t="shared" si="1"/>
        <v>20.782799999999998</v>
      </c>
      <c r="O29" s="78"/>
    </row>
    <row r="30" spans="1:15" ht="15" customHeight="1" x14ac:dyDescent="0.25">
      <c r="A30" s="235" t="s">
        <v>40</v>
      </c>
      <c r="B30" s="236" t="s">
        <v>18</v>
      </c>
      <c r="C30" s="237" t="s">
        <v>1490</v>
      </c>
      <c r="D30" s="263">
        <v>46034</v>
      </c>
      <c r="E30" s="267">
        <f>204+68</f>
        <v>272</v>
      </c>
      <c r="F30" s="267">
        <v>68</v>
      </c>
      <c r="G30" s="6">
        <v>210.12</v>
      </c>
      <c r="H30" s="267">
        <v>30.6</v>
      </c>
      <c r="I30" s="263">
        <v>46035</v>
      </c>
      <c r="J30" s="50">
        <f t="shared" si="3"/>
        <v>204</v>
      </c>
      <c r="K30" s="47">
        <f t="shared" si="0"/>
        <v>1</v>
      </c>
      <c r="L30" s="5">
        <v>0.04</v>
      </c>
      <c r="M30" s="6">
        <f t="shared" si="1"/>
        <v>8.16</v>
      </c>
      <c r="O30" s="78"/>
    </row>
    <row r="31" spans="1:15" ht="15" customHeight="1" x14ac:dyDescent="0.25">
      <c r="A31" s="235" t="s">
        <v>40</v>
      </c>
      <c r="B31" s="236" t="s">
        <v>18</v>
      </c>
      <c r="C31" s="237" t="s">
        <v>1491</v>
      </c>
      <c r="D31" s="263">
        <v>46034</v>
      </c>
      <c r="E31" s="267">
        <f>124.65+41.55</f>
        <v>166.2</v>
      </c>
      <c r="F31" s="267">
        <v>41.55</v>
      </c>
      <c r="G31" s="6">
        <v>128.4</v>
      </c>
      <c r="H31" s="267">
        <v>18.7</v>
      </c>
      <c r="I31" s="263">
        <v>46035</v>
      </c>
      <c r="J31" s="50">
        <f t="shared" si="3"/>
        <v>124.64999999999999</v>
      </c>
      <c r="K31" s="47">
        <f t="shared" si="0"/>
        <v>1</v>
      </c>
      <c r="L31" s="5">
        <v>0.04</v>
      </c>
      <c r="M31" s="6">
        <f t="shared" si="1"/>
        <v>4.9859999999999998</v>
      </c>
      <c r="O31" s="78"/>
    </row>
    <row r="32" spans="1:15" ht="15" customHeight="1" x14ac:dyDescent="0.25">
      <c r="A32" s="235" t="s">
        <v>38</v>
      </c>
      <c r="B32" s="236" t="s">
        <v>18</v>
      </c>
      <c r="C32" s="237" t="s">
        <v>1473</v>
      </c>
      <c r="D32" s="263">
        <v>46036</v>
      </c>
      <c r="E32" s="267">
        <f>88.92+25.08</f>
        <v>114</v>
      </c>
      <c r="F32" s="267">
        <v>25.08</v>
      </c>
      <c r="G32" s="6">
        <v>96.7</v>
      </c>
      <c r="H32" s="267">
        <v>13.34</v>
      </c>
      <c r="I32" s="263">
        <v>46049</v>
      </c>
      <c r="J32" s="50">
        <f t="shared" si="3"/>
        <v>88.92</v>
      </c>
      <c r="K32" s="47">
        <f t="shared" si="0"/>
        <v>13</v>
      </c>
      <c r="L32" s="5">
        <v>3.5000000000000003E-2</v>
      </c>
      <c r="M32" s="6">
        <f t="shared" si="1"/>
        <v>3.1122000000000005</v>
      </c>
      <c r="O32" s="78"/>
    </row>
    <row r="33" spans="1:15" ht="15" customHeight="1" x14ac:dyDescent="0.25">
      <c r="A33" s="235" t="s">
        <v>1468</v>
      </c>
      <c r="B33" s="236" t="s">
        <v>57</v>
      </c>
      <c r="C33" s="237" t="s">
        <v>1478</v>
      </c>
      <c r="D33" s="263">
        <v>46038</v>
      </c>
      <c r="E33" s="267">
        <f>98.24+14.68</f>
        <v>112.91999999999999</v>
      </c>
      <c r="F33" s="267">
        <v>14.68</v>
      </c>
      <c r="G33" s="6">
        <v>112.98</v>
      </c>
      <c r="H33" s="267">
        <v>14.74</v>
      </c>
      <c r="I33" s="263">
        <v>46044</v>
      </c>
      <c r="J33" s="50">
        <f t="shared" si="3"/>
        <v>98.239999999999981</v>
      </c>
      <c r="K33" s="47">
        <f t="shared" si="0"/>
        <v>6</v>
      </c>
      <c r="L33" s="5">
        <v>0.04</v>
      </c>
      <c r="M33" s="6">
        <f t="shared" si="1"/>
        <v>3.9295999999999993</v>
      </c>
      <c r="O33" s="78"/>
    </row>
    <row r="34" spans="1:15" ht="15" customHeight="1" x14ac:dyDescent="0.25">
      <c r="A34" s="235" t="s">
        <v>41</v>
      </c>
      <c r="B34" s="236" t="s">
        <v>18</v>
      </c>
      <c r="C34" s="237" t="s">
        <v>1484</v>
      </c>
      <c r="D34" s="263">
        <v>46041</v>
      </c>
      <c r="E34" s="267">
        <f>530.4+132.6</f>
        <v>663</v>
      </c>
      <c r="F34" s="267">
        <v>132.6</v>
      </c>
      <c r="G34" s="6">
        <v>576.80999999999995</v>
      </c>
      <c r="H34" s="267">
        <v>79.56</v>
      </c>
      <c r="I34" s="263">
        <v>46041</v>
      </c>
      <c r="J34" s="50">
        <f t="shared" si="3"/>
        <v>530.4</v>
      </c>
      <c r="K34" s="47">
        <f t="shared" si="0"/>
        <v>0</v>
      </c>
      <c r="L34" s="5">
        <v>0.04</v>
      </c>
      <c r="M34" s="6">
        <f t="shared" si="1"/>
        <v>21.216000000000001</v>
      </c>
      <c r="O34" s="78"/>
    </row>
    <row r="35" spans="1:15" ht="15" customHeight="1" x14ac:dyDescent="0.25">
      <c r="A35" s="235"/>
      <c r="B35" s="231"/>
      <c r="C35" s="184"/>
      <c r="D35" s="216"/>
      <c r="E35" s="232"/>
      <c r="F35" s="232"/>
      <c r="G35" s="232"/>
      <c r="H35" s="87"/>
      <c r="I35" s="247"/>
      <c r="J35" s="50"/>
      <c r="K35" s="47"/>
      <c r="L35" s="5"/>
      <c r="M35" s="6"/>
      <c r="O35" s="78"/>
    </row>
    <row r="36" spans="1:15" ht="15" customHeight="1" x14ac:dyDescent="0.25">
      <c r="A36" s="235"/>
      <c r="B36" s="231"/>
      <c r="C36" s="184"/>
      <c r="D36" s="216"/>
      <c r="E36" s="232"/>
      <c r="F36" s="232"/>
      <c r="G36" s="232"/>
      <c r="H36" s="87"/>
      <c r="I36" s="247"/>
      <c r="J36" s="50"/>
      <c r="K36" s="47"/>
      <c r="L36" s="5"/>
      <c r="M36" s="6"/>
      <c r="O36" s="78"/>
    </row>
    <row r="37" spans="1:15" ht="15" customHeight="1" x14ac:dyDescent="0.25">
      <c r="A37" s="171"/>
      <c r="B37" s="160"/>
      <c r="C37" s="171"/>
      <c r="D37" s="201"/>
      <c r="E37" s="87"/>
      <c r="F37" s="87"/>
      <c r="G37" s="94"/>
      <c r="H37" s="87"/>
      <c r="I37" s="247"/>
      <c r="J37" s="50"/>
      <c r="K37" s="47"/>
      <c r="L37" s="5"/>
      <c r="M37" s="6"/>
      <c r="O37" s="78"/>
    </row>
    <row r="38" spans="1:15" ht="15" customHeight="1" x14ac:dyDescent="0.3">
      <c r="G38" s="16">
        <f>SUM(G8:G37)</f>
        <v>5785.8299999999981</v>
      </c>
      <c r="J38" s="16">
        <f>SUM(J8:J37)</f>
        <v>5228.4030434782599</v>
      </c>
      <c r="M38" s="16">
        <f>SUM(M8:M37)</f>
        <v>175.37464347826085</v>
      </c>
      <c r="O38" s="78"/>
    </row>
    <row r="39" spans="1:15" ht="15" customHeight="1" x14ac:dyDescent="0.25">
      <c r="G39" s="8"/>
      <c r="H39" s="8"/>
      <c r="O39" s="78"/>
    </row>
    <row r="40" spans="1:15" ht="15" customHeight="1" x14ac:dyDescent="0.25">
      <c r="A40" s="17" t="s">
        <v>19</v>
      </c>
      <c r="B40" s="18" t="s">
        <v>20</v>
      </c>
      <c r="C40" s="18" t="s">
        <v>21</v>
      </c>
      <c r="J40" s="8"/>
      <c r="O40" s="78"/>
    </row>
    <row r="41" spans="1:15" s="52" customFormat="1" x14ac:dyDescent="0.25">
      <c r="A41" s="235" t="s">
        <v>46</v>
      </c>
      <c r="B41" s="235" t="s">
        <v>1496</v>
      </c>
      <c r="C41" s="269" t="s">
        <v>1499</v>
      </c>
      <c r="D41" s="263">
        <v>46045</v>
      </c>
      <c r="E41" s="267">
        <f>475.01+118.75</f>
        <v>593.76</v>
      </c>
      <c r="F41" s="267">
        <v>118.75</v>
      </c>
      <c r="G41" s="6">
        <v>516.57000000000005</v>
      </c>
      <c r="H41" s="267">
        <v>71.25</v>
      </c>
      <c r="I41" s="263">
        <v>46076</v>
      </c>
      <c r="J41" s="50">
        <f>+E41-F41</f>
        <v>475.01</v>
      </c>
      <c r="K41" s="47">
        <f>+I41-D41</f>
        <v>31</v>
      </c>
      <c r="L41" s="48">
        <v>0.03</v>
      </c>
      <c r="M41" s="49">
        <f>+J41*L41</f>
        <v>14.250299999999999</v>
      </c>
      <c r="N41" s="60"/>
      <c r="O41" s="78"/>
    </row>
    <row r="42" spans="1:15" s="52" customFormat="1" x14ac:dyDescent="0.25">
      <c r="A42" s="235" t="s">
        <v>52</v>
      </c>
      <c r="B42" s="235" t="s">
        <v>1497</v>
      </c>
      <c r="C42" s="237" t="s">
        <v>1500</v>
      </c>
      <c r="D42" s="263">
        <v>46028</v>
      </c>
      <c r="E42" s="267">
        <f>91.08+30.36</f>
        <v>121.44</v>
      </c>
      <c r="F42" s="267">
        <v>30.36</v>
      </c>
      <c r="G42" s="6">
        <v>99.05</v>
      </c>
      <c r="H42" s="267">
        <v>13.66</v>
      </c>
      <c r="I42" s="263">
        <v>46102</v>
      </c>
      <c r="J42" s="50">
        <f t="shared" ref="J42:J45" si="4">+E42-F42</f>
        <v>91.08</v>
      </c>
      <c r="K42" s="47">
        <f t="shared" ref="K42:K45" si="5">+I42-D42</f>
        <v>74</v>
      </c>
      <c r="L42" s="48">
        <v>0.03</v>
      </c>
      <c r="M42" s="49">
        <f t="shared" ref="M42:M45" si="6">+J42*L42</f>
        <v>2.7323999999999997</v>
      </c>
      <c r="N42" s="60"/>
      <c r="O42" s="78"/>
    </row>
    <row r="43" spans="1:15" s="52" customFormat="1" x14ac:dyDescent="0.25">
      <c r="A43" s="235" t="s">
        <v>52</v>
      </c>
      <c r="B43" s="235" t="s">
        <v>1497</v>
      </c>
      <c r="C43" s="237" t="s">
        <v>1501</v>
      </c>
      <c r="D43" s="263">
        <v>46030</v>
      </c>
      <c r="E43" s="267">
        <f>76.5+25.5</f>
        <v>102</v>
      </c>
      <c r="F43" s="267">
        <v>25.5</v>
      </c>
      <c r="G43" s="6">
        <v>83.2</v>
      </c>
      <c r="H43" s="267">
        <v>11.48</v>
      </c>
      <c r="I43" s="263">
        <v>46102</v>
      </c>
      <c r="J43" s="50">
        <f t="shared" si="4"/>
        <v>76.5</v>
      </c>
      <c r="K43" s="47">
        <f t="shared" si="5"/>
        <v>72</v>
      </c>
      <c r="L43" s="48">
        <v>0.03</v>
      </c>
      <c r="M43" s="49">
        <f t="shared" si="6"/>
        <v>2.2949999999999999</v>
      </c>
      <c r="N43" s="60"/>
      <c r="O43" s="78"/>
    </row>
    <row r="44" spans="1:15" s="52" customFormat="1" x14ac:dyDescent="0.25">
      <c r="A44" s="235" t="s">
        <v>52</v>
      </c>
      <c r="B44" s="235" t="s">
        <v>1497</v>
      </c>
      <c r="C44" s="237" t="s">
        <v>1502</v>
      </c>
      <c r="D44" s="263">
        <v>46050</v>
      </c>
      <c r="E44" s="267">
        <f>315+105</f>
        <v>420</v>
      </c>
      <c r="F44" s="267">
        <v>105</v>
      </c>
      <c r="G44" s="6">
        <v>342.56</v>
      </c>
      <c r="H44" s="267">
        <v>47.25</v>
      </c>
      <c r="I44" s="263">
        <v>46102</v>
      </c>
      <c r="J44" s="50">
        <f t="shared" si="4"/>
        <v>315</v>
      </c>
      <c r="K44" s="47">
        <f t="shared" si="5"/>
        <v>52</v>
      </c>
      <c r="L44" s="48">
        <v>0.03</v>
      </c>
      <c r="M44" s="49">
        <f t="shared" si="6"/>
        <v>9.4499999999999993</v>
      </c>
      <c r="N44" s="60"/>
      <c r="O44" s="78"/>
    </row>
    <row r="45" spans="1:15" s="52" customFormat="1" x14ac:dyDescent="0.25">
      <c r="A45" s="235" t="s">
        <v>1495</v>
      </c>
      <c r="B45" s="235" t="s">
        <v>1498</v>
      </c>
      <c r="C45" s="237" t="s">
        <v>1503</v>
      </c>
      <c r="D45" s="263">
        <v>45953</v>
      </c>
      <c r="E45" s="267">
        <f>1193.4+210.6</f>
        <v>1404</v>
      </c>
      <c r="F45" s="267">
        <v>210.6</v>
      </c>
      <c r="G45" s="6">
        <v>1297.83</v>
      </c>
      <c r="H45" s="267">
        <v>179.01</v>
      </c>
      <c r="I45" s="263">
        <v>46081</v>
      </c>
      <c r="J45" s="50">
        <f t="shared" si="4"/>
        <v>1193.4000000000001</v>
      </c>
      <c r="K45" s="47">
        <f t="shared" si="5"/>
        <v>128</v>
      </c>
      <c r="L45" s="48">
        <v>0.03</v>
      </c>
      <c r="M45" s="49">
        <f t="shared" si="6"/>
        <v>35.802</v>
      </c>
      <c r="N45" s="230"/>
      <c r="O45" s="78"/>
    </row>
    <row r="46" spans="1:15" s="52" customFormat="1" ht="15" x14ac:dyDescent="0.25">
      <c r="A46" s="101"/>
      <c r="B46" s="102"/>
      <c r="C46" s="102"/>
      <c r="D46" s="105"/>
      <c r="E46" s="188"/>
      <c r="F46" s="188"/>
      <c r="G46" s="188"/>
      <c r="H46" s="104"/>
      <c r="I46" s="248"/>
      <c r="J46" s="50"/>
      <c r="K46" s="47"/>
      <c r="L46" s="48"/>
      <c r="M46" s="49"/>
      <c r="N46" s="60"/>
      <c r="O46" s="78"/>
    </row>
    <row r="47" spans="1:15" s="52" customFormat="1" ht="15.6" thickBot="1" x14ac:dyDescent="0.3">
      <c r="A47" s="101"/>
      <c r="B47" s="102"/>
      <c r="C47" s="101"/>
      <c r="D47" s="105"/>
      <c r="E47" s="92"/>
      <c r="F47" s="92"/>
      <c r="G47" s="90"/>
      <c r="H47" s="92"/>
      <c r="I47" s="248"/>
      <c r="J47" s="50"/>
      <c r="K47" s="47"/>
      <c r="L47" s="48"/>
      <c r="M47" s="49"/>
      <c r="N47" s="60"/>
      <c r="O47" s="78"/>
    </row>
    <row r="48" spans="1:15" ht="15" customHeight="1" thickBot="1" x14ac:dyDescent="0.35">
      <c r="A48" s="332" t="s">
        <v>29</v>
      </c>
      <c r="B48" s="332"/>
      <c r="C48" s="332"/>
      <c r="D48" s="332"/>
      <c r="E48" s="332"/>
      <c r="F48" s="332"/>
      <c r="G48" s="16">
        <f>SUM(G38:G47)</f>
        <v>8125.0399999999981</v>
      </c>
      <c r="J48" s="16">
        <f>SUM(J38:J47)</f>
        <v>7379.3930434782596</v>
      </c>
      <c r="L48" s="20"/>
      <c r="M48" s="21">
        <f>SUM(M38:M47)</f>
        <v>239.90434347826084</v>
      </c>
    </row>
    <row r="49" spans="1:15" ht="15" customHeight="1" x14ac:dyDescent="0.3">
      <c r="A49" s="22"/>
      <c r="G49" s="8"/>
    </row>
    <row r="50" spans="1:15" ht="15" customHeight="1" x14ac:dyDescent="0.3">
      <c r="A50" s="39"/>
      <c r="G50" s="8"/>
      <c r="J50" s="8"/>
    </row>
    <row r="51" spans="1:15" ht="15" customHeight="1" x14ac:dyDescent="0.3">
      <c r="A51" s="39"/>
      <c r="G51" s="8"/>
      <c r="J51" s="8"/>
    </row>
    <row r="52" spans="1:15" ht="15" customHeight="1" x14ac:dyDescent="0.3">
      <c r="A52" s="39"/>
      <c r="G52" s="8"/>
      <c r="J52" s="8"/>
    </row>
    <row r="53" spans="1:15" ht="15" customHeight="1" x14ac:dyDescent="0.3">
      <c r="A53" s="39"/>
      <c r="G53" s="8"/>
      <c r="J53" s="8"/>
      <c r="M53" s="185">
        <f>M48/12</f>
        <v>19.992028623188403</v>
      </c>
      <c r="N53" s="59" t="s">
        <v>1505</v>
      </c>
    </row>
    <row r="54" spans="1:15" ht="15" customHeight="1" x14ac:dyDescent="0.3">
      <c r="A54" s="39"/>
      <c r="G54" s="8"/>
      <c r="J54" s="8"/>
      <c r="M54" s="185">
        <f>M48/24</f>
        <v>9.9960143115942017</v>
      </c>
      <c r="N54" s="59" t="s">
        <v>1505</v>
      </c>
    </row>
    <row r="55" spans="1:15" ht="15" customHeight="1" x14ac:dyDescent="0.25">
      <c r="A55" s="30" t="s">
        <v>0</v>
      </c>
      <c r="B55" s="30"/>
      <c r="C55" s="30"/>
      <c r="D55" s="30"/>
      <c r="E55" s="30"/>
      <c r="F55" s="30"/>
      <c r="G55" s="24"/>
      <c r="H55" s="25"/>
      <c r="I55" s="249"/>
      <c r="J55" s="26"/>
      <c r="K55" s="27"/>
      <c r="L55" s="28"/>
      <c r="M55" s="29"/>
    </row>
    <row r="56" spans="1:15" ht="15" customHeight="1" x14ac:dyDescent="0.25">
      <c r="A56" s="30" t="s">
        <v>1</v>
      </c>
      <c r="B56" s="30"/>
      <c r="C56" s="30"/>
      <c r="D56" s="30"/>
      <c r="E56" s="30"/>
      <c r="F56" s="30"/>
      <c r="G56" s="24"/>
      <c r="H56" s="25"/>
      <c r="I56" s="249"/>
      <c r="J56" s="27"/>
      <c r="K56" s="27"/>
      <c r="L56" s="28"/>
      <c r="M56" s="29"/>
    </row>
    <row r="57" spans="1:15" ht="15" customHeight="1" x14ac:dyDescent="0.25">
      <c r="A57" s="30"/>
      <c r="B57" s="30" t="s">
        <v>1370</v>
      </c>
      <c r="C57" s="30"/>
      <c r="D57" s="64"/>
      <c r="E57" s="30"/>
      <c r="F57" s="30"/>
      <c r="G57" s="24"/>
      <c r="H57" s="25"/>
      <c r="I57" s="249"/>
      <c r="J57" s="27"/>
      <c r="K57" s="27"/>
      <c r="L57" s="28"/>
      <c r="M57" s="29"/>
    </row>
    <row r="58" spans="1:15" ht="15" customHeight="1" thickBot="1" x14ac:dyDescent="0.3">
      <c r="A58" s="30"/>
      <c r="B58" s="30" t="s">
        <v>1130</v>
      </c>
      <c r="C58" s="30"/>
      <c r="D58" s="64"/>
      <c r="E58" s="30"/>
      <c r="F58" s="30"/>
      <c r="G58" s="32"/>
      <c r="H58" s="24"/>
      <c r="I58" s="250"/>
      <c r="J58" s="33"/>
      <c r="K58" s="27"/>
      <c r="L58" s="28"/>
      <c r="M58" s="29"/>
    </row>
    <row r="59" spans="1:15" ht="15" customHeight="1" x14ac:dyDescent="0.25">
      <c r="A59" s="34" t="s">
        <v>66</v>
      </c>
      <c r="B59" s="182"/>
      <c r="C59" s="33"/>
      <c r="D59" s="65"/>
      <c r="E59" s="33"/>
      <c r="F59" s="33"/>
      <c r="G59" s="35" t="s">
        <v>3</v>
      </c>
      <c r="H59" s="27"/>
      <c r="I59" s="249"/>
      <c r="J59" s="36" t="s">
        <v>4</v>
      </c>
      <c r="K59" s="56" t="s">
        <v>5</v>
      </c>
      <c r="L59" s="40" t="s">
        <v>6</v>
      </c>
      <c r="M59" s="36" t="s">
        <v>7</v>
      </c>
      <c r="O59" s="8"/>
    </row>
    <row r="60" spans="1:15" ht="15" customHeight="1" thickBot="1" x14ac:dyDescent="0.3">
      <c r="A60" s="11" t="s">
        <v>8</v>
      </c>
      <c r="B60" s="11" t="s">
        <v>9</v>
      </c>
      <c r="C60" s="11" t="s">
        <v>10</v>
      </c>
      <c r="D60" s="66" t="s">
        <v>11</v>
      </c>
      <c r="E60" s="11" t="s">
        <v>12</v>
      </c>
      <c r="F60" s="54" t="s">
        <v>50</v>
      </c>
      <c r="G60" s="12" t="s">
        <v>13</v>
      </c>
      <c r="H60" s="13" t="s">
        <v>14</v>
      </c>
      <c r="I60" s="251" t="s">
        <v>15</v>
      </c>
      <c r="J60" s="14" t="s">
        <v>16</v>
      </c>
      <c r="K60" s="57"/>
      <c r="L60" s="58" t="s">
        <v>17</v>
      </c>
      <c r="M60" s="14" t="s">
        <v>39</v>
      </c>
      <c r="O60" s="8"/>
    </row>
    <row r="61" spans="1:15" ht="15" customHeight="1" x14ac:dyDescent="0.25">
      <c r="A61" s="235" t="s">
        <v>1263</v>
      </c>
      <c r="B61" s="236" t="s">
        <v>75</v>
      </c>
      <c r="C61" s="237" t="s">
        <v>1464</v>
      </c>
      <c r="D61" s="263">
        <v>45901</v>
      </c>
      <c r="E61" s="267">
        <f>309.23+46.21</f>
        <v>355.44</v>
      </c>
      <c r="F61" s="267">
        <v>46.21</v>
      </c>
      <c r="G61" s="6">
        <v>40.799999999999997</v>
      </c>
      <c r="H61" s="267">
        <v>46.38</v>
      </c>
      <c r="I61" s="263">
        <v>46034</v>
      </c>
      <c r="J61" s="50">
        <f>40.8/1.15</f>
        <v>35.478260869565219</v>
      </c>
      <c r="K61" s="47">
        <f t="shared" ref="K61:K66" si="7">+I61-D61</f>
        <v>133</v>
      </c>
      <c r="L61" s="48">
        <v>0.03</v>
      </c>
      <c r="M61" s="49">
        <f t="shared" ref="M61:M66" si="8">+J61*L61</f>
        <v>1.0643478260869565</v>
      </c>
    </row>
    <row r="62" spans="1:15" ht="15" customHeight="1" x14ac:dyDescent="0.25">
      <c r="A62" s="235" t="s">
        <v>128</v>
      </c>
      <c r="B62" s="236" t="s">
        <v>133</v>
      </c>
      <c r="C62" s="237" t="s">
        <v>1461</v>
      </c>
      <c r="D62" s="263">
        <v>45915</v>
      </c>
      <c r="E62" s="267">
        <f>148.61+37.15</f>
        <v>185.76000000000002</v>
      </c>
      <c r="F62" s="267">
        <v>37.15</v>
      </c>
      <c r="G62" s="6">
        <v>162.72</v>
      </c>
      <c r="H62" s="267">
        <v>22.29</v>
      </c>
      <c r="I62" s="263">
        <v>46049</v>
      </c>
      <c r="J62" s="50">
        <f>E62-F62</f>
        <v>148.61000000000001</v>
      </c>
      <c r="K62" s="47">
        <f t="shared" si="7"/>
        <v>134</v>
      </c>
      <c r="L62" s="48">
        <v>0.03</v>
      </c>
      <c r="M62" s="49">
        <f t="shared" si="8"/>
        <v>4.4583000000000004</v>
      </c>
    </row>
    <row r="63" spans="1:15" ht="15" customHeight="1" x14ac:dyDescent="0.25">
      <c r="A63" s="235" t="s">
        <v>85</v>
      </c>
      <c r="B63" s="236" t="s">
        <v>1452</v>
      </c>
      <c r="C63" s="237" t="s">
        <v>1463</v>
      </c>
      <c r="D63" s="263">
        <v>45973</v>
      </c>
      <c r="E63" s="267">
        <f>131.27+23.17</f>
        <v>154.44</v>
      </c>
      <c r="F63" s="267">
        <v>23.17</v>
      </c>
      <c r="G63" s="6">
        <v>142.75</v>
      </c>
      <c r="H63" s="267">
        <v>19.690000000000001</v>
      </c>
      <c r="I63" s="263">
        <v>46041</v>
      </c>
      <c r="J63" s="50">
        <f>E63-F63</f>
        <v>131.26999999999998</v>
      </c>
      <c r="K63" s="47">
        <f t="shared" si="7"/>
        <v>68</v>
      </c>
      <c r="L63" s="48">
        <v>0.03</v>
      </c>
      <c r="M63" s="49">
        <f t="shared" si="8"/>
        <v>3.9380999999999995</v>
      </c>
    </row>
    <row r="64" spans="1:15" ht="15" customHeight="1" x14ac:dyDescent="0.25">
      <c r="A64" s="235" t="s">
        <v>105</v>
      </c>
      <c r="B64" s="236" t="s">
        <v>108</v>
      </c>
      <c r="C64" s="237" t="s">
        <v>1459</v>
      </c>
      <c r="D64" s="263">
        <v>46043</v>
      </c>
      <c r="E64" s="267">
        <f>233.38+58.34</f>
        <v>291.72000000000003</v>
      </c>
      <c r="F64" s="267">
        <v>58.34</v>
      </c>
      <c r="G64" s="6">
        <v>268.39</v>
      </c>
      <c r="H64" s="267">
        <v>35.01</v>
      </c>
      <c r="I64" s="263">
        <v>46049</v>
      </c>
      <c r="J64" s="50">
        <f>E64-F64</f>
        <v>233.38000000000002</v>
      </c>
      <c r="K64" s="47">
        <f t="shared" si="7"/>
        <v>6</v>
      </c>
      <c r="L64" s="48">
        <v>0.04</v>
      </c>
      <c r="M64" s="49">
        <f t="shared" si="8"/>
        <v>9.3352000000000004</v>
      </c>
    </row>
    <row r="65" spans="1:14" ht="15" customHeight="1" x14ac:dyDescent="0.25">
      <c r="A65" s="235" t="s">
        <v>1458</v>
      </c>
      <c r="B65" s="236" t="s">
        <v>27</v>
      </c>
      <c r="C65" s="237" t="s">
        <v>1462</v>
      </c>
      <c r="D65" s="263">
        <v>46044</v>
      </c>
      <c r="E65" s="267">
        <v>229.44</v>
      </c>
      <c r="F65" s="267">
        <v>0</v>
      </c>
      <c r="G65" s="6">
        <v>263.86</v>
      </c>
      <c r="H65" s="267">
        <v>34.42</v>
      </c>
      <c r="I65" s="263">
        <v>46044</v>
      </c>
      <c r="J65" s="50">
        <f>E65-F65</f>
        <v>229.44</v>
      </c>
      <c r="K65" s="47">
        <f t="shared" si="7"/>
        <v>0</v>
      </c>
      <c r="L65" s="48">
        <v>0.04</v>
      </c>
      <c r="M65" s="49">
        <f t="shared" si="8"/>
        <v>9.1776</v>
      </c>
    </row>
    <row r="66" spans="1:14" ht="15" customHeight="1" x14ac:dyDescent="0.25">
      <c r="A66" s="235" t="s">
        <v>105</v>
      </c>
      <c r="B66" s="236" t="s">
        <v>108</v>
      </c>
      <c r="C66" s="237" t="s">
        <v>1460</v>
      </c>
      <c r="D66" s="263">
        <v>46048</v>
      </c>
      <c r="E66" s="267">
        <f>48.96+12.24</f>
        <v>61.2</v>
      </c>
      <c r="F66" s="267">
        <v>12.24</v>
      </c>
      <c r="G66" s="6">
        <v>56.3</v>
      </c>
      <c r="H66" s="267">
        <v>7.34</v>
      </c>
      <c r="I66" s="263">
        <v>46049</v>
      </c>
      <c r="J66" s="50">
        <f>E66-F66</f>
        <v>48.96</v>
      </c>
      <c r="K66" s="47">
        <f t="shared" si="7"/>
        <v>1</v>
      </c>
      <c r="L66" s="48">
        <v>0.04</v>
      </c>
      <c r="M66" s="49">
        <f t="shared" si="8"/>
        <v>1.9584000000000001</v>
      </c>
    </row>
    <row r="67" spans="1:14" ht="15" customHeight="1" x14ac:dyDescent="0.25">
      <c r="A67" s="235"/>
      <c r="B67" s="141"/>
      <c r="C67" s="237"/>
      <c r="D67" s="240"/>
      <c r="E67" s="178"/>
      <c r="F67" s="6"/>
      <c r="G67" s="6"/>
      <c r="H67" s="6"/>
      <c r="I67" s="253"/>
      <c r="J67" s="50"/>
      <c r="K67" s="47"/>
      <c r="L67" s="48"/>
      <c r="M67" s="49"/>
    </row>
    <row r="68" spans="1:14" ht="15" customHeight="1" x14ac:dyDescent="0.25">
      <c r="A68" s="235"/>
      <c r="B68" s="236"/>
      <c r="C68" s="237"/>
      <c r="D68" s="238"/>
      <c r="E68" s="239"/>
      <c r="F68" s="239"/>
      <c r="G68" s="6"/>
      <c r="H68" s="239"/>
      <c r="I68" s="253"/>
      <c r="J68" s="50"/>
      <c r="K68" s="47"/>
      <c r="L68" s="48"/>
      <c r="M68" s="49"/>
    </row>
    <row r="69" spans="1:14" ht="15" customHeight="1" x14ac:dyDescent="0.25">
      <c r="A69" s="171"/>
      <c r="B69" s="160"/>
      <c r="C69" s="171"/>
      <c r="D69" s="172"/>
      <c r="E69" s="87"/>
      <c r="F69" s="87"/>
      <c r="G69" s="94"/>
      <c r="H69" s="87"/>
      <c r="I69" s="247"/>
      <c r="J69" s="50"/>
      <c r="K69" s="47"/>
      <c r="L69" s="48"/>
      <c r="M69" s="49"/>
    </row>
    <row r="70" spans="1:14" ht="15" customHeight="1" x14ac:dyDescent="0.3">
      <c r="A70" s="42"/>
      <c r="B70" s="43"/>
      <c r="C70" s="43"/>
      <c r="D70" s="68"/>
      <c r="E70" s="44"/>
      <c r="F70" s="44"/>
      <c r="G70" s="45"/>
      <c r="H70" s="46"/>
      <c r="I70" s="260"/>
      <c r="J70" s="50"/>
      <c r="K70" s="47"/>
      <c r="L70" s="48"/>
      <c r="M70" s="49"/>
    </row>
    <row r="71" spans="1:14" ht="15" customHeight="1" x14ac:dyDescent="0.25">
      <c r="A71" s="213"/>
      <c r="B71" s="213"/>
      <c r="C71" s="213"/>
      <c r="D71" s="213"/>
      <c r="E71" s="213"/>
      <c r="F71" s="213"/>
      <c r="G71" s="75">
        <f>SUM(G61:G70)</f>
        <v>934.81999999999994</v>
      </c>
      <c r="H71" s="80"/>
      <c r="I71" s="261"/>
      <c r="J71" s="75">
        <f>SUM(J61:J70)</f>
        <v>827.13826086956533</v>
      </c>
      <c r="K71" s="82"/>
      <c r="L71" s="82"/>
      <c r="M71" s="75">
        <f>SUM(M61:M70)</f>
        <v>29.931947826086958</v>
      </c>
    </row>
    <row r="72" spans="1:14" ht="15" customHeight="1" x14ac:dyDescent="0.25">
      <c r="A72" s="76"/>
      <c r="B72" s="76"/>
      <c r="C72" s="76"/>
      <c r="D72" s="77"/>
      <c r="E72" s="76"/>
      <c r="F72" s="76"/>
      <c r="G72" s="78"/>
      <c r="H72" s="52"/>
      <c r="I72" s="262"/>
      <c r="J72" s="52"/>
      <c r="K72" s="52"/>
      <c r="L72" s="52"/>
      <c r="M72" s="52"/>
    </row>
    <row r="73" spans="1:14" x14ac:dyDescent="0.25">
      <c r="A73" s="76"/>
      <c r="B73" s="76"/>
      <c r="C73" s="76"/>
      <c r="D73" s="77"/>
      <c r="E73" s="76"/>
      <c r="F73" s="76"/>
      <c r="G73" s="78"/>
      <c r="H73" s="52"/>
      <c r="I73" s="262"/>
      <c r="J73" s="78"/>
      <c r="K73" s="52"/>
      <c r="L73" s="52"/>
      <c r="M73" s="78"/>
    </row>
    <row r="74" spans="1:14" x14ac:dyDescent="0.25">
      <c r="A74" s="52" t="s">
        <v>19</v>
      </c>
      <c r="B74" s="76" t="s">
        <v>20</v>
      </c>
      <c r="C74" s="76" t="s">
        <v>21</v>
      </c>
      <c r="D74" s="79"/>
      <c r="E74" s="52"/>
      <c r="F74" s="52"/>
      <c r="G74" s="78"/>
      <c r="H74" s="52"/>
      <c r="I74" s="262"/>
      <c r="J74" s="52"/>
      <c r="K74" s="52"/>
      <c r="L74" s="52"/>
      <c r="M74" s="52"/>
    </row>
    <row r="75" spans="1:14" s="52" customFormat="1" x14ac:dyDescent="0.25">
      <c r="A75" s="235" t="s">
        <v>1465</v>
      </c>
      <c r="B75" s="235" t="s">
        <v>1466</v>
      </c>
      <c r="C75" s="237" t="s">
        <v>1467</v>
      </c>
      <c r="D75" s="263">
        <v>46052</v>
      </c>
      <c r="E75" s="267">
        <f>1069.06+267.26</f>
        <v>1336.32</v>
      </c>
      <c r="F75" s="267">
        <v>267.26</v>
      </c>
      <c r="G75" s="6">
        <v>1162.5999999999999</v>
      </c>
      <c r="H75" s="267">
        <v>160.36000000000001</v>
      </c>
      <c r="I75" s="263">
        <v>46070</v>
      </c>
      <c r="J75" s="50">
        <f t="shared" ref="J75" si="9">E75-F75</f>
        <v>1069.06</v>
      </c>
      <c r="K75" s="47">
        <f t="shared" ref="K75" si="10">+I75-D75</f>
        <v>18</v>
      </c>
      <c r="L75" s="48">
        <v>0.03</v>
      </c>
      <c r="M75" s="49">
        <f t="shared" ref="M75" si="11">+J75*L75</f>
        <v>32.071799999999996</v>
      </c>
      <c r="N75" s="60"/>
    </row>
    <row r="76" spans="1:14" ht="15.6" thickBot="1" x14ac:dyDescent="0.3">
      <c r="A76" s="91"/>
      <c r="B76" s="102"/>
      <c r="C76" s="93"/>
      <c r="D76" s="88"/>
      <c r="E76" s="92"/>
      <c r="F76" s="92"/>
      <c r="G76" s="90"/>
      <c r="H76" s="92"/>
      <c r="I76" s="248"/>
      <c r="J76" s="50"/>
      <c r="K76" s="47"/>
      <c r="L76" s="48"/>
      <c r="M76" s="49"/>
    </row>
    <row r="77" spans="1:14" ht="16.2" thickBot="1" x14ac:dyDescent="0.35">
      <c r="A77" s="212" t="s">
        <v>29</v>
      </c>
      <c r="B77" s="212"/>
      <c r="C77" s="212"/>
      <c r="D77" s="212"/>
      <c r="E77" s="212"/>
      <c r="F77" s="212"/>
      <c r="G77" s="37">
        <f>SUM(G71:G76)</f>
        <v>2097.42</v>
      </c>
      <c r="I77" s="252"/>
      <c r="J77" s="37">
        <f>SUM(J71:J76)</f>
        <v>1896.1982608695653</v>
      </c>
      <c r="L77" s="20"/>
      <c r="M77" s="38">
        <f>SUM(M71:M76)</f>
        <v>62.003747826086951</v>
      </c>
    </row>
    <row r="78" spans="1:14" x14ac:dyDescent="0.25">
      <c r="A78" s="19"/>
      <c r="E78" s="19"/>
      <c r="F78" s="19"/>
      <c r="G78" s="8"/>
      <c r="I78" s="252"/>
    </row>
    <row r="80" spans="1:14" x14ac:dyDescent="0.25">
      <c r="J80" s="8"/>
    </row>
    <row r="81" spans="10:14" x14ac:dyDescent="0.25">
      <c r="J81" s="8"/>
    </row>
    <row r="82" spans="10:14" x14ac:dyDescent="0.25">
      <c r="J82" s="8">
        <f>(J48+J77)*2%</f>
        <v>185.51182608695649</v>
      </c>
      <c r="M82" s="185">
        <f>M77/12</f>
        <v>5.1669789855072459</v>
      </c>
      <c r="N82" s="59" t="s">
        <v>1504</v>
      </c>
    </row>
    <row r="83" spans="10:14" x14ac:dyDescent="0.25">
      <c r="J83" s="185">
        <f>J82/12</f>
        <v>15.459318840579707</v>
      </c>
      <c r="K83" s="7" t="s">
        <v>876</v>
      </c>
      <c r="M83" s="185">
        <f>M77/24</f>
        <v>2.5834894927536229</v>
      </c>
      <c r="N83" s="59" t="s">
        <v>1504</v>
      </c>
    </row>
    <row r="84" spans="10:14" x14ac:dyDescent="0.25">
      <c r="J84" s="185">
        <f>J82/24</f>
        <v>7.7296594202898534</v>
      </c>
      <c r="K84" s="7" t="s">
        <v>876</v>
      </c>
    </row>
  </sheetData>
  <sortState xmlns:xlrd2="http://schemas.microsoft.com/office/spreadsheetml/2017/richdata2" ref="A8:O34">
    <sortCondition ref="C8:C34"/>
  </sortState>
  <mergeCells count="2">
    <mergeCell ref="A3:F3"/>
    <mergeCell ref="A48:F48"/>
  </mergeCells>
  <pageMargins left="0.19685039370078741" right="0" top="0.19685039370078741" bottom="0" header="0" footer="0"/>
  <pageSetup paperSize="9" scale="82" orientation="landscape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5356-496C-4258-BF78-ADBF9DE1DD0F}">
  <dimension ref="A1:P83"/>
  <sheetViews>
    <sheetView topLeftCell="D62" workbookViewId="0">
      <selection activeCell="O62" sqref="O1:S1048576"/>
    </sheetView>
  </sheetViews>
  <sheetFormatPr baseColWidth="10" defaultColWidth="11.44140625" defaultRowHeight="13.2" x14ac:dyDescent="0.25"/>
  <cols>
    <col min="1" max="1" width="31.5546875" style="7" customWidth="1"/>
    <col min="2" max="2" width="15.88671875" style="19" customWidth="1"/>
    <col min="3" max="3" width="18.5546875" style="19" customWidth="1"/>
    <col min="4" max="4" width="10.33203125" style="67" customWidth="1"/>
    <col min="5" max="5" width="11.6640625" style="7" customWidth="1"/>
    <col min="6" max="6" width="9.88671875" style="7" customWidth="1"/>
    <col min="7" max="7" width="11.88671875" style="7" customWidth="1"/>
    <col min="8" max="8" width="9.88671875" style="7" customWidth="1"/>
    <col min="9" max="9" width="10.6640625" style="243" customWidth="1"/>
    <col min="10" max="10" width="13.5546875" style="7" customWidth="1"/>
    <col min="11" max="11" width="7.33203125" style="7" customWidth="1"/>
    <col min="12" max="12" width="6.44140625" style="7" customWidth="1"/>
    <col min="13" max="13" width="10.109375" style="7" customWidth="1"/>
    <col min="14" max="14" width="7.44140625" style="59" customWidth="1"/>
    <col min="15" max="15" width="15.5546875" style="7" customWidth="1"/>
    <col min="16" max="16" width="8" style="7" customWidth="1"/>
    <col min="17" max="16384" width="11.44140625" style="7"/>
  </cols>
  <sheetData>
    <row r="1" spans="1:16" ht="15" customHeight="1" x14ac:dyDescent="0.25">
      <c r="B1" s="181"/>
      <c r="C1" s="181"/>
      <c r="G1" s="8"/>
    </row>
    <row r="2" spans="1:16" ht="15" customHeight="1" x14ac:dyDescent="0.25">
      <c r="A2" s="30"/>
      <c r="B2" s="30"/>
      <c r="C2" s="30"/>
      <c r="D2" s="30"/>
      <c r="E2" s="30"/>
      <c r="F2" s="30"/>
      <c r="G2" s="24"/>
      <c r="H2" s="24"/>
      <c r="I2" s="244"/>
      <c r="J2" s="26"/>
      <c r="K2" s="27"/>
      <c r="L2" s="28"/>
      <c r="M2" s="29"/>
    </row>
    <row r="3" spans="1:16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244"/>
      <c r="J3" s="27"/>
      <c r="K3" s="27"/>
      <c r="L3" s="28"/>
      <c r="M3" s="29"/>
    </row>
    <row r="4" spans="1:16" ht="15" customHeight="1" x14ac:dyDescent="0.25">
      <c r="A4" s="30"/>
      <c r="B4" s="30" t="s">
        <v>1506</v>
      </c>
      <c r="C4" s="30"/>
      <c r="D4" s="64"/>
      <c r="E4" s="30"/>
      <c r="F4" s="30"/>
      <c r="G4" s="24"/>
      <c r="H4" s="25"/>
      <c r="I4" s="244"/>
      <c r="J4" s="27"/>
      <c r="K4" s="27"/>
      <c r="L4" s="28"/>
      <c r="M4" s="29"/>
    </row>
    <row r="5" spans="1:16" ht="15" customHeight="1" thickBot="1" x14ac:dyDescent="0.3">
      <c r="A5" s="30"/>
      <c r="B5" s="30" t="s">
        <v>22</v>
      </c>
      <c r="C5" s="30"/>
      <c r="D5" s="64"/>
      <c r="E5" s="30"/>
      <c r="F5" s="30"/>
      <c r="G5" s="32"/>
      <c r="H5" s="24"/>
      <c r="I5" s="245"/>
      <c r="J5" s="33"/>
      <c r="K5" s="27"/>
      <c r="L5" s="28"/>
      <c r="M5" s="29"/>
    </row>
    <row r="6" spans="1:16" ht="15" customHeight="1" x14ac:dyDescent="0.25">
      <c r="A6" s="34"/>
      <c r="B6" s="182"/>
      <c r="C6" s="182"/>
      <c r="D6" s="195"/>
      <c r="E6" s="33"/>
      <c r="F6" s="33"/>
      <c r="G6" s="35" t="s">
        <v>3</v>
      </c>
      <c r="H6" s="27"/>
      <c r="I6" s="244"/>
      <c r="J6" s="36" t="s">
        <v>4</v>
      </c>
      <c r="K6" s="56" t="s">
        <v>5</v>
      </c>
      <c r="L6" s="40" t="s">
        <v>6</v>
      </c>
      <c r="M6" s="36" t="s">
        <v>7</v>
      </c>
    </row>
    <row r="7" spans="1:16" ht="15" customHeight="1" x14ac:dyDescent="0.25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62" t="s">
        <v>13</v>
      </c>
      <c r="H7" s="13" t="s">
        <v>14</v>
      </c>
      <c r="I7" s="246" t="s">
        <v>15</v>
      </c>
      <c r="J7" s="14" t="s">
        <v>16</v>
      </c>
      <c r="K7" s="57"/>
      <c r="L7" s="58" t="s">
        <v>17</v>
      </c>
      <c r="M7" s="14" t="s">
        <v>39</v>
      </c>
    </row>
    <row r="8" spans="1:16" ht="15" customHeight="1" x14ac:dyDescent="0.3">
      <c r="A8" s="289" t="s">
        <v>55</v>
      </c>
      <c r="B8" s="236" t="s">
        <v>30</v>
      </c>
      <c r="C8" s="237" t="s">
        <v>1510</v>
      </c>
      <c r="D8" s="263">
        <v>46056</v>
      </c>
      <c r="E8" s="267">
        <f>941.28+235.32-212.52</f>
        <v>964.07999999999993</v>
      </c>
      <c r="F8" s="267">
        <f>235.32-42.5</f>
        <v>192.82</v>
      </c>
      <c r="G8" s="290">
        <v>886.95</v>
      </c>
      <c r="H8" s="267">
        <f>141.19-25.5</f>
        <v>115.69</v>
      </c>
      <c r="I8" s="291">
        <v>46056</v>
      </c>
      <c r="J8" s="50">
        <f>+E8-F8</f>
        <v>771.26</v>
      </c>
      <c r="K8" s="47">
        <f t="shared" ref="K8:K31" si="0">+I8-D8</f>
        <v>0</v>
      </c>
      <c r="L8" s="5">
        <v>0.04</v>
      </c>
      <c r="M8" s="6">
        <f t="shared" ref="M8:M31" si="1">+J8*L8</f>
        <v>30.8504</v>
      </c>
      <c r="O8" s="78"/>
      <c r="P8" s="8"/>
    </row>
    <row r="9" spans="1:16" ht="15" customHeight="1" x14ac:dyDescent="0.3">
      <c r="A9" s="289" t="s">
        <v>77</v>
      </c>
      <c r="B9" s="236" t="s">
        <v>1511</v>
      </c>
      <c r="C9" s="237" t="s">
        <v>1408</v>
      </c>
      <c r="D9" s="263">
        <v>45810</v>
      </c>
      <c r="E9" s="267">
        <f>3269.75+1089.92</f>
        <v>4359.67</v>
      </c>
      <c r="F9" s="267">
        <v>1089.92</v>
      </c>
      <c r="G9" s="290">
        <v>250</v>
      </c>
      <c r="H9" s="267">
        <v>490.46</v>
      </c>
      <c r="I9" s="291">
        <v>46057</v>
      </c>
      <c r="J9" s="50">
        <f>250/1.15</f>
        <v>217.39130434782609</v>
      </c>
      <c r="K9" s="47">
        <f t="shared" si="0"/>
        <v>247</v>
      </c>
      <c r="L9" s="5">
        <v>0.03</v>
      </c>
      <c r="M9" s="6">
        <f t="shared" si="1"/>
        <v>6.5217391304347823</v>
      </c>
      <c r="O9" s="78"/>
    </row>
    <row r="10" spans="1:16" ht="15" customHeight="1" x14ac:dyDescent="0.3">
      <c r="A10" s="289" t="s">
        <v>107</v>
      </c>
      <c r="B10" s="236" t="s">
        <v>30</v>
      </c>
      <c r="C10" s="237" t="s">
        <v>1512</v>
      </c>
      <c r="D10" s="263">
        <v>45992</v>
      </c>
      <c r="E10" s="267">
        <f>99.6+17.58</f>
        <v>117.17999999999999</v>
      </c>
      <c r="F10" s="267">
        <v>17.579999999999998</v>
      </c>
      <c r="G10" s="290">
        <v>114.54</v>
      </c>
      <c r="H10" s="267">
        <v>14.94</v>
      </c>
      <c r="I10" s="291">
        <v>46057</v>
      </c>
      <c r="J10" s="50">
        <f>+E10-F10</f>
        <v>99.6</v>
      </c>
      <c r="K10" s="47">
        <f t="shared" si="0"/>
        <v>65</v>
      </c>
      <c r="L10" s="5">
        <v>0.03</v>
      </c>
      <c r="M10" s="6">
        <f t="shared" si="1"/>
        <v>2.9879999999999995</v>
      </c>
      <c r="O10" s="78"/>
    </row>
    <row r="11" spans="1:16" ht="15" customHeight="1" x14ac:dyDescent="0.3">
      <c r="A11" s="289" t="s">
        <v>60</v>
      </c>
      <c r="B11" s="236" t="s">
        <v>61</v>
      </c>
      <c r="C11" s="237" t="s">
        <v>1471</v>
      </c>
      <c r="D11" s="263">
        <v>46029</v>
      </c>
      <c r="E11" s="267">
        <f>292.84+51.68</f>
        <v>344.52</v>
      </c>
      <c r="F11" s="267">
        <v>51.68</v>
      </c>
      <c r="G11" s="290">
        <v>100</v>
      </c>
      <c r="H11" s="267">
        <v>43.93</v>
      </c>
      <c r="I11" s="291">
        <v>46057</v>
      </c>
      <c r="J11" s="50">
        <f>100/1.15</f>
        <v>86.956521739130437</v>
      </c>
      <c r="K11" s="47">
        <f t="shared" si="0"/>
        <v>28</v>
      </c>
      <c r="L11" s="5">
        <v>3.5000000000000003E-2</v>
      </c>
      <c r="M11" s="6">
        <f t="shared" si="1"/>
        <v>3.0434782608695654</v>
      </c>
      <c r="O11" s="78"/>
    </row>
    <row r="12" spans="1:16" ht="15" customHeight="1" x14ac:dyDescent="0.3">
      <c r="A12" s="289" t="s">
        <v>971</v>
      </c>
      <c r="B12" s="236" t="s">
        <v>59</v>
      </c>
      <c r="C12" s="237" t="s">
        <v>1513</v>
      </c>
      <c r="D12" s="263">
        <v>46057</v>
      </c>
      <c r="E12" s="267">
        <f>25.34+6.34</f>
        <v>31.68</v>
      </c>
      <c r="F12" s="267">
        <v>6.34</v>
      </c>
      <c r="G12" s="290">
        <v>27.56</v>
      </c>
      <c r="H12" s="267">
        <v>3.8</v>
      </c>
      <c r="I12" s="291">
        <v>46058</v>
      </c>
      <c r="J12" s="50">
        <f t="shared" ref="J12:J18" si="2">+E12-F12</f>
        <v>25.34</v>
      </c>
      <c r="K12" s="47">
        <f t="shared" si="0"/>
        <v>1</v>
      </c>
      <c r="L12" s="5">
        <v>0.04</v>
      </c>
      <c r="M12" s="6">
        <f t="shared" si="1"/>
        <v>1.0136000000000001</v>
      </c>
      <c r="O12" s="78"/>
      <c r="P12" s="8"/>
    </row>
    <row r="13" spans="1:16" ht="15" customHeight="1" x14ac:dyDescent="0.3">
      <c r="A13" s="289" t="s">
        <v>80</v>
      </c>
      <c r="B13" s="236" t="s">
        <v>18</v>
      </c>
      <c r="C13" s="237" t="s">
        <v>1514</v>
      </c>
      <c r="D13" s="263">
        <v>46030</v>
      </c>
      <c r="E13" s="267">
        <f>81.6+20.4</f>
        <v>102</v>
      </c>
      <c r="F13" s="267">
        <v>20.399999999999999</v>
      </c>
      <c r="G13" s="290">
        <v>88.74</v>
      </c>
      <c r="H13" s="267">
        <v>12.24</v>
      </c>
      <c r="I13" s="291">
        <v>46062</v>
      </c>
      <c r="J13" s="50">
        <f t="shared" si="2"/>
        <v>81.599999999999994</v>
      </c>
      <c r="K13" s="47">
        <f t="shared" si="0"/>
        <v>32</v>
      </c>
      <c r="L13" s="5">
        <v>0.03</v>
      </c>
      <c r="M13" s="6">
        <f t="shared" si="1"/>
        <v>2.448</v>
      </c>
      <c r="O13" s="78"/>
    </row>
    <row r="14" spans="1:16" ht="15" customHeight="1" x14ac:dyDescent="0.3">
      <c r="A14" s="289" t="s">
        <v>1509</v>
      </c>
      <c r="B14" s="236" t="s">
        <v>32</v>
      </c>
      <c r="C14" s="237" t="s">
        <v>1515</v>
      </c>
      <c r="D14" s="263">
        <v>46048</v>
      </c>
      <c r="E14" s="267">
        <f>149.19+22.29</f>
        <v>171.48</v>
      </c>
      <c r="F14" s="267">
        <v>22.29</v>
      </c>
      <c r="G14" s="290">
        <v>171.57</v>
      </c>
      <c r="H14" s="267">
        <v>22.38</v>
      </c>
      <c r="I14" s="291">
        <v>46062</v>
      </c>
      <c r="J14" s="50">
        <f t="shared" si="2"/>
        <v>149.19</v>
      </c>
      <c r="K14" s="47">
        <f t="shared" si="0"/>
        <v>14</v>
      </c>
      <c r="L14" s="5">
        <v>3.5000000000000003E-2</v>
      </c>
      <c r="M14" s="6">
        <f t="shared" si="1"/>
        <v>5.2216500000000003</v>
      </c>
      <c r="O14" s="78"/>
    </row>
    <row r="15" spans="1:16" ht="15" customHeight="1" x14ac:dyDescent="0.3">
      <c r="A15" s="289" t="s">
        <v>130</v>
      </c>
      <c r="B15" s="236" t="s">
        <v>84</v>
      </c>
      <c r="C15" s="237" t="s">
        <v>1516</v>
      </c>
      <c r="D15" s="263">
        <v>46050</v>
      </c>
      <c r="E15" s="267">
        <f>208.08+36.72</f>
        <v>244.8</v>
      </c>
      <c r="F15" s="267">
        <v>36.72</v>
      </c>
      <c r="G15" s="290">
        <v>239.29</v>
      </c>
      <c r="H15" s="267">
        <v>31.21</v>
      </c>
      <c r="I15" s="291">
        <v>46062</v>
      </c>
      <c r="J15" s="50">
        <f t="shared" si="2"/>
        <v>208.08</v>
      </c>
      <c r="K15" s="47">
        <f t="shared" si="0"/>
        <v>12</v>
      </c>
      <c r="L15" s="5">
        <v>3.5000000000000003E-2</v>
      </c>
      <c r="M15" s="6">
        <f t="shared" si="1"/>
        <v>7.2828000000000008</v>
      </c>
      <c r="O15" s="78"/>
    </row>
    <row r="16" spans="1:16" ht="15" customHeight="1" x14ac:dyDescent="0.3">
      <c r="A16" s="289" t="s">
        <v>89</v>
      </c>
      <c r="B16" s="236" t="s">
        <v>18</v>
      </c>
      <c r="C16" s="237" t="s">
        <v>1517</v>
      </c>
      <c r="D16" s="263">
        <v>45981</v>
      </c>
      <c r="E16" s="267">
        <f>124.8+31.2</f>
        <v>156</v>
      </c>
      <c r="F16" s="267">
        <v>31.2</v>
      </c>
      <c r="G16" s="290">
        <v>135.72</v>
      </c>
      <c r="H16" s="267">
        <v>18.72</v>
      </c>
      <c r="I16" s="291">
        <v>46063</v>
      </c>
      <c r="J16" s="50">
        <f t="shared" si="2"/>
        <v>124.8</v>
      </c>
      <c r="K16" s="47">
        <f t="shared" si="0"/>
        <v>82</v>
      </c>
      <c r="L16" s="5">
        <v>0.03</v>
      </c>
      <c r="M16" s="6">
        <f t="shared" si="1"/>
        <v>3.7439999999999998</v>
      </c>
      <c r="O16" s="78"/>
    </row>
    <row r="17" spans="1:15" ht="15" customHeight="1" x14ac:dyDescent="0.3">
      <c r="A17" s="289" t="s">
        <v>847</v>
      </c>
      <c r="B17" s="236" t="s">
        <v>18</v>
      </c>
      <c r="C17" s="237" t="s">
        <v>1518</v>
      </c>
      <c r="D17" s="263">
        <v>45988</v>
      </c>
      <c r="E17" s="267">
        <f>80.17+14.15</f>
        <v>94.320000000000007</v>
      </c>
      <c r="F17" s="267">
        <v>14.15</v>
      </c>
      <c r="G17" s="290">
        <v>87.19</v>
      </c>
      <c r="H17" s="267">
        <v>12.03</v>
      </c>
      <c r="I17" s="291">
        <v>46063</v>
      </c>
      <c r="J17" s="50">
        <f t="shared" si="2"/>
        <v>80.17</v>
      </c>
      <c r="K17" s="47">
        <f t="shared" si="0"/>
        <v>75</v>
      </c>
      <c r="L17" s="5">
        <v>0.03</v>
      </c>
      <c r="M17" s="6">
        <f t="shared" si="1"/>
        <v>2.4051</v>
      </c>
      <c r="O17" s="78"/>
    </row>
    <row r="18" spans="1:15" ht="15" customHeight="1" x14ac:dyDescent="0.3">
      <c r="A18" s="289" t="s">
        <v>113</v>
      </c>
      <c r="B18" s="236" t="s">
        <v>18</v>
      </c>
      <c r="C18" s="237" t="s">
        <v>1519</v>
      </c>
      <c r="D18" s="263">
        <v>45994</v>
      </c>
      <c r="E18" s="267">
        <f>356.4+118.8</f>
        <v>475.2</v>
      </c>
      <c r="F18" s="267">
        <v>118.8</v>
      </c>
      <c r="G18" s="290">
        <v>387.58</v>
      </c>
      <c r="H18" s="267">
        <v>53.46</v>
      </c>
      <c r="I18" s="291">
        <v>46063</v>
      </c>
      <c r="J18" s="50">
        <f t="shared" si="2"/>
        <v>356.4</v>
      </c>
      <c r="K18" s="47">
        <f t="shared" si="0"/>
        <v>69</v>
      </c>
      <c r="L18" s="5">
        <v>0.03</v>
      </c>
      <c r="M18" s="6">
        <f t="shared" si="1"/>
        <v>10.691999999999998</v>
      </c>
      <c r="O18" s="78"/>
    </row>
    <row r="19" spans="1:15" ht="15" customHeight="1" x14ac:dyDescent="0.3">
      <c r="A19" s="289" t="s">
        <v>77</v>
      </c>
      <c r="B19" s="236" t="s">
        <v>1511</v>
      </c>
      <c r="C19" s="237" t="s">
        <v>1408</v>
      </c>
      <c r="D19" s="263">
        <v>45810</v>
      </c>
      <c r="E19" s="267">
        <f>3269.75+1089.92</f>
        <v>4359.67</v>
      </c>
      <c r="F19" s="267">
        <v>1089.92</v>
      </c>
      <c r="G19" s="290">
        <v>250</v>
      </c>
      <c r="H19" s="267">
        <v>490.46</v>
      </c>
      <c r="I19" s="291">
        <v>46065</v>
      </c>
      <c r="J19" s="50">
        <f>250/1.15</f>
        <v>217.39130434782609</v>
      </c>
      <c r="K19" s="47">
        <f t="shared" si="0"/>
        <v>255</v>
      </c>
      <c r="L19" s="5">
        <v>0.03</v>
      </c>
      <c r="M19" s="6">
        <f t="shared" si="1"/>
        <v>6.5217391304347823</v>
      </c>
      <c r="O19" s="78"/>
    </row>
    <row r="20" spans="1:15" ht="15" customHeight="1" x14ac:dyDescent="0.3">
      <c r="A20" s="289" t="s">
        <v>60</v>
      </c>
      <c r="B20" s="236" t="s">
        <v>61</v>
      </c>
      <c r="C20" s="237" t="s">
        <v>1471</v>
      </c>
      <c r="D20" s="263">
        <v>46029</v>
      </c>
      <c r="E20" s="267">
        <f>292.84+51.68</f>
        <v>344.52</v>
      </c>
      <c r="F20" s="267">
        <v>51.68</v>
      </c>
      <c r="G20" s="290">
        <v>100</v>
      </c>
      <c r="H20" s="267">
        <v>43.93</v>
      </c>
      <c r="I20" s="291">
        <v>46072</v>
      </c>
      <c r="J20" s="50">
        <f>100/1.15</f>
        <v>86.956521739130437</v>
      </c>
      <c r="K20" s="47">
        <f t="shared" si="0"/>
        <v>43</v>
      </c>
      <c r="L20" s="5">
        <v>0.03</v>
      </c>
      <c r="M20" s="6">
        <f t="shared" si="1"/>
        <v>2.6086956521739131</v>
      </c>
      <c r="O20" s="78"/>
    </row>
    <row r="21" spans="1:15" ht="15" customHeight="1" x14ac:dyDescent="0.3">
      <c r="A21" s="289" t="s">
        <v>292</v>
      </c>
      <c r="B21" s="236" t="s">
        <v>229</v>
      </c>
      <c r="C21" s="237" t="s">
        <v>1520</v>
      </c>
      <c r="D21" s="263">
        <v>46038</v>
      </c>
      <c r="E21" s="267">
        <f>126.49+25.91</f>
        <v>152.4</v>
      </c>
      <c r="F21" s="267">
        <v>25.91</v>
      </c>
      <c r="G21" s="290">
        <v>137.56</v>
      </c>
      <c r="H21" s="267">
        <v>18.97</v>
      </c>
      <c r="I21" s="291">
        <v>46072</v>
      </c>
      <c r="J21" s="50">
        <f t="shared" ref="J21:J28" si="3">+E21-F21</f>
        <v>126.49000000000001</v>
      </c>
      <c r="K21" s="47">
        <f t="shared" si="0"/>
        <v>34</v>
      </c>
      <c r="L21" s="5">
        <v>0.03</v>
      </c>
      <c r="M21" s="6">
        <f t="shared" si="1"/>
        <v>3.7947000000000002</v>
      </c>
      <c r="O21" s="78"/>
    </row>
    <row r="22" spans="1:15" ht="15" customHeight="1" x14ac:dyDescent="0.3">
      <c r="A22" s="289" t="s">
        <v>701</v>
      </c>
      <c r="B22" s="236" t="s">
        <v>24</v>
      </c>
      <c r="C22" s="237" t="s">
        <v>1521</v>
      </c>
      <c r="D22" s="263">
        <v>46062</v>
      </c>
      <c r="E22" s="267">
        <f>813.6+271.2</f>
        <v>1084.8</v>
      </c>
      <c r="F22" s="267">
        <v>271.2</v>
      </c>
      <c r="G22" s="290">
        <v>884.79</v>
      </c>
      <c r="H22" s="267">
        <v>122.04</v>
      </c>
      <c r="I22" s="291">
        <v>46073</v>
      </c>
      <c r="J22" s="50">
        <f t="shared" si="3"/>
        <v>813.59999999999991</v>
      </c>
      <c r="K22" s="47">
        <f t="shared" si="0"/>
        <v>11</v>
      </c>
      <c r="L22" s="5">
        <v>3.5000000000000003E-2</v>
      </c>
      <c r="M22" s="6">
        <f t="shared" si="1"/>
        <v>28.475999999999999</v>
      </c>
      <c r="O22" s="78"/>
    </row>
    <row r="23" spans="1:15" ht="15" customHeight="1" x14ac:dyDescent="0.3">
      <c r="A23" s="289" t="s">
        <v>89</v>
      </c>
      <c r="B23" s="236" t="s">
        <v>18</v>
      </c>
      <c r="C23" s="237" t="s">
        <v>1522</v>
      </c>
      <c r="D23" s="263">
        <v>46031</v>
      </c>
      <c r="E23" s="267">
        <f>236.06+59.02</f>
        <v>295.08</v>
      </c>
      <c r="F23" s="267">
        <v>59.02</v>
      </c>
      <c r="G23" s="290">
        <v>256.72000000000003</v>
      </c>
      <c r="H23" s="267">
        <v>35.409999999999997</v>
      </c>
      <c r="I23" s="291">
        <v>46076</v>
      </c>
      <c r="J23" s="50">
        <f t="shared" si="3"/>
        <v>236.05999999999997</v>
      </c>
      <c r="K23" s="47">
        <f t="shared" si="0"/>
        <v>45</v>
      </c>
      <c r="L23" s="5">
        <v>0.03</v>
      </c>
      <c r="M23" s="6">
        <f t="shared" si="1"/>
        <v>7.0817999999999985</v>
      </c>
      <c r="O23" s="78"/>
    </row>
    <row r="24" spans="1:15" ht="15" customHeight="1" x14ac:dyDescent="0.3">
      <c r="A24" s="289" t="s">
        <v>71</v>
      </c>
      <c r="B24" s="236" t="s">
        <v>24</v>
      </c>
      <c r="C24" s="237" t="s">
        <v>1523</v>
      </c>
      <c r="D24" s="263">
        <v>46036</v>
      </c>
      <c r="E24" s="267">
        <f>170.1+56.7</f>
        <v>226.8</v>
      </c>
      <c r="F24" s="267">
        <v>56.7</v>
      </c>
      <c r="G24" s="290">
        <v>190.09</v>
      </c>
      <c r="H24" s="267">
        <v>25.52</v>
      </c>
      <c r="I24" s="291">
        <v>46077</v>
      </c>
      <c r="J24" s="50">
        <f t="shared" si="3"/>
        <v>170.10000000000002</v>
      </c>
      <c r="K24" s="47">
        <f t="shared" si="0"/>
        <v>41</v>
      </c>
      <c r="L24" s="5">
        <v>0.03</v>
      </c>
      <c r="M24" s="6">
        <f t="shared" si="1"/>
        <v>5.1030000000000006</v>
      </c>
      <c r="O24" s="78"/>
    </row>
    <row r="25" spans="1:15" ht="15" customHeight="1" x14ac:dyDescent="0.3">
      <c r="A25" s="289" t="s">
        <v>54</v>
      </c>
      <c r="B25" s="236" t="s">
        <v>32</v>
      </c>
      <c r="C25" s="237" t="s">
        <v>1524</v>
      </c>
      <c r="D25" s="263">
        <v>46038</v>
      </c>
      <c r="E25" s="267">
        <f>219.62+44.98</f>
        <v>264.60000000000002</v>
      </c>
      <c r="F25" s="267">
        <v>44.98</v>
      </c>
      <c r="G25" s="290">
        <v>238.84</v>
      </c>
      <c r="H25" s="267">
        <v>32.94</v>
      </c>
      <c r="I25" s="291">
        <v>46077</v>
      </c>
      <c r="J25" s="50">
        <f t="shared" si="3"/>
        <v>219.62000000000003</v>
      </c>
      <c r="K25" s="47">
        <f t="shared" si="0"/>
        <v>39</v>
      </c>
      <c r="L25" s="5">
        <v>0.03</v>
      </c>
      <c r="M25" s="6">
        <f t="shared" si="1"/>
        <v>6.5886000000000005</v>
      </c>
      <c r="O25" s="78"/>
    </row>
    <row r="26" spans="1:15" ht="15" customHeight="1" x14ac:dyDescent="0.3">
      <c r="A26" s="289" t="s">
        <v>38</v>
      </c>
      <c r="B26" s="236" t="s">
        <v>18</v>
      </c>
      <c r="C26" s="237" t="s">
        <v>1525</v>
      </c>
      <c r="D26" s="263">
        <v>46050</v>
      </c>
      <c r="E26" s="267">
        <f>95.47+26.93</f>
        <v>122.4</v>
      </c>
      <c r="F26" s="267">
        <v>26.93</v>
      </c>
      <c r="G26" s="290">
        <v>103.82</v>
      </c>
      <c r="H26" s="267">
        <v>14.32</v>
      </c>
      <c r="I26" s="291">
        <v>46077</v>
      </c>
      <c r="J26" s="50">
        <f t="shared" si="3"/>
        <v>95.47</v>
      </c>
      <c r="K26" s="47">
        <f t="shared" si="0"/>
        <v>27</v>
      </c>
      <c r="L26" s="5">
        <v>3.5000000000000003E-2</v>
      </c>
      <c r="M26" s="6">
        <f t="shared" si="1"/>
        <v>3.3414500000000005</v>
      </c>
      <c r="O26" s="78"/>
    </row>
    <row r="27" spans="1:15" ht="15" customHeight="1" x14ac:dyDescent="0.3">
      <c r="A27" s="289" t="s">
        <v>79</v>
      </c>
      <c r="B27" s="236" t="s">
        <v>30</v>
      </c>
      <c r="C27" s="237" t="s">
        <v>1526</v>
      </c>
      <c r="D27" s="263">
        <v>45992</v>
      </c>
      <c r="E27" s="267">
        <f>292.36+51.59</f>
        <v>343.95000000000005</v>
      </c>
      <c r="F27" s="267">
        <v>51.59</v>
      </c>
      <c r="G27" s="290">
        <v>317.94</v>
      </c>
      <c r="H27" s="267">
        <v>43.85</v>
      </c>
      <c r="I27" s="291">
        <v>46078</v>
      </c>
      <c r="J27" s="50">
        <f t="shared" si="3"/>
        <v>292.36</v>
      </c>
      <c r="K27" s="47">
        <f t="shared" si="0"/>
        <v>86</v>
      </c>
      <c r="L27" s="5">
        <v>0.03</v>
      </c>
      <c r="M27" s="6">
        <f t="shared" si="1"/>
        <v>8.7707999999999995</v>
      </c>
      <c r="O27" s="78"/>
    </row>
    <row r="28" spans="1:15" ht="15" customHeight="1" x14ac:dyDescent="0.3">
      <c r="A28" s="289" t="s">
        <v>709</v>
      </c>
      <c r="B28" s="236" t="s">
        <v>61</v>
      </c>
      <c r="C28" s="237" t="s">
        <v>1527</v>
      </c>
      <c r="D28" s="263">
        <v>46059</v>
      </c>
      <c r="E28" s="267">
        <f>44.88+7.92</f>
        <v>52.800000000000004</v>
      </c>
      <c r="F28" s="267">
        <v>7.92</v>
      </c>
      <c r="G28" s="290">
        <v>51.61</v>
      </c>
      <c r="H28" s="267">
        <v>6.73</v>
      </c>
      <c r="I28" s="291">
        <v>46079</v>
      </c>
      <c r="J28" s="50">
        <f t="shared" si="3"/>
        <v>44.88</v>
      </c>
      <c r="K28" s="47">
        <f t="shared" si="0"/>
        <v>20</v>
      </c>
      <c r="L28" s="5">
        <v>3.5000000000000003E-2</v>
      </c>
      <c r="M28" s="6">
        <f t="shared" si="1"/>
        <v>1.5708000000000002</v>
      </c>
      <c r="O28" s="78"/>
    </row>
    <row r="29" spans="1:15" ht="15" customHeight="1" x14ac:dyDescent="0.3">
      <c r="A29" s="289" t="s">
        <v>77</v>
      </c>
      <c r="B29" s="236" t="s">
        <v>1511</v>
      </c>
      <c r="C29" s="237" t="s">
        <v>1408</v>
      </c>
      <c r="D29" s="263">
        <v>45810</v>
      </c>
      <c r="E29" s="267">
        <f>3269.75+1089.92</f>
        <v>4359.67</v>
      </c>
      <c r="F29" s="267">
        <v>1089.92</v>
      </c>
      <c r="G29" s="290">
        <v>200</v>
      </c>
      <c r="H29" s="267">
        <v>490.46</v>
      </c>
      <c r="I29" s="291">
        <v>46080</v>
      </c>
      <c r="J29" s="50">
        <f>200/1.15</f>
        <v>173.91304347826087</v>
      </c>
      <c r="K29" s="47">
        <f t="shared" si="0"/>
        <v>270</v>
      </c>
      <c r="L29" s="5">
        <v>0.03</v>
      </c>
      <c r="M29" s="6">
        <f t="shared" si="1"/>
        <v>5.2173913043478262</v>
      </c>
      <c r="O29" s="78"/>
    </row>
    <row r="30" spans="1:15" ht="15" customHeight="1" x14ac:dyDescent="0.3">
      <c r="A30" s="289" t="s">
        <v>1132</v>
      </c>
      <c r="B30" s="236" t="s">
        <v>1528</v>
      </c>
      <c r="C30" s="237" t="s">
        <v>1529</v>
      </c>
      <c r="D30" s="263">
        <v>45966</v>
      </c>
      <c r="E30" s="267">
        <f>177.01+31.24</f>
        <v>208.25</v>
      </c>
      <c r="F30" s="267">
        <v>31.24</v>
      </c>
      <c r="G30" s="290">
        <v>203.56</v>
      </c>
      <c r="H30" s="267">
        <v>26.55</v>
      </c>
      <c r="I30" s="291">
        <v>46080</v>
      </c>
      <c r="J30" s="50">
        <f>+E30-F30</f>
        <v>177.01</v>
      </c>
      <c r="K30" s="47">
        <f t="shared" si="0"/>
        <v>114</v>
      </c>
      <c r="L30" s="5">
        <v>0.03</v>
      </c>
      <c r="M30" s="6">
        <f t="shared" si="1"/>
        <v>5.3102999999999998</v>
      </c>
      <c r="O30" s="78"/>
    </row>
    <row r="31" spans="1:15" ht="15" customHeight="1" x14ac:dyDescent="0.3">
      <c r="A31" s="289" t="s">
        <v>47</v>
      </c>
      <c r="B31" s="236" t="s">
        <v>18</v>
      </c>
      <c r="C31" s="237" t="s">
        <v>1530</v>
      </c>
      <c r="D31" s="263">
        <v>45994</v>
      </c>
      <c r="E31" s="267">
        <f>244.8+61.2</f>
        <v>306</v>
      </c>
      <c r="F31" s="267">
        <v>61.2</v>
      </c>
      <c r="G31" s="290">
        <v>281.52</v>
      </c>
      <c r="H31" s="267">
        <v>36.72</v>
      </c>
      <c r="I31" s="291">
        <v>46080</v>
      </c>
      <c r="J31" s="50">
        <f>+E31-F31</f>
        <v>244.8</v>
      </c>
      <c r="K31" s="47">
        <f t="shared" si="0"/>
        <v>86</v>
      </c>
      <c r="L31" s="5">
        <v>0.03</v>
      </c>
      <c r="M31" s="6">
        <f t="shared" si="1"/>
        <v>7.3440000000000003</v>
      </c>
      <c r="O31" s="78"/>
    </row>
    <row r="32" spans="1:15" ht="15" customHeight="1" x14ac:dyDescent="0.25">
      <c r="A32" s="235"/>
      <c r="B32" s="236"/>
      <c r="C32" s="237"/>
      <c r="D32" s="263"/>
      <c r="E32" s="267"/>
      <c r="F32" s="267"/>
      <c r="G32" s="6"/>
      <c r="H32" s="267"/>
      <c r="I32" s="263"/>
      <c r="J32" s="50"/>
      <c r="K32" s="47"/>
      <c r="L32" s="5"/>
      <c r="M32" s="6"/>
      <c r="O32" s="78"/>
    </row>
    <row r="33" spans="1:15" ht="15" customHeight="1" x14ac:dyDescent="0.25">
      <c r="A33" s="235"/>
      <c r="B33" s="231"/>
      <c r="C33" s="184"/>
      <c r="D33" s="216"/>
      <c r="E33" s="232"/>
      <c r="F33" s="232"/>
      <c r="G33" s="232"/>
      <c r="H33" s="87"/>
      <c r="I33" s="247"/>
      <c r="J33" s="50"/>
      <c r="K33" s="47"/>
      <c r="L33" s="5"/>
      <c r="M33" s="6"/>
      <c r="O33" s="78"/>
    </row>
    <row r="34" spans="1:15" ht="15" customHeight="1" x14ac:dyDescent="0.25">
      <c r="A34" s="171"/>
      <c r="B34" s="160"/>
      <c r="C34" s="171"/>
      <c r="D34" s="201"/>
      <c r="E34" s="87"/>
      <c r="F34" s="87"/>
      <c r="G34" s="94"/>
      <c r="H34" s="87"/>
      <c r="I34" s="247"/>
      <c r="J34" s="50"/>
      <c r="K34" s="47"/>
      <c r="L34" s="5"/>
      <c r="M34" s="6"/>
      <c r="O34" s="78"/>
    </row>
    <row r="35" spans="1:15" ht="15" customHeight="1" x14ac:dyDescent="0.3">
      <c r="G35" s="16">
        <f>SUM(G8:G34)</f>
        <v>5705.59</v>
      </c>
      <c r="J35" s="16">
        <f>SUM(J8:J34)</f>
        <v>5099.4386956521739</v>
      </c>
      <c r="M35" s="16">
        <f>SUM(M8:M34)</f>
        <v>167.94004347826086</v>
      </c>
      <c r="O35" s="78"/>
    </row>
    <row r="36" spans="1:15" ht="15" customHeight="1" x14ac:dyDescent="0.25">
      <c r="G36" s="8"/>
      <c r="H36" s="8"/>
      <c r="O36" s="78"/>
    </row>
    <row r="37" spans="1:15" ht="15" customHeight="1" x14ac:dyDescent="0.25">
      <c r="A37" s="17" t="s">
        <v>19</v>
      </c>
      <c r="B37" s="18" t="s">
        <v>20</v>
      </c>
      <c r="C37" s="18" t="s">
        <v>21</v>
      </c>
      <c r="J37" s="8"/>
      <c r="O37" s="78"/>
    </row>
    <row r="38" spans="1:15" s="52" customFormat="1" ht="14.4" x14ac:dyDescent="0.3">
      <c r="A38" s="289" t="s">
        <v>40</v>
      </c>
      <c r="B38" s="235" t="s">
        <v>1531</v>
      </c>
      <c r="C38" s="237" t="s">
        <v>1536</v>
      </c>
      <c r="D38" s="263">
        <v>46056</v>
      </c>
      <c r="E38" s="267">
        <f>655.65+218.55</f>
        <v>874.2</v>
      </c>
      <c r="F38" s="267">
        <v>218.55</v>
      </c>
      <c r="G38" s="290">
        <v>713.02</v>
      </c>
      <c r="H38" s="267">
        <v>98.35</v>
      </c>
      <c r="I38" s="291">
        <v>46087</v>
      </c>
      <c r="J38" s="50">
        <f>+E38-F38</f>
        <v>655.65000000000009</v>
      </c>
      <c r="K38" s="47">
        <f>+I38-D38</f>
        <v>31</v>
      </c>
      <c r="L38" s="48">
        <v>0.03</v>
      </c>
      <c r="M38" s="49">
        <f>+J38*L38</f>
        <v>19.669500000000003</v>
      </c>
      <c r="N38" s="60"/>
      <c r="O38" s="78"/>
    </row>
    <row r="39" spans="1:15" s="52" customFormat="1" ht="14.4" x14ac:dyDescent="0.3">
      <c r="A39" s="289" t="s">
        <v>38</v>
      </c>
      <c r="B39" s="235" t="s">
        <v>1532</v>
      </c>
      <c r="C39" s="237" t="s">
        <v>1537</v>
      </c>
      <c r="D39" s="263">
        <v>46064</v>
      </c>
      <c r="E39" s="267">
        <f>477.36+134.64</f>
        <v>612</v>
      </c>
      <c r="F39" s="267">
        <v>134.63999999999999</v>
      </c>
      <c r="G39" s="290">
        <v>519.13</v>
      </c>
      <c r="H39" s="267">
        <v>71.599999999999994</v>
      </c>
      <c r="I39" s="291">
        <v>46097</v>
      </c>
      <c r="J39" s="50">
        <f t="shared" ref="J39:J42" si="4">+E39-F39</f>
        <v>477.36</v>
      </c>
      <c r="K39" s="47">
        <f t="shared" ref="K39:K42" si="5">+I39-D39</f>
        <v>33</v>
      </c>
      <c r="L39" s="48">
        <v>0.03</v>
      </c>
      <c r="M39" s="49">
        <f t="shared" ref="M39:M42" si="6">+J39*L39</f>
        <v>14.3208</v>
      </c>
      <c r="N39" s="60"/>
      <c r="O39" s="78"/>
    </row>
    <row r="40" spans="1:15" s="52" customFormat="1" ht="14.4" x14ac:dyDescent="0.3">
      <c r="A40" s="289" t="s">
        <v>52</v>
      </c>
      <c r="B40" s="235" t="s">
        <v>1533</v>
      </c>
      <c r="C40" s="237" t="s">
        <v>1538</v>
      </c>
      <c r="D40" s="263">
        <v>46062</v>
      </c>
      <c r="E40" s="267">
        <f>652.5+217.5</f>
        <v>870</v>
      </c>
      <c r="F40" s="267">
        <v>217.5</v>
      </c>
      <c r="G40" s="290">
        <v>709.6</v>
      </c>
      <c r="H40" s="267">
        <v>97.88</v>
      </c>
      <c r="I40" s="291">
        <v>46125</v>
      </c>
      <c r="J40" s="50">
        <f t="shared" si="4"/>
        <v>652.5</v>
      </c>
      <c r="K40" s="47">
        <f t="shared" si="5"/>
        <v>63</v>
      </c>
      <c r="L40" s="48">
        <v>0.03</v>
      </c>
      <c r="M40" s="49">
        <f t="shared" si="6"/>
        <v>19.574999999999999</v>
      </c>
      <c r="N40" s="60"/>
      <c r="O40" s="78"/>
    </row>
    <row r="41" spans="1:15" s="52" customFormat="1" ht="14.4" x14ac:dyDescent="0.3">
      <c r="A41" s="289" t="s">
        <v>1132</v>
      </c>
      <c r="B41" s="235" t="s">
        <v>1534</v>
      </c>
      <c r="C41" s="237" t="s">
        <v>1539</v>
      </c>
      <c r="D41" s="263">
        <v>45966</v>
      </c>
      <c r="E41" s="267">
        <f>191.15+33.73</f>
        <v>224.88</v>
      </c>
      <c r="F41" s="267">
        <v>33.729999999999997</v>
      </c>
      <c r="G41" s="290">
        <v>219.82</v>
      </c>
      <c r="H41" s="267">
        <v>28.67</v>
      </c>
      <c r="I41" s="291">
        <v>46083</v>
      </c>
      <c r="J41" s="50">
        <f t="shared" si="4"/>
        <v>191.15</v>
      </c>
      <c r="K41" s="47">
        <f t="shared" si="5"/>
        <v>117</v>
      </c>
      <c r="L41" s="48">
        <v>0.03</v>
      </c>
      <c r="M41" s="49">
        <f t="shared" si="6"/>
        <v>5.7344999999999997</v>
      </c>
      <c r="N41" s="60"/>
      <c r="O41" s="78"/>
    </row>
    <row r="42" spans="1:15" s="52" customFormat="1" ht="14.4" x14ac:dyDescent="0.3">
      <c r="A42" s="289" t="s">
        <v>1037</v>
      </c>
      <c r="B42" s="235" t="s">
        <v>1535</v>
      </c>
      <c r="C42" s="237" t="s">
        <v>1540</v>
      </c>
      <c r="D42" s="263">
        <v>46017</v>
      </c>
      <c r="E42" s="267">
        <f>994.5+175.5</f>
        <v>1170</v>
      </c>
      <c r="F42" s="267">
        <v>175.5</v>
      </c>
      <c r="G42" s="290">
        <v>1081.53</v>
      </c>
      <c r="H42" s="267">
        <v>149.18</v>
      </c>
      <c r="I42" s="291">
        <v>46139</v>
      </c>
      <c r="J42" s="50">
        <f t="shared" si="4"/>
        <v>994.5</v>
      </c>
      <c r="K42" s="47">
        <f t="shared" si="5"/>
        <v>122</v>
      </c>
      <c r="L42" s="48">
        <v>0.03</v>
      </c>
      <c r="M42" s="49">
        <f t="shared" si="6"/>
        <v>29.834999999999997</v>
      </c>
      <c r="N42" s="230"/>
      <c r="O42" s="78"/>
    </row>
    <row r="43" spans="1:15" s="52" customFormat="1" ht="15" x14ac:dyDescent="0.25">
      <c r="A43" s="101"/>
      <c r="B43" s="102"/>
      <c r="C43" s="102"/>
      <c r="D43" s="105"/>
      <c r="E43" s="188"/>
      <c r="F43" s="188"/>
      <c r="G43" s="188"/>
      <c r="H43" s="104"/>
      <c r="I43" s="248"/>
      <c r="J43" s="50"/>
      <c r="K43" s="47"/>
      <c r="L43" s="48"/>
      <c r="M43" s="49"/>
      <c r="N43" s="60"/>
      <c r="O43" s="78"/>
    </row>
    <row r="44" spans="1:15" s="52" customFormat="1" ht="15.6" thickBot="1" x14ac:dyDescent="0.3">
      <c r="A44" s="101"/>
      <c r="B44" s="102"/>
      <c r="C44" s="101"/>
      <c r="D44" s="105"/>
      <c r="E44" s="92"/>
      <c r="F44" s="92"/>
      <c r="G44" s="90"/>
      <c r="H44" s="92"/>
      <c r="I44" s="248"/>
      <c r="J44" s="50"/>
      <c r="K44" s="47"/>
      <c r="L44" s="48"/>
      <c r="M44" s="49"/>
      <c r="N44" s="60"/>
      <c r="O44" s="78"/>
    </row>
    <row r="45" spans="1:15" ht="15" customHeight="1" thickBot="1" x14ac:dyDescent="0.35">
      <c r="A45" s="332" t="s">
        <v>29</v>
      </c>
      <c r="B45" s="332"/>
      <c r="C45" s="332"/>
      <c r="D45" s="332"/>
      <c r="E45" s="332"/>
      <c r="F45" s="332"/>
      <c r="G45" s="16">
        <f>SUM(G35:G44)</f>
        <v>8948.69</v>
      </c>
      <c r="J45" s="16">
        <f>SUM(J35:J44)</f>
        <v>8070.5986956521729</v>
      </c>
      <c r="L45" s="20"/>
      <c r="M45" s="21">
        <f>SUM(M35:M44)</f>
        <v>257.07484347826085</v>
      </c>
    </row>
    <row r="46" spans="1:15" ht="15" customHeight="1" x14ac:dyDescent="0.3">
      <c r="A46" s="22"/>
      <c r="G46" s="8"/>
    </row>
    <row r="47" spans="1:15" ht="15" customHeight="1" x14ac:dyDescent="0.3">
      <c r="A47" s="39"/>
      <c r="G47" s="8"/>
      <c r="J47" s="8"/>
    </row>
    <row r="48" spans="1:15" ht="15" customHeight="1" x14ac:dyDescent="0.3">
      <c r="A48" s="39"/>
      <c r="G48" s="8"/>
      <c r="J48" s="8"/>
    </row>
    <row r="49" spans="1:15" ht="15" customHeight="1" x14ac:dyDescent="0.3">
      <c r="A49" s="39"/>
      <c r="G49" s="8"/>
      <c r="J49" s="8"/>
    </row>
    <row r="50" spans="1:15" ht="15" customHeight="1" x14ac:dyDescent="0.3">
      <c r="A50" s="39"/>
      <c r="G50" s="8"/>
      <c r="J50" s="8"/>
      <c r="M50" s="8">
        <f>M45/12</f>
        <v>21.422903623188404</v>
      </c>
      <c r="N50" s="59" t="s">
        <v>1505</v>
      </c>
    </row>
    <row r="51" spans="1:15" ht="15" customHeight="1" x14ac:dyDescent="0.3">
      <c r="A51" s="39"/>
      <c r="G51" s="8"/>
      <c r="J51" s="8"/>
      <c r="M51" s="8">
        <f>M45/24</f>
        <v>10.711451811594202</v>
      </c>
      <c r="N51" s="59" t="s">
        <v>1505</v>
      </c>
    </row>
    <row r="52" spans="1:15" ht="15" customHeight="1" x14ac:dyDescent="0.25">
      <c r="A52" s="30" t="s">
        <v>0</v>
      </c>
      <c r="B52" s="30"/>
      <c r="C52" s="30"/>
      <c r="D52" s="30"/>
      <c r="E52" s="30"/>
      <c r="F52" s="30"/>
      <c r="G52" s="24"/>
      <c r="H52" s="25"/>
      <c r="I52" s="249"/>
      <c r="J52" s="26"/>
      <c r="K52" s="27"/>
      <c r="L52" s="28"/>
      <c r="M52" s="29"/>
    </row>
    <row r="53" spans="1:15" ht="15" customHeight="1" x14ac:dyDescent="0.25">
      <c r="A53" s="30" t="s">
        <v>1</v>
      </c>
      <c r="B53" s="30"/>
      <c r="C53" s="30"/>
      <c r="D53" s="30"/>
      <c r="E53" s="30"/>
      <c r="F53" s="30"/>
      <c r="G53" s="24"/>
      <c r="H53" s="25"/>
      <c r="I53" s="249"/>
      <c r="J53" s="27"/>
      <c r="K53" s="27"/>
      <c r="L53" s="28"/>
      <c r="M53" s="29"/>
    </row>
    <row r="54" spans="1:15" ht="15" customHeight="1" x14ac:dyDescent="0.25">
      <c r="A54" s="30"/>
      <c r="B54" s="30" t="s">
        <v>1506</v>
      </c>
      <c r="C54" s="30"/>
      <c r="D54" s="64"/>
      <c r="E54" s="30"/>
      <c r="F54" s="30"/>
      <c r="G54" s="24"/>
      <c r="H54" s="25"/>
      <c r="I54" s="249"/>
      <c r="J54" s="27"/>
      <c r="K54" s="27"/>
      <c r="L54" s="28"/>
      <c r="M54" s="29"/>
    </row>
    <row r="55" spans="1:15" ht="15" customHeight="1" thickBot="1" x14ac:dyDescent="0.3">
      <c r="A55" s="30"/>
      <c r="B55" s="30" t="s">
        <v>1130</v>
      </c>
      <c r="C55" s="30"/>
      <c r="D55" s="64"/>
      <c r="E55" s="30"/>
      <c r="F55" s="30"/>
      <c r="G55" s="32"/>
      <c r="H55" s="24"/>
      <c r="I55" s="250"/>
      <c r="J55" s="33"/>
      <c r="K55" s="27"/>
      <c r="L55" s="28"/>
      <c r="M55" s="29"/>
    </row>
    <row r="56" spans="1:15" ht="15" customHeight="1" x14ac:dyDescent="0.25">
      <c r="A56" s="34" t="s">
        <v>66</v>
      </c>
      <c r="B56" s="182"/>
      <c r="C56" s="33"/>
      <c r="D56" s="65"/>
      <c r="E56" s="33"/>
      <c r="F56" s="33"/>
      <c r="G56" s="35" t="s">
        <v>3</v>
      </c>
      <c r="H56" s="27"/>
      <c r="I56" s="249"/>
      <c r="J56" s="36" t="s">
        <v>4</v>
      </c>
      <c r="K56" s="56" t="s">
        <v>5</v>
      </c>
      <c r="L56" s="40" t="s">
        <v>6</v>
      </c>
      <c r="M56" s="36" t="s">
        <v>7</v>
      </c>
      <c r="O56" s="8"/>
    </row>
    <row r="57" spans="1:15" ht="15" customHeight="1" thickBot="1" x14ac:dyDescent="0.3">
      <c r="A57" s="11" t="s">
        <v>8</v>
      </c>
      <c r="B57" s="11" t="s">
        <v>9</v>
      </c>
      <c r="C57" s="11" t="s">
        <v>10</v>
      </c>
      <c r="D57" s="66" t="s">
        <v>11</v>
      </c>
      <c r="E57" s="11" t="s">
        <v>12</v>
      </c>
      <c r="F57" s="54" t="s">
        <v>50</v>
      </c>
      <c r="G57" s="12" t="s">
        <v>13</v>
      </c>
      <c r="H57" s="13" t="s">
        <v>14</v>
      </c>
      <c r="I57" s="251" t="s">
        <v>15</v>
      </c>
      <c r="J57" s="14" t="s">
        <v>16</v>
      </c>
      <c r="K57" s="57"/>
      <c r="L57" s="58" t="s">
        <v>17</v>
      </c>
      <c r="M57" s="14" t="s">
        <v>39</v>
      </c>
      <c r="O57" s="8"/>
    </row>
    <row r="58" spans="1:15" ht="15" customHeight="1" x14ac:dyDescent="0.3">
      <c r="A58" s="289" t="s">
        <v>1263</v>
      </c>
      <c r="B58" s="236" t="s">
        <v>75</v>
      </c>
      <c r="C58" s="237" t="s">
        <v>1625</v>
      </c>
      <c r="D58" s="263">
        <v>46050</v>
      </c>
      <c r="E58" s="267">
        <f>202.85+30.31</f>
        <v>233.16</v>
      </c>
      <c r="F58" s="267">
        <v>30.31</v>
      </c>
      <c r="G58" s="290">
        <v>50</v>
      </c>
      <c r="H58" s="267">
        <v>30.43</v>
      </c>
      <c r="I58" s="291">
        <v>46079</v>
      </c>
      <c r="J58" s="50">
        <f>50/1.15</f>
        <v>43.478260869565219</v>
      </c>
      <c r="K58" s="47">
        <f t="shared" ref="K58:K66" si="7">+I58-D58</f>
        <v>29</v>
      </c>
      <c r="L58" s="48">
        <v>3.5000000000000003E-2</v>
      </c>
      <c r="M58" s="49">
        <f t="shared" ref="M58:M63" si="8">+J58*L58</f>
        <v>1.5217391304347827</v>
      </c>
      <c r="O58" s="78"/>
    </row>
    <row r="59" spans="1:15" ht="15" customHeight="1" x14ac:dyDescent="0.3">
      <c r="A59" s="289" t="s">
        <v>1623</v>
      </c>
      <c r="B59" s="236" t="s">
        <v>75</v>
      </c>
      <c r="C59" s="237" t="s">
        <v>1626</v>
      </c>
      <c r="D59" s="263">
        <v>46048</v>
      </c>
      <c r="E59" s="267">
        <f>219.84+54.96</f>
        <v>274.8</v>
      </c>
      <c r="F59" s="267">
        <v>54.96</v>
      </c>
      <c r="G59" s="290">
        <v>239.08</v>
      </c>
      <c r="H59" s="267">
        <v>32.979999999999997</v>
      </c>
      <c r="I59" s="291">
        <v>46077</v>
      </c>
      <c r="J59" s="50">
        <f t="shared" ref="J59:J61" si="9">E59-F59</f>
        <v>219.84</v>
      </c>
      <c r="K59" s="47">
        <f t="shared" si="7"/>
        <v>29</v>
      </c>
      <c r="L59" s="48">
        <v>3.5000000000000003E-2</v>
      </c>
      <c r="M59" s="49">
        <f t="shared" si="8"/>
        <v>7.6944000000000008</v>
      </c>
      <c r="O59" s="78"/>
    </row>
    <row r="60" spans="1:15" ht="15" customHeight="1" x14ac:dyDescent="0.3">
      <c r="A60" s="289" t="s">
        <v>1263</v>
      </c>
      <c r="B60" s="236" t="s">
        <v>75</v>
      </c>
      <c r="C60" s="237" t="s">
        <v>1625</v>
      </c>
      <c r="D60" s="263">
        <v>46050</v>
      </c>
      <c r="E60" s="267">
        <f>202.85+30.31</f>
        <v>233.16</v>
      </c>
      <c r="F60" s="267">
        <v>30.31</v>
      </c>
      <c r="G60" s="290">
        <v>50</v>
      </c>
      <c r="H60" s="267">
        <v>30.43</v>
      </c>
      <c r="I60" s="291">
        <v>46073</v>
      </c>
      <c r="J60" s="50">
        <f>50/1.15</f>
        <v>43.478260869565219</v>
      </c>
      <c r="K60" s="47">
        <f t="shared" si="7"/>
        <v>23</v>
      </c>
      <c r="L60" s="48">
        <v>3.5000000000000003E-2</v>
      </c>
      <c r="M60" s="49">
        <f t="shared" si="8"/>
        <v>1.5217391304347827</v>
      </c>
      <c r="O60" s="78"/>
    </row>
    <row r="61" spans="1:15" ht="15" customHeight="1" x14ac:dyDescent="0.3">
      <c r="A61" s="289" t="s">
        <v>1624</v>
      </c>
      <c r="B61" s="236" t="s">
        <v>1452</v>
      </c>
      <c r="C61" s="237" t="s">
        <v>1467</v>
      </c>
      <c r="D61" s="263">
        <v>46052</v>
      </c>
      <c r="E61" s="267">
        <f>1069.06+267.26</f>
        <v>1336.32</v>
      </c>
      <c r="F61" s="267">
        <v>267.26</v>
      </c>
      <c r="G61" s="290">
        <v>1162.5999999999999</v>
      </c>
      <c r="H61" s="267">
        <v>160.36000000000001</v>
      </c>
      <c r="I61" s="291">
        <v>46072</v>
      </c>
      <c r="J61" s="50">
        <f t="shared" si="9"/>
        <v>1069.06</v>
      </c>
      <c r="K61" s="47">
        <f t="shared" si="7"/>
        <v>20</v>
      </c>
      <c r="L61" s="48">
        <v>3.5000000000000003E-2</v>
      </c>
      <c r="M61" s="49">
        <f t="shared" ref="M61:M62" si="10">+J61*L61</f>
        <v>37.417100000000005</v>
      </c>
      <c r="O61" s="78"/>
    </row>
    <row r="62" spans="1:15" ht="15" customHeight="1" x14ac:dyDescent="0.3">
      <c r="A62" s="289" t="s">
        <v>1263</v>
      </c>
      <c r="B62" s="236" t="s">
        <v>75</v>
      </c>
      <c r="C62" s="237" t="s">
        <v>1625</v>
      </c>
      <c r="D62" s="263">
        <v>46050</v>
      </c>
      <c r="E62" s="267">
        <f>202.85+30.31</f>
        <v>233.16</v>
      </c>
      <c r="F62" s="267">
        <v>30.31</v>
      </c>
      <c r="G62" s="290">
        <v>50</v>
      </c>
      <c r="H62" s="267">
        <v>30.43</v>
      </c>
      <c r="I62" s="291">
        <v>46065</v>
      </c>
      <c r="J62" s="50">
        <f t="shared" ref="J62:J63" si="11">50/1.15</f>
        <v>43.478260869565219</v>
      </c>
      <c r="K62" s="47">
        <f t="shared" si="7"/>
        <v>15</v>
      </c>
      <c r="L62" s="48">
        <v>3.5000000000000003E-2</v>
      </c>
      <c r="M62" s="49">
        <f t="shared" si="10"/>
        <v>1.5217391304347827</v>
      </c>
      <c r="O62" s="78"/>
    </row>
    <row r="63" spans="1:15" ht="15" customHeight="1" x14ac:dyDescent="0.3">
      <c r="A63" s="289" t="s">
        <v>1263</v>
      </c>
      <c r="B63" s="236" t="s">
        <v>75</v>
      </c>
      <c r="C63" s="237" t="s">
        <v>1625</v>
      </c>
      <c r="D63" s="263">
        <v>46050</v>
      </c>
      <c r="E63" s="267">
        <f>202.85+30.31</f>
        <v>233.16</v>
      </c>
      <c r="F63" s="267">
        <v>30.31</v>
      </c>
      <c r="G63" s="290">
        <v>50</v>
      </c>
      <c r="H63" s="267">
        <v>30.43</v>
      </c>
      <c r="I63" s="291">
        <v>46063</v>
      </c>
      <c r="J63" s="50">
        <f t="shared" si="11"/>
        <v>43.478260869565219</v>
      </c>
      <c r="K63" s="47">
        <f t="shared" si="7"/>
        <v>13</v>
      </c>
      <c r="L63" s="48">
        <v>3.5000000000000003E-2</v>
      </c>
      <c r="M63" s="49">
        <f t="shared" si="8"/>
        <v>1.5217391304347827</v>
      </c>
      <c r="O63" s="78"/>
    </row>
    <row r="64" spans="1:15" ht="15" customHeight="1" x14ac:dyDescent="0.3">
      <c r="A64" s="289" t="s">
        <v>1263</v>
      </c>
      <c r="B64" s="236" t="s">
        <v>75</v>
      </c>
      <c r="C64" s="237" t="s">
        <v>1625</v>
      </c>
      <c r="D64" s="263">
        <v>46050</v>
      </c>
      <c r="E64" s="267">
        <f>202.85+30.31</f>
        <v>233.16</v>
      </c>
      <c r="F64" s="267">
        <v>30.31</v>
      </c>
      <c r="G64" s="290">
        <v>33.28</v>
      </c>
      <c r="H64" s="267">
        <v>30.43</v>
      </c>
      <c r="I64" s="291">
        <v>46062</v>
      </c>
      <c r="J64" s="50">
        <f>33.28/1.15</f>
        <v>28.939130434782612</v>
      </c>
      <c r="K64" s="47">
        <f t="shared" si="7"/>
        <v>12</v>
      </c>
      <c r="L64" s="48">
        <v>3.5000000000000003E-2</v>
      </c>
      <c r="M64" s="49">
        <f t="shared" ref="M64:M66" si="12">+J64*L64</f>
        <v>1.0128695652173916</v>
      </c>
      <c r="O64" s="78"/>
    </row>
    <row r="65" spans="1:15" ht="15" customHeight="1" x14ac:dyDescent="0.3">
      <c r="A65" s="289" t="s">
        <v>100</v>
      </c>
      <c r="B65" s="236" t="s">
        <v>75</v>
      </c>
      <c r="C65" s="237" t="s">
        <v>1627</v>
      </c>
      <c r="D65" s="263">
        <v>46021</v>
      </c>
      <c r="E65" s="267">
        <f>147.9+26.1</f>
        <v>174</v>
      </c>
      <c r="F65" s="267">
        <v>26.1</v>
      </c>
      <c r="G65" s="290">
        <v>170.09</v>
      </c>
      <c r="H65" s="267">
        <v>22.19</v>
      </c>
      <c r="I65" s="291">
        <v>46059</v>
      </c>
      <c r="J65" s="50">
        <f t="shared" ref="J65:J66" si="13">E65-F65</f>
        <v>147.9</v>
      </c>
      <c r="K65" s="47">
        <f t="shared" si="7"/>
        <v>38</v>
      </c>
      <c r="L65" s="48">
        <v>0.03</v>
      </c>
      <c r="M65" s="49">
        <f t="shared" si="12"/>
        <v>4.4370000000000003</v>
      </c>
      <c r="O65" s="78"/>
    </row>
    <row r="66" spans="1:15" ht="15" customHeight="1" x14ac:dyDescent="0.3">
      <c r="A66" s="289" t="s">
        <v>1249</v>
      </c>
      <c r="B66" s="236" t="s">
        <v>1250</v>
      </c>
      <c r="C66" s="237" t="s">
        <v>1628</v>
      </c>
      <c r="D66" s="263">
        <v>46057</v>
      </c>
      <c r="E66" s="267">
        <f>280.8+70.2</f>
        <v>351</v>
      </c>
      <c r="F66" s="267">
        <v>70.2</v>
      </c>
      <c r="G66" s="290">
        <v>322.92</v>
      </c>
      <c r="H66" s="267">
        <v>42.12</v>
      </c>
      <c r="I66" s="291">
        <v>46057</v>
      </c>
      <c r="J66" s="50">
        <f t="shared" si="13"/>
        <v>280.8</v>
      </c>
      <c r="K66" s="47">
        <f t="shared" si="7"/>
        <v>0</v>
      </c>
      <c r="L66" s="48">
        <v>0.04</v>
      </c>
      <c r="M66" s="49">
        <f t="shared" si="12"/>
        <v>11.232000000000001</v>
      </c>
      <c r="O66" s="78"/>
    </row>
    <row r="67" spans="1:15" ht="15" customHeight="1" x14ac:dyDescent="0.25">
      <c r="A67" s="235"/>
      <c r="B67" s="236"/>
      <c r="C67" s="237"/>
      <c r="D67" s="238"/>
      <c r="E67" s="239"/>
      <c r="F67" s="239"/>
      <c r="G67" s="6"/>
      <c r="H67" s="239"/>
      <c r="I67" s="253"/>
      <c r="J67" s="50"/>
      <c r="K67" s="47"/>
      <c r="L67" s="48"/>
      <c r="M67" s="49"/>
    </row>
    <row r="68" spans="1:15" ht="15" customHeight="1" x14ac:dyDescent="0.25">
      <c r="A68" s="171"/>
      <c r="B68" s="160"/>
      <c r="C68" s="171"/>
      <c r="D68" s="172"/>
      <c r="E68" s="87"/>
      <c r="F68" s="87"/>
      <c r="G68" s="94"/>
      <c r="H68" s="87"/>
      <c r="I68" s="247"/>
      <c r="J68" s="50"/>
      <c r="K68" s="47"/>
      <c r="L68" s="48"/>
      <c r="M68" s="49"/>
    </row>
    <row r="69" spans="1:15" ht="15" customHeight="1" x14ac:dyDescent="0.3">
      <c r="A69" s="42"/>
      <c r="B69" s="43"/>
      <c r="C69" s="43"/>
      <c r="D69" s="68"/>
      <c r="E69" s="44"/>
      <c r="F69" s="44"/>
      <c r="G69" s="45"/>
      <c r="H69" s="46"/>
      <c r="I69" s="260"/>
      <c r="J69" s="50"/>
      <c r="K69" s="47"/>
      <c r="L69" s="48"/>
      <c r="M69" s="49"/>
    </row>
    <row r="70" spans="1:15" ht="15" customHeight="1" x14ac:dyDescent="0.25">
      <c r="A70" s="213"/>
      <c r="B70" s="213"/>
      <c r="C70" s="213"/>
      <c r="D70" s="213"/>
      <c r="E70" s="213"/>
      <c r="F70" s="213"/>
      <c r="G70" s="75">
        <f>SUM(G58:G69)</f>
        <v>2127.9699999999998</v>
      </c>
      <c r="H70" s="80"/>
      <c r="I70" s="261"/>
      <c r="J70" s="75">
        <f>SUM(J58:J69)</f>
        <v>1920.4521739130435</v>
      </c>
      <c r="K70" s="82"/>
      <c r="L70" s="82"/>
      <c r="M70" s="75">
        <f>SUM(M58:M69)</f>
        <v>67.880326086956529</v>
      </c>
    </row>
    <row r="71" spans="1:15" ht="15" customHeight="1" x14ac:dyDescent="0.25">
      <c r="A71" s="76"/>
      <c r="B71" s="76"/>
      <c r="C71" s="76"/>
      <c r="D71" s="77"/>
      <c r="E71" s="76"/>
      <c r="F71" s="76"/>
      <c r="G71" s="78"/>
      <c r="H71" s="52"/>
      <c r="I71" s="262"/>
      <c r="J71" s="52"/>
      <c r="K71" s="52"/>
      <c r="L71" s="52"/>
      <c r="M71" s="52"/>
    </row>
    <row r="72" spans="1:15" x14ac:dyDescent="0.25">
      <c r="A72" s="76"/>
      <c r="B72" s="76"/>
      <c r="C72" s="76"/>
      <c r="D72" s="77"/>
      <c r="E72" s="76"/>
      <c r="F72" s="76"/>
      <c r="G72" s="78"/>
      <c r="H72" s="52"/>
      <c r="I72" s="262"/>
      <c r="J72" s="78"/>
      <c r="K72" s="52"/>
      <c r="L72" s="52"/>
      <c r="M72" s="78"/>
    </row>
    <row r="73" spans="1:15" x14ac:dyDescent="0.25">
      <c r="A73" s="52" t="s">
        <v>19</v>
      </c>
      <c r="B73" s="76" t="s">
        <v>20</v>
      </c>
      <c r="C73" s="76" t="s">
        <v>21</v>
      </c>
      <c r="D73" s="79"/>
      <c r="E73" s="52"/>
      <c r="F73" s="52"/>
      <c r="G73" s="78"/>
      <c r="H73" s="52"/>
      <c r="I73" s="262"/>
      <c r="J73" s="52"/>
      <c r="K73" s="52"/>
      <c r="L73" s="52"/>
      <c r="M73" s="52"/>
    </row>
    <row r="74" spans="1:15" s="52" customFormat="1" x14ac:dyDescent="0.25">
      <c r="A74" s="235"/>
      <c r="B74" s="235"/>
      <c r="C74" s="237"/>
      <c r="D74" s="263"/>
      <c r="E74" s="267"/>
      <c r="F74" s="267"/>
      <c r="G74" s="6"/>
      <c r="H74" s="267"/>
      <c r="I74" s="263"/>
      <c r="J74" s="50"/>
      <c r="K74" s="47"/>
      <c r="L74" s="48"/>
      <c r="M74" s="49"/>
      <c r="N74" s="60"/>
    </row>
    <row r="75" spans="1:15" ht="15.6" thickBot="1" x14ac:dyDescent="0.3">
      <c r="A75" s="91"/>
      <c r="B75" s="102"/>
      <c r="C75" s="93"/>
      <c r="D75" s="88"/>
      <c r="E75" s="92"/>
      <c r="F75" s="92"/>
      <c r="G75" s="90"/>
      <c r="H75" s="92"/>
      <c r="I75" s="248"/>
      <c r="J75" s="50"/>
      <c r="K75" s="47"/>
      <c r="L75" s="48"/>
      <c r="M75" s="49"/>
    </row>
    <row r="76" spans="1:15" ht="16.2" thickBot="1" x14ac:dyDescent="0.35">
      <c r="A76" s="212" t="s">
        <v>29</v>
      </c>
      <c r="B76" s="212"/>
      <c r="C76" s="212"/>
      <c r="D76" s="212"/>
      <c r="E76" s="212"/>
      <c r="F76" s="212"/>
      <c r="G76" s="37">
        <f>SUM(G70:G75)</f>
        <v>2127.9699999999998</v>
      </c>
      <c r="I76" s="252"/>
      <c r="J76" s="37">
        <f>SUM(J70:J75)</f>
        <v>1920.4521739130435</v>
      </c>
      <c r="L76" s="20"/>
      <c r="M76" s="38">
        <f>SUM(M70:M75)</f>
        <v>67.880326086956529</v>
      </c>
    </row>
    <row r="77" spans="1:15" x14ac:dyDescent="0.25">
      <c r="A77" s="19"/>
      <c r="E77" s="19"/>
      <c r="F77" s="19"/>
      <c r="G77" s="8"/>
      <c r="I77" s="252"/>
    </row>
    <row r="79" spans="1:15" x14ac:dyDescent="0.25">
      <c r="J79" s="8"/>
    </row>
    <row r="80" spans="1:15" x14ac:dyDescent="0.25">
      <c r="J80" s="8"/>
    </row>
    <row r="81" spans="10:14" x14ac:dyDescent="0.25">
      <c r="J81" s="8">
        <f>(J45+J76)*2%</f>
        <v>199.82101739130434</v>
      </c>
      <c r="M81" s="8">
        <f>M76/12</f>
        <v>5.6566938405797105</v>
      </c>
      <c r="N81" s="59" t="s">
        <v>1504</v>
      </c>
    </row>
    <row r="82" spans="10:14" x14ac:dyDescent="0.25">
      <c r="J82" s="8">
        <f>J81/12</f>
        <v>16.651751449275363</v>
      </c>
      <c r="K82" s="7" t="s">
        <v>876</v>
      </c>
      <c r="M82" s="8">
        <f>M76/24</f>
        <v>2.8283469202898552</v>
      </c>
      <c r="N82" s="59" t="s">
        <v>1504</v>
      </c>
    </row>
    <row r="83" spans="10:14" x14ac:dyDescent="0.25">
      <c r="J83" s="8">
        <f>J81/24</f>
        <v>8.3258757246376813</v>
      </c>
      <c r="K83" s="7" t="s">
        <v>876</v>
      </c>
    </row>
  </sheetData>
  <sortState xmlns:xlrd2="http://schemas.microsoft.com/office/spreadsheetml/2017/richdata2" ref="A8:P31">
    <sortCondition ref="I8:I31"/>
  </sortState>
  <mergeCells count="2">
    <mergeCell ref="A3:F3"/>
    <mergeCell ref="A45:F45"/>
  </mergeCells>
  <pageMargins left="0.39370078740157483" right="0" top="0.19685039370078741" bottom="0" header="0" footer="0"/>
  <pageSetup paperSize="9" scale="80" orientation="landscape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71EE-C88B-44B1-A19E-0993F809801A}">
  <dimension ref="A1:O77"/>
  <sheetViews>
    <sheetView topLeftCell="C56" workbookViewId="0">
      <selection activeCell="J73" sqref="J73"/>
    </sheetView>
  </sheetViews>
  <sheetFormatPr baseColWidth="10" defaultColWidth="11.44140625" defaultRowHeight="13.2" x14ac:dyDescent="0.25"/>
  <cols>
    <col min="1" max="1" width="17.5546875" style="7" customWidth="1"/>
    <col min="2" max="2" width="20.5546875" style="19" customWidth="1"/>
    <col min="3" max="3" width="18.5546875" style="19" customWidth="1"/>
    <col min="4" max="4" width="10.33203125" style="67" customWidth="1"/>
    <col min="5" max="5" width="11.6640625" style="7" customWidth="1"/>
    <col min="6" max="6" width="9.88671875" style="7" customWidth="1"/>
    <col min="7" max="7" width="11.88671875" style="7" customWidth="1"/>
    <col min="8" max="8" width="9.88671875" style="7" customWidth="1"/>
    <col min="9" max="9" width="10.6640625" style="243" customWidth="1"/>
    <col min="10" max="10" width="13.5546875" style="7" customWidth="1"/>
    <col min="11" max="11" width="7.33203125" style="7" customWidth="1"/>
    <col min="12" max="12" width="6.44140625" style="7" customWidth="1"/>
    <col min="13" max="13" width="10.109375" style="7" customWidth="1"/>
    <col min="14" max="14" width="13" style="59" customWidth="1"/>
    <col min="15" max="16" width="8" style="7" customWidth="1"/>
    <col min="17" max="16384" width="11.44140625" style="7"/>
  </cols>
  <sheetData>
    <row r="1" spans="1:15" ht="15" customHeight="1" x14ac:dyDescent="0.25">
      <c r="B1" s="181"/>
      <c r="C1" s="181"/>
      <c r="G1" s="8"/>
    </row>
    <row r="2" spans="1:15" ht="15" customHeight="1" x14ac:dyDescent="0.25">
      <c r="A2" s="30"/>
      <c r="B2" s="30"/>
      <c r="C2" s="30"/>
      <c r="D2" s="30"/>
      <c r="E2" s="30"/>
      <c r="F2" s="30"/>
      <c r="G2" s="24"/>
      <c r="H2" s="24"/>
      <c r="I2" s="244"/>
      <c r="J2" s="26"/>
      <c r="K2" s="27"/>
      <c r="L2" s="28"/>
      <c r="M2" s="29"/>
    </row>
    <row r="3" spans="1:15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244"/>
      <c r="J3" s="27"/>
      <c r="K3" s="27"/>
      <c r="L3" s="28"/>
      <c r="M3" s="29"/>
    </row>
    <row r="4" spans="1:15" ht="15" customHeight="1" x14ac:dyDescent="0.25">
      <c r="A4" s="30"/>
      <c r="B4" s="30" t="s">
        <v>1507</v>
      </c>
      <c r="C4" s="30"/>
      <c r="D4" s="64"/>
      <c r="E4" s="30"/>
      <c r="F4" s="30"/>
      <c r="G4" s="24"/>
      <c r="H4" s="25"/>
      <c r="I4" s="244"/>
      <c r="J4" s="27"/>
      <c r="K4" s="27"/>
      <c r="L4" s="28"/>
      <c r="M4" s="29"/>
    </row>
    <row r="5" spans="1:15" ht="15" customHeight="1" thickBot="1" x14ac:dyDescent="0.3">
      <c r="A5" s="30"/>
      <c r="B5" s="30" t="s">
        <v>22</v>
      </c>
      <c r="C5" s="30"/>
      <c r="D5" s="64"/>
      <c r="E5" s="30"/>
      <c r="F5" s="30"/>
      <c r="G5" s="32"/>
      <c r="H5" s="24"/>
      <c r="I5" s="245"/>
      <c r="J5" s="33"/>
      <c r="K5" s="27"/>
      <c r="L5" s="28"/>
      <c r="M5" s="29"/>
    </row>
    <row r="6" spans="1:15" ht="15" customHeight="1" x14ac:dyDescent="0.25">
      <c r="A6" s="34"/>
      <c r="B6" s="182"/>
      <c r="C6" s="182"/>
      <c r="D6" s="195"/>
      <c r="E6" s="33"/>
      <c r="F6" s="33"/>
      <c r="G6" s="35" t="s">
        <v>3</v>
      </c>
      <c r="H6" s="27"/>
      <c r="I6" s="244"/>
      <c r="J6" s="36" t="s">
        <v>4</v>
      </c>
      <c r="K6" s="56" t="s">
        <v>5</v>
      </c>
      <c r="L6" s="40" t="s">
        <v>6</v>
      </c>
      <c r="M6" s="36" t="s">
        <v>7</v>
      </c>
    </row>
    <row r="7" spans="1:15" ht="15" customHeight="1" x14ac:dyDescent="0.25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62" t="s">
        <v>13</v>
      </c>
      <c r="H7" s="13" t="s">
        <v>14</v>
      </c>
      <c r="I7" s="246" t="s">
        <v>15</v>
      </c>
      <c r="J7" s="14" t="s">
        <v>16</v>
      </c>
      <c r="K7" s="57"/>
      <c r="L7" s="58" t="s">
        <v>17</v>
      </c>
      <c r="M7" s="14" t="s">
        <v>39</v>
      </c>
    </row>
    <row r="8" spans="1:15" ht="15" customHeight="1" x14ac:dyDescent="0.3">
      <c r="A8" s="289" t="s">
        <v>40</v>
      </c>
      <c r="B8" s="236" t="s">
        <v>18</v>
      </c>
      <c r="C8" s="237" t="s">
        <v>1558</v>
      </c>
      <c r="D8" s="263">
        <v>46111</v>
      </c>
      <c r="E8" s="267">
        <f>98.82+32.94</f>
        <v>131.76</v>
      </c>
      <c r="F8" s="267">
        <v>32.94</v>
      </c>
      <c r="G8" s="290">
        <v>107.21</v>
      </c>
      <c r="H8" s="267">
        <v>14.82</v>
      </c>
      <c r="I8" s="291">
        <v>46112</v>
      </c>
      <c r="J8" s="50">
        <f t="shared" ref="J8:J15" si="0">+E8-F8</f>
        <v>98.82</v>
      </c>
      <c r="K8" s="47">
        <f t="shared" ref="K8:K27" si="1">+I8-D8</f>
        <v>1</v>
      </c>
      <c r="L8" s="5">
        <v>0.04</v>
      </c>
      <c r="M8" s="6">
        <f t="shared" ref="M8:M27" si="2">+J8*L8</f>
        <v>3.9527999999999999</v>
      </c>
      <c r="O8" s="78"/>
    </row>
    <row r="9" spans="1:15" ht="15" customHeight="1" x14ac:dyDescent="0.3">
      <c r="A9" s="289" t="s">
        <v>226</v>
      </c>
      <c r="B9" s="236" t="s">
        <v>18</v>
      </c>
      <c r="C9" s="237" t="s">
        <v>1557</v>
      </c>
      <c r="D9" s="263">
        <v>46107</v>
      </c>
      <c r="E9" s="267">
        <f>122.4+30.6</f>
        <v>153</v>
      </c>
      <c r="F9" s="267">
        <v>30.6</v>
      </c>
      <c r="G9" s="290">
        <v>140.76</v>
      </c>
      <c r="H9" s="267">
        <v>18.36</v>
      </c>
      <c r="I9" s="291">
        <v>46112</v>
      </c>
      <c r="J9" s="50">
        <f t="shared" si="0"/>
        <v>122.4</v>
      </c>
      <c r="K9" s="47">
        <f t="shared" si="1"/>
        <v>5</v>
      </c>
      <c r="L9" s="5">
        <v>3.5000000000000003E-2</v>
      </c>
      <c r="M9" s="6">
        <f t="shared" si="2"/>
        <v>4.2840000000000007</v>
      </c>
      <c r="O9" s="78"/>
    </row>
    <row r="10" spans="1:15" ht="15" customHeight="1" x14ac:dyDescent="0.3">
      <c r="A10" s="289" t="s">
        <v>46</v>
      </c>
      <c r="B10" s="236" t="s">
        <v>18</v>
      </c>
      <c r="C10" s="237" t="s">
        <v>1556</v>
      </c>
      <c r="D10" s="263">
        <v>46091</v>
      </c>
      <c r="E10" s="267">
        <f>683.1+227.7</f>
        <v>910.8</v>
      </c>
      <c r="F10" s="267">
        <v>227.7</v>
      </c>
      <c r="G10" s="290">
        <v>771.91</v>
      </c>
      <c r="H10" s="267">
        <v>102.47</v>
      </c>
      <c r="I10" s="291">
        <v>46112</v>
      </c>
      <c r="J10" s="50">
        <f t="shared" si="0"/>
        <v>683.09999999999991</v>
      </c>
      <c r="K10" s="47">
        <f t="shared" si="1"/>
        <v>21</v>
      </c>
      <c r="L10" s="5">
        <v>3.5000000000000003E-2</v>
      </c>
      <c r="M10" s="6">
        <f t="shared" si="2"/>
        <v>23.9085</v>
      </c>
      <c r="O10" s="78"/>
    </row>
    <row r="11" spans="1:15" ht="15" customHeight="1" x14ac:dyDescent="0.3">
      <c r="A11" s="289" t="s">
        <v>923</v>
      </c>
      <c r="B11" s="236" t="s">
        <v>59</v>
      </c>
      <c r="C11" s="237" t="s">
        <v>1552</v>
      </c>
      <c r="D11" s="263">
        <v>46107</v>
      </c>
      <c r="E11" s="267">
        <f>26.01+4.59</f>
        <v>30.6</v>
      </c>
      <c r="F11" s="267">
        <v>4.59</v>
      </c>
      <c r="G11" s="290">
        <v>29.91</v>
      </c>
      <c r="H11" s="267">
        <v>3.9</v>
      </c>
      <c r="I11" s="263">
        <v>46107</v>
      </c>
      <c r="J11" s="50">
        <f t="shared" si="0"/>
        <v>26.01</v>
      </c>
      <c r="K11" s="47">
        <f t="shared" si="1"/>
        <v>0</v>
      </c>
      <c r="L11" s="5">
        <v>0.04</v>
      </c>
      <c r="M11" s="6">
        <f t="shared" si="2"/>
        <v>1.0404</v>
      </c>
      <c r="O11" s="78"/>
    </row>
    <row r="12" spans="1:15" ht="15" customHeight="1" x14ac:dyDescent="0.3">
      <c r="A12" s="289" t="s">
        <v>1541</v>
      </c>
      <c r="B12" s="236" t="s">
        <v>18</v>
      </c>
      <c r="C12" s="237" t="s">
        <v>1554</v>
      </c>
      <c r="D12" s="263">
        <v>46105</v>
      </c>
      <c r="E12" s="267">
        <f>1190.3+297.58</f>
        <v>1487.8799999999999</v>
      </c>
      <c r="F12" s="267">
        <v>297.58</v>
      </c>
      <c r="G12" s="290">
        <v>1291.47</v>
      </c>
      <c r="H12" s="267">
        <v>178.55</v>
      </c>
      <c r="I12" s="291">
        <v>46106</v>
      </c>
      <c r="J12" s="50">
        <f t="shared" si="0"/>
        <v>1190.3</v>
      </c>
      <c r="K12" s="47">
        <f t="shared" si="1"/>
        <v>1</v>
      </c>
      <c r="L12" s="5">
        <v>0.04</v>
      </c>
      <c r="M12" s="6">
        <f t="shared" si="2"/>
        <v>47.612000000000002</v>
      </c>
      <c r="O12" s="78"/>
    </row>
    <row r="13" spans="1:15" ht="15" customHeight="1" x14ac:dyDescent="0.3">
      <c r="A13" s="289" t="s">
        <v>1541</v>
      </c>
      <c r="B13" s="236" t="s">
        <v>18</v>
      </c>
      <c r="C13" s="237" t="s">
        <v>1555</v>
      </c>
      <c r="D13" s="263">
        <v>46105</v>
      </c>
      <c r="E13" s="267">
        <f>16.32+4.08</f>
        <v>20.399999999999999</v>
      </c>
      <c r="F13" s="267">
        <v>4.08</v>
      </c>
      <c r="G13" s="290">
        <v>17.7</v>
      </c>
      <c r="H13" s="267">
        <v>2.4500000000000002</v>
      </c>
      <c r="I13" s="291">
        <v>46106</v>
      </c>
      <c r="J13" s="50">
        <f t="shared" si="0"/>
        <v>16.32</v>
      </c>
      <c r="K13" s="47">
        <f t="shared" si="1"/>
        <v>1</v>
      </c>
      <c r="L13" s="5">
        <v>0.04</v>
      </c>
      <c r="M13" s="6">
        <f t="shared" si="2"/>
        <v>0.65280000000000005</v>
      </c>
      <c r="O13" s="78"/>
    </row>
    <row r="14" spans="1:15" ht="15" customHeight="1" x14ac:dyDescent="0.3">
      <c r="A14" s="289" t="s">
        <v>923</v>
      </c>
      <c r="B14" s="236" t="s">
        <v>59</v>
      </c>
      <c r="C14" s="237" t="s">
        <v>1551</v>
      </c>
      <c r="D14" s="263">
        <v>46101</v>
      </c>
      <c r="E14" s="267">
        <f>788.36+139.12</f>
        <v>927.48</v>
      </c>
      <c r="F14" s="267">
        <v>139.12</v>
      </c>
      <c r="G14" s="290">
        <v>906.61</v>
      </c>
      <c r="H14" s="267">
        <v>118.25</v>
      </c>
      <c r="I14" s="263">
        <v>46101</v>
      </c>
      <c r="J14" s="50">
        <f t="shared" si="0"/>
        <v>788.36</v>
      </c>
      <c r="K14" s="47">
        <f t="shared" si="1"/>
        <v>0</v>
      </c>
      <c r="L14" s="5">
        <v>0.04</v>
      </c>
      <c r="M14" s="6">
        <f t="shared" si="2"/>
        <v>31.534400000000002</v>
      </c>
      <c r="O14" s="78"/>
    </row>
    <row r="15" spans="1:15" ht="15" customHeight="1" x14ac:dyDescent="0.3">
      <c r="A15" s="289" t="s">
        <v>80</v>
      </c>
      <c r="B15" s="236" t="s">
        <v>18</v>
      </c>
      <c r="C15" s="237" t="s">
        <v>1553</v>
      </c>
      <c r="D15" s="263">
        <v>46065</v>
      </c>
      <c r="E15" s="267">
        <f>652.8+163.2</f>
        <v>816</v>
      </c>
      <c r="F15" s="267">
        <v>163.19999999999999</v>
      </c>
      <c r="G15" s="290">
        <v>709.92</v>
      </c>
      <c r="H15" s="267">
        <v>97.92</v>
      </c>
      <c r="I15" s="291">
        <v>46101</v>
      </c>
      <c r="J15" s="50">
        <f t="shared" si="0"/>
        <v>652.79999999999995</v>
      </c>
      <c r="K15" s="47">
        <f t="shared" si="1"/>
        <v>36</v>
      </c>
      <c r="L15" s="5">
        <v>0.03</v>
      </c>
      <c r="M15" s="6">
        <f t="shared" si="2"/>
        <v>19.584</v>
      </c>
      <c r="O15" s="78"/>
    </row>
    <row r="16" spans="1:15" ht="15" customHeight="1" x14ac:dyDescent="0.3">
      <c r="A16" s="289" t="s">
        <v>77</v>
      </c>
      <c r="B16" s="236" t="s">
        <v>1511</v>
      </c>
      <c r="C16" s="237" t="s">
        <v>1408</v>
      </c>
      <c r="D16" s="263">
        <v>45810</v>
      </c>
      <c r="E16" s="267">
        <f>3269.75+1089.92</f>
        <v>4359.67</v>
      </c>
      <c r="F16" s="267">
        <v>1089.92</v>
      </c>
      <c r="G16" s="290">
        <v>159.29</v>
      </c>
      <c r="H16" s="267">
        <v>490.46</v>
      </c>
      <c r="I16" s="291">
        <v>46100</v>
      </c>
      <c r="J16" s="50">
        <f>159.29/1.15</f>
        <v>138.51304347826087</v>
      </c>
      <c r="K16" s="47">
        <f t="shared" si="1"/>
        <v>290</v>
      </c>
      <c r="L16" s="5">
        <v>0.03</v>
      </c>
      <c r="M16" s="6">
        <f t="shared" si="2"/>
        <v>4.1553913043478259</v>
      </c>
      <c r="O16" s="78"/>
    </row>
    <row r="17" spans="1:15" ht="15" customHeight="1" x14ac:dyDescent="0.3">
      <c r="A17" s="289" t="s">
        <v>89</v>
      </c>
      <c r="B17" s="236" t="s">
        <v>18</v>
      </c>
      <c r="C17" s="237" t="s">
        <v>1550</v>
      </c>
      <c r="D17" s="263">
        <v>46066</v>
      </c>
      <c r="E17" s="267">
        <f>240.77+60.19</f>
        <v>300.96000000000004</v>
      </c>
      <c r="F17" s="267">
        <v>60.19</v>
      </c>
      <c r="G17" s="290">
        <v>261.83999999999997</v>
      </c>
      <c r="H17" s="267">
        <v>36.119999999999997</v>
      </c>
      <c r="I17" s="291">
        <v>46097</v>
      </c>
      <c r="J17" s="50">
        <f>+E17-F17</f>
        <v>240.77000000000004</v>
      </c>
      <c r="K17" s="47">
        <f t="shared" si="1"/>
        <v>31</v>
      </c>
      <c r="L17" s="5">
        <v>0.03</v>
      </c>
      <c r="M17" s="6">
        <f t="shared" si="2"/>
        <v>7.2231000000000005</v>
      </c>
      <c r="O17" s="78"/>
    </row>
    <row r="18" spans="1:15" ht="15" customHeight="1" x14ac:dyDescent="0.3">
      <c r="A18" s="289" t="s">
        <v>89</v>
      </c>
      <c r="B18" s="236" t="s">
        <v>18</v>
      </c>
      <c r="C18" s="237" t="s">
        <v>1549</v>
      </c>
      <c r="D18" s="263">
        <v>46064</v>
      </c>
      <c r="E18" s="267">
        <f>116.54+29.14</f>
        <v>145.68</v>
      </c>
      <c r="F18" s="267">
        <v>29.14</v>
      </c>
      <c r="G18" s="290">
        <v>126.74</v>
      </c>
      <c r="H18" s="267">
        <v>17.48</v>
      </c>
      <c r="I18" s="291">
        <v>46097</v>
      </c>
      <c r="J18" s="50">
        <f>+E18-F18</f>
        <v>116.54</v>
      </c>
      <c r="K18" s="47">
        <f t="shared" si="1"/>
        <v>33</v>
      </c>
      <c r="L18" s="5">
        <v>0.03</v>
      </c>
      <c r="M18" s="6">
        <f t="shared" si="2"/>
        <v>3.4962</v>
      </c>
      <c r="O18" s="78"/>
    </row>
    <row r="19" spans="1:15" ht="15" customHeight="1" x14ac:dyDescent="0.3">
      <c r="A19" s="289" t="s">
        <v>77</v>
      </c>
      <c r="B19" s="236" t="s">
        <v>1511</v>
      </c>
      <c r="C19" s="237" t="s">
        <v>1408</v>
      </c>
      <c r="D19" s="263">
        <v>45810</v>
      </c>
      <c r="E19" s="267">
        <f>3269.75+1089.92</f>
        <v>4359.67</v>
      </c>
      <c r="F19" s="267">
        <v>1089.92</v>
      </c>
      <c r="G19" s="290">
        <v>250</v>
      </c>
      <c r="H19" s="267">
        <v>490.46</v>
      </c>
      <c r="I19" s="291">
        <v>46093</v>
      </c>
      <c r="J19" s="50">
        <f>250/1.15</f>
        <v>217.39130434782609</v>
      </c>
      <c r="K19" s="47">
        <f t="shared" si="1"/>
        <v>283</v>
      </c>
      <c r="L19" s="5">
        <v>0.03</v>
      </c>
      <c r="M19" s="6">
        <f t="shared" si="2"/>
        <v>6.5217391304347823</v>
      </c>
      <c r="O19" s="78"/>
    </row>
    <row r="20" spans="1:15" ht="15" customHeight="1" x14ac:dyDescent="0.3">
      <c r="A20" s="289" t="s">
        <v>694</v>
      </c>
      <c r="B20" s="236" t="s">
        <v>30</v>
      </c>
      <c r="C20" s="237" t="s">
        <v>1548</v>
      </c>
      <c r="D20" s="263">
        <v>46058</v>
      </c>
      <c r="E20" s="267">
        <f>100.98+17.82</f>
        <v>118.80000000000001</v>
      </c>
      <c r="F20" s="267">
        <v>17.82</v>
      </c>
      <c r="G20" s="290">
        <v>116.13</v>
      </c>
      <c r="H20" s="267">
        <v>15.15</v>
      </c>
      <c r="I20" s="291">
        <v>46092</v>
      </c>
      <c r="J20" s="50">
        <f t="shared" ref="J20:J25" si="3">+E20-F20</f>
        <v>100.98000000000002</v>
      </c>
      <c r="K20" s="47">
        <f t="shared" si="1"/>
        <v>34</v>
      </c>
      <c r="L20" s="5">
        <v>0.03</v>
      </c>
      <c r="M20" s="6">
        <f t="shared" si="2"/>
        <v>3.0294000000000003</v>
      </c>
      <c r="O20" s="78"/>
    </row>
    <row r="21" spans="1:15" ht="15" customHeight="1" x14ac:dyDescent="0.3">
      <c r="A21" s="289" t="s">
        <v>71</v>
      </c>
      <c r="B21" s="236" t="s">
        <v>24</v>
      </c>
      <c r="C21" s="237" t="s">
        <v>1547</v>
      </c>
      <c r="D21" s="263">
        <v>46063</v>
      </c>
      <c r="E21" s="267">
        <f>392.04+130.68</f>
        <v>522.72</v>
      </c>
      <c r="F21" s="267">
        <v>130.68</v>
      </c>
      <c r="G21" s="290">
        <v>426.35</v>
      </c>
      <c r="H21" s="267">
        <v>58.81</v>
      </c>
      <c r="I21" s="291">
        <v>46091</v>
      </c>
      <c r="J21" s="50">
        <f t="shared" si="3"/>
        <v>392.04</v>
      </c>
      <c r="K21" s="47">
        <f t="shared" si="1"/>
        <v>28</v>
      </c>
      <c r="L21" s="5">
        <v>3.5000000000000003E-2</v>
      </c>
      <c r="M21" s="6">
        <f t="shared" si="2"/>
        <v>13.721400000000003</v>
      </c>
      <c r="O21" s="78"/>
    </row>
    <row r="22" spans="1:15" ht="15" customHeight="1" x14ac:dyDescent="0.3">
      <c r="A22" s="289" t="s">
        <v>89</v>
      </c>
      <c r="B22" s="236" t="s">
        <v>18</v>
      </c>
      <c r="C22" s="237" t="s">
        <v>1546</v>
      </c>
      <c r="D22" s="263">
        <v>46041</v>
      </c>
      <c r="E22" s="267">
        <f>130.75+32.69</f>
        <v>163.44</v>
      </c>
      <c r="F22" s="267">
        <v>32.69</v>
      </c>
      <c r="G22" s="290">
        <v>142.19</v>
      </c>
      <c r="H22" s="267">
        <v>19.61</v>
      </c>
      <c r="I22" s="291">
        <v>46091</v>
      </c>
      <c r="J22" s="50">
        <f t="shared" si="3"/>
        <v>130.75</v>
      </c>
      <c r="K22" s="47">
        <f t="shared" si="1"/>
        <v>50</v>
      </c>
      <c r="L22" s="5">
        <v>0.03</v>
      </c>
      <c r="M22" s="6">
        <f t="shared" si="2"/>
        <v>3.9224999999999999</v>
      </c>
      <c r="O22" s="78"/>
    </row>
    <row r="23" spans="1:15" ht="15" customHeight="1" x14ac:dyDescent="0.3">
      <c r="A23" s="289" t="s">
        <v>134</v>
      </c>
      <c r="B23" s="236" t="s">
        <v>95</v>
      </c>
      <c r="C23" s="237" t="s">
        <v>1545</v>
      </c>
      <c r="D23" s="263">
        <v>46036</v>
      </c>
      <c r="E23" s="267">
        <f>229.81+40.55</f>
        <v>270.36</v>
      </c>
      <c r="F23" s="267">
        <v>40.549999999999997</v>
      </c>
      <c r="G23" s="290">
        <v>264.27999999999997</v>
      </c>
      <c r="H23" s="267">
        <v>34.47</v>
      </c>
      <c r="I23" s="291">
        <v>46091</v>
      </c>
      <c r="J23" s="50">
        <f t="shared" si="3"/>
        <v>229.81</v>
      </c>
      <c r="K23" s="47">
        <f t="shared" si="1"/>
        <v>55</v>
      </c>
      <c r="L23" s="5">
        <v>0.03</v>
      </c>
      <c r="M23" s="6">
        <f t="shared" si="2"/>
        <v>6.8942999999999994</v>
      </c>
      <c r="O23" s="78"/>
    </row>
    <row r="24" spans="1:15" ht="15" customHeight="1" x14ac:dyDescent="0.3">
      <c r="A24" s="289" t="s">
        <v>80</v>
      </c>
      <c r="B24" s="236" t="s">
        <v>18</v>
      </c>
      <c r="C24" s="237" t="s">
        <v>1544</v>
      </c>
      <c r="D24" s="263">
        <v>46059</v>
      </c>
      <c r="E24" s="267">
        <f>244.8+61.2</f>
        <v>306</v>
      </c>
      <c r="F24" s="267">
        <v>61.2</v>
      </c>
      <c r="G24" s="290">
        <v>266.22000000000003</v>
      </c>
      <c r="H24" s="267">
        <v>36.72</v>
      </c>
      <c r="I24" s="291">
        <v>46090</v>
      </c>
      <c r="J24" s="50">
        <f t="shared" si="3"/>
        <v>244.8</v>
      </c>
      <c r="K24" s="47">
        <f t="shared" si="1"/>
        <v>31</v>
      </c>
      <c r="L24" s="5">
        <v>0.03</v>
      </c>
      <c r="M24" s="6">
        <f t="shared" si="2"/>
        <v>7.3440000000000003</v>
      </c>
      <c r="O24" s="78"/>
    </row>
    <row r="25" spans="1:15" ht="15" customHeight="1" x14ac:dyDescent="0.3">
      <c r="A25" s="289" t="s">
        <v>847</v>
      </c>
      <c r="B25" s="236" t="s">
        <v>18</v>
      </c>
      <c r="C25" s="237" t="s">
        <v>1543</v>
      </c>
      <c r="D25" s="263">
        <v>46036</v>
      </c>
      <c r="E25" s="267">
        <f>141.27+24.93</f>
        <v>166.20000000000002</v>
      </c>
      <c r="F25" s="267">
        <v>24.93</v>
      </c>
      <c r="G25" s="290">
        <v>153.63</v>
      </c>
      <c r="H25" s="267">
        <v>21.19</v>
      </c>
      <c r="I25" s="291">
        <v>46087</v>
      </c>
      <c r="J25" s="50">
        <f t="shared" si="3"/>
        <v>141.27000000000001</v>
      </c>
      <c r="K25" s="47">
        <f t="shared" si="1"/>
        <v>51</v>
      </c>
      <c r="L25" s="5">
        <v>0.03</v>
      </c>
      <c r="M25" s="6">
        <f t="shared" si="2"/>
        <v>4.2381000000000002</v>
      </c>
      <c r="O25" s="78"/>
    </row>
    <row r="26" spans="1:15" ht="15" customHeight="1" x14ac:dyDescent="0.3">
      <c r="A26" s="289" t="s">
        <v>969</v>
      </c>
      <c r="B26" s="236" t="s">
        <v>1511</v>
      </c>
      <c r="C26" s="237" t="s">
        <v>1340</v>
      </c>
      <c r="D26" s="263">
        <v>45894</v>
      </c>
      <c r="E26" s="267">
        <f>469.71+82.89</f>
        <v>552.6</v>
      </c>
      <c r="F26" s="267">
        <v>82.89</v>
      </c>
      <c r="G26" s="290">
        <v>11.61</v>
      </c>
      <c r="H26" s="267">
        <v>70.459999999999994</v>
      </c>
      <c r="I26" s="291">
        <v>46087</v>
      </c>
      <c r="J26" s="50">
        <f>11.61/1.15</f>
        <v>10.095652173913043</v>
      </c>
      <c r="K26" s="47">
        <f t="shared" si="1"/>
        <v>193</v>
      </c>
      <c r="L26" s="5">
        <v>0.03</v>
      </c>
      <c r="M26" s="6">
        <f t="shared" si="2"/>
        <v>0.30286956521739128</v>
      </c>
      <c r="O26" s="78"/>
    </row>
    <row r="27" spans="1:15" ht="15" customHeight="1" x14ac:dyDescent="0.3">
      <c r="A27" s="289" t="s">
        <v>38</v>
      </c>
      <c r="B27" s="236" t="s">
        <v>18</v>
      </c>
      <c r="C27" s="237" t="s">
        <v>1542</v>
      </c>
      <c r="D27" s="263">
        <v>46083</v>
      </c>
      <c r="E27" s="267">
        <f>20.36+3.04</f>
        <v>23.4</v>
      </c>
      <c r="F27" s="267">
        <v>3.04</v>
      </c>
      <c r="G27" s="290">
        <v>22.08</v>
      </c>
      <c r="H27" s="267">
        <v>3.05</v>
      </c>
      <c r="I27" s="291">
        <v>46084</v>
      </c>
      <c r="J27" s="50">
        <f>+E27-F27</f>
        <v>20.36</v>
      </c>
      <c r="K27" s="47">
        <f t="shared" si="1"/>
        <v>1</v>
      </c>
      <c r="L27" s="5">
        <v>0.04</v>
      </c>
      <c r="M27" s="6">
        <f t="shared" si="2"/>
        <v>0.81440000000000001</v>
      </c>
      <c r="O27" s="78"/>
    </row>
    <row r="28" spans="1:15" ht="15" customHeight="1" x14ac:dyDescent="0.25">
      <c r="A28" s="235"/>
      <c r="B28" s="236"/>
      <c r="C28" s="237"/>
      <c r="D28" s="263"/>
      <c r="E28" s="267"/>
      <c r="F28" s="267"/>
      <c r="G28" s="6"/>
      <c r="H28" s="267"/>
      <c r="I28" s="263"/>
      <c r="J28" s="50"/>
      <c r="K28" s="47"/>
      <c r="L28" s="5"/>
      <c r="M28" s="6"/>
      <c r="O28" s="78"/>
    </row>
    <row r="29" spans="1:15" ht="15" customHeight="1" x14ac:dyDescent="0.25">
      <c r="A29" s="171"/>
      <c r="B29" s="160"/>
      <c r="C29" s="171"/>
      <c r="D29" s="201"/>
      <c r="E29" s="87"/>
      <c r="F29" s="87"/>
      <c r="G29" s="94"/>
      <c r="H29" s="87"/>
      <c r="I29" s="247"/>
      <c r="J29" s="50"/>
      <c r="K29" s="47"/>
      <c r="L29" s="5"/>
      <c r="M29" s="6"/>
      <c r="O29" s="78"/>
    </row>
    <row r="30" spans="1:15" ht="15" customHeight="1" x14ac:dyDescent="0.3">
      <c r="G30" s="16">
        <f>SUM(G8:G29)</f>
        <v>6175.85</v>
      </c>
      <c r="J30" s="16">
        <f>SUM(J8:J29)</f>
        <v>5561.4300000000012</v>
      </c>
      <c r="M30" s="16">
        <f>SUM(M8:M29)</f>
        <v>194.23229999999998</v>
      </c>
      <c r="O30" s="78"/>
    </row>
    <row r="31" spans="1:15" ht="15" customHeight="1" x14ac:dyDescent="0.25">
      <c r="G31" s="8"/>
      <c r="H31" s="8"/>
      <c r="O31" s="78"/>
    </row>
    <row r="32" spans="1:15" ht="15" customHeight="1" x14ac:dyDescent="0.25">
      <c r="A32" s="17" t="s">
        <v>19</v>
      </c>
      <c r="B32" s="18" t="s">
        <v>20</v>
      </c>
      <c r="C32" s="18" t="s">
        <v>21</v>
      </c>
      <c r="J32" s="8"/>
      <c r="O32" s="78"/>
    </row>
    <row r="33" spans="1:15" s="52" customFormat="1" ht="14.4" x14ac:dyDescent="0.3">
      <c r="A33" s="289" t="s">
        <v>40</v>
      </c>
      <c r="B33" s="235" t="s">
        <v>1559</v>
      </c>
      <c r="C33" s="237" t="s">
        <v>1566</v>
      </c>
      <c r="D33" s="263">
        <v>46091</v>
      </c>
      <c r="E33" s="267">
        <f>612+204</f>
        <v>816</v>
      </c>
      <c r="F33" s="267">
        <v>204</v>
      </c>
      <c r="G33" s="290">
        <v>664.02</v>
      </c>
      <c r="H33" s="267">
        <v>91.8</v>
      </c>
      <c r="I33" s="291">
        <v>46125</v>
      </c>
      <c r="J33" s="50">
        <f>+E33-F33</f>
        <v>612</v>
      </c>
      <c r="K33" s="47">
        <f>+I33-D33</f>
        <v>34</v>
      </c>
      <c r="L33" s="48">
        <v>0.03</v>
      </c>
      <c r="M33" s="49">
        <f>+J33*L33</f>
        <v>18.36</v>
      </c>
      <c r="N33" s="60"/>
      <c r="O33" s="78"/>
    </row>
    <row r="34" spans="1:15" s="52" customFormat="1" ht="14.4" x14ac:dyDescent="0.3">
      <c r="A34" s="289" t="s">
        <v>40</v>
      </c>
      <c r="B34" s="235" t="s">
        <v>1560</v>
      </c>
      <c r="C34" s="237" t="s">
        <v>1567</v>
      </c>
      <c r="D34" s="263">
        <v>46104</v>
      </c>
      <c r="E34" s="267">
        <f>1646.01+548.67</f>
        <v>2194.6799999999998</v>
      </c>
      <c r="F34" s="267">
        <v>548.66999999999996</v>
      </c>
      <c r="G34" s="290">
        <v>1785.92</v>
      </c>
      <c r="H34" s="267">
        <v>246.9</v>
      </c>
      <c r="I34" s="291">
        <v>46134</v>
      </c>
      <c r="J34" s="50">
        <f t="shared" ref="J34:J41" si="4">+E34-F34</f>
        <v>1646.0099999999998</v>
      </c>
      <c r="K34" s="47">
        <f t="shared" ref="K34:K41" si="5">+I34-D34</f>
        <v>30</v>
      </c>
      <c r="L34" s="48">
        <v>0.03</v>
      </c>
      <c r="M34" s="49">
        <f t="shared" ref="M34:M41" si="6">+J34*L34</f>
        <v>49.380299999999991</v>
      </c>
      <c r="N34" s="60"/>
      <c r="O34" s="78"/>
    </row>
    <row r="35" spans="1:15" s="52" customFormat="1" ht="14.4" x14ac:dyDescent="0.3">
      <c r="A35" s="289" t="s">
        <v>93</v>
      </c>
      <c r="B35" s="235" t="s">
        <v>1561</v>
      </c>
      <c r="C35" s="237" t="s">
        <v>1568</v>
      </c>
      <c r="D35" s="263">
        <v>46094</v>
      </c>
      <c r="E35" s="267">
        <f>115.57+20.39</f>
        <v>135.95999999999998</v>
      </c>
      <c r="F35" s="267">
        <v>20.39</v>
      </c>
      <c r="G35" s="290">
        <v>132.9</v>
      </c>
      <c r="H35" s="267">
        <v>17.329999999999998</v>
      </c>
      <c r="I35" s="291">
        <v>46132</v>
      </c>
      <c r="J35" s="50">
        <f t="shared" si="4"/>
        <v>115.56999999999998</v>
      </c>
      <c r="K35" s="47">
        <f t="shared" si="5"/>
        <v>38</v>
      </c>
      <c r="L35" s="48">
        <v>0.03</v>
      </c>
      <c r="M35" s="49">
        <f t="shared" si="6"/>
        <v>3.4670999999999994</v>
      </c>
      <c r="N35" s="60"/>
      <c r="O35" s="78"/>
    </row>
    <row r="36" spans="1:15" s="52" customFormat="1" ht="14.4" x14ac:dyDescent="0.3">
      <c r="A36" s="289" t="s">
        <v>90</v>
      </c>
      <c r="B36" s="235" t="s">
        <v>1562</v>
      </c>
      <c r="C36" s="237" t="s">
        <v>1569</v>
      </c>
      <c r="D36" s="263">
        <v>46034</v>
      </c>
      <c r="E36" s="267">
        <f>111.69+19.71</f>
        <v>131.4</v>
      </c>
      <c r="F36" s="267">
        <v>19.71</v>
      </c>
      <c r="G36" s="290">
        <v>128.44</v>
      </c>
      <c r="H36" s="267">
        <v>16.75</v>
      </c>
      <c r="I36" s="291">
        <v>46119</v>
      </c>
      <c r="J36" s="50">
        <f t="shared" ref="J36:J37" si="7">+E36-F36</f>
        <v>111.69</v>
      </c>
      <c r="K36" s="47">
        <f t="shared" ref="K36:K37" si="8">+I36-D36</f>
        <v>85</v>
      </c>
      <c r="L36" s="48">
        <v>0.03</v>
      </c>
      <c r="M36" s="49">
        <f t="shared" ref="M36:M37" si="9">+J36*L36</f>
        <v>3.3506999999999998</v>
      </c>
      <c r="N36" s="60"/>
      <c r="O36" s="78"/>
    </row>
    <row r="37" spans="1:15" s="52" customFormat="1" ht="14.4" x14ac:dyDescent="0.3">
      <c r="A37" s="289" t="s">
        <v>42</v>
      </c>
      <c r="B37" s="235" t="s">
        <v>1563</v>
      </c>
      <c r="C37" s="237" t="s">
        <v>1570</v>
      </c>
      <c r="D37" s="263">
        <v>46080</v>
      </c>
      <c r="E37" s="267">
        <f>77.42+13.66</f>
        <v>91.08</v>
      </c>
      <c r="F37" s="267">
        <v>13.66</v>
      </c>
      <c r="G37" s="290">
        <v>84.2</v>
      </c>
      <c r="H37" s="267">
        <v>11.61</v>
      </c>
      <c r="I37" s="291">
        <v>46125</v>
      </c>
      <c r="J37" s="50">
        <f t="shared" si="7"/>
        <v>77.42</v>
      </c>
      <c r="K37" s="47">
        <f t="shared" si="8"/>
        <v>45</v>
      </c>
      <c r="L37" s="48">
        <v>0.03</v>
      </c>
      <c r="M37" s="49">
        <f t="shared" si="9"/>
        <v>2.3226</v>
      </c>
      <c r="N37" s="60"/>
      <c r="O37" s="78"/>
    </row>
    <row r="38" spans="1:15" s="52" customFormat="1" ht="14.4" x14ac:dyDescent="0.3">
      <c r="A38" s="289" t="s">
        <v>42</v>
      </c>
      <c r="B38" s="235" t="s">
        <v>1564</v>
      </c>
      <c r="C38" s="237" t="s">
        <v>1571</v>
      </c>
      <c r="D38" s="263">
        <v>46085</v>
      </c>
      <c r="E38" s="267">
        <f>56+9.88</f>
        <v>65.88</v>
      </c>
      <c r="F38" s="267">
        <v>9.8800000000000008</v>
      </c>
      <c r="G38" s="290">
        <v>60.76</v>
      </c>
      <c r="H38" s="267">
        <v>8.4</v>
      </c>
      <c r="I38" s="291">
        <v>46140</v>
      </c>
      <c r="J38" s="50">
        <f t="shared" ref="J38:J39" si="10">+E38-F38</f>
        <v>55.999999999999993</v>
      </c>
      <c r="K38" s="47">
        <f t="shared" ref="K38:K39" si="11">+I38-D38</f>
        <v>55</v>
      </c>
      <c r="L38" s="48">
        <v>0.03</v>
      </c>
      <c r="M38" s="49">
        <f t="shared" ref="M38:M39" si="12">+J38*L38</f>
        <v>1.6799999999999997</v>
      </c>
      <c r="N38" s="60"/>
      <c r="O38" s="78"/>
    </row>
    <row r="39" spans="1:15" s="52" customFormat="1" ht="14.4" x14ac:dyDescent="0.3">
      <c r="A39" s="289" t="s">
        <v>42</v>
      </c>
      <c r="B39" s="235" t="s">
        <v>1564</v>
      </c>
      <c r="C39" s="237" t="s">
        <v>1572</v>
      </c>
      <c r="D39" s="263">
        <v>46087</v>
      </c>
      <c r="E39" s="267">
        <f>94.76+16.72</f>
        <v>111.48</v>
      </c>
      <c r="F39" s="267">
        <v>16.72</v>
      </c>
      <c r="G39" s="290">
        <v>102.81</v>
      </c>
      <c r="H39" s="267">
        <v>14.21</v>
      </c>
      <c r="I39" s="291">
        <v>46140</v>
      </c>
      <c r="J39" s="50">
        <f t="shared" si="10"/>
        <v>94.76</v>
      </c>
      <c r="K39" s="47">
        <f t="shared" si="11"/>
        <v>53</v>
      </c>
      <c r="L39" s="48">
        <v>0.03</v>
      </c>
      <c r="M39" s="49">
        <f t="shared" si="12"/>
        <v>2.8428</v>
      </c>
      <c r="N39" s="60"/>
      <c r="O39" s="78"/>
    </row>
    <row r="40" spans="1:15" s="52" customFormat="1" ht="14.4" x14ac:dyDescent="0.3">
      <c r="A40" s="289" t="s">
        <v>42</v>
      </c>
      <c r="B40" s="235" t="s">
        <v>1564</v>
      </c>
      <c r="C40" s="237" t="s">
        <v>1573</v>
      </c>
      <c r="D40" s="263">
        <v>46090</v>
      </c>
      <c r="E40" s="267">
        <f>216.75+38.25</f>
        <v>255</v>
      </c>
      <c r="F40" s="267">
        <v>38.25</v>
      </c>
      <c r="G40" s="290">
        <v>235.17</v>
      </c>
      <c r="H40" s="267">
        <v>32.51</v>
      </c>
      <c r="I40" s="291">
        <v>46140</v>
      </c>
      <c r="J40" s="50">
        <f t="shared" si="4"/>
        <v>216.75</v>
      </c>
      <c r="K40" s="47">
        <f t="shared" si="5"/>
        <v>50</v>
      </c>
      <c r="L40" s="48">
        <v>0.03</v>
      </c>
      <c r="M40" s="49">
        <f t="shared" si="6"/>
        <v>6.5024999999999995</v>
      </c>
      <c r="N40" s="60"/>
      <c r="O40" s="78"/>
    </row>
    <row r="41" spans="1:15" s="52" customFormat="1" ht="14.4" x14ac:dyDescent="0.3">
      <c r="A41" s="289" t="s">
        <v>38</v>
      </c>
      <c r="B41" s="235" t="s">
        <v>1565</v>
      </c>
      <c r="C41" s="237" t="s">
        <v>1574</v>
      </c>
      <c r="D41" s="263">
        <v>46104</v>
      </c>
      <c r="E41" s="267">
        <f>3785.04+1261.68</f>
        <v>5046.72</v>
      </c>
      <c r="F41" s="267">
        <v>1261.68</v>
      </c>
      <c r="G41" s="290">
        <v>4106.7700000000004</v>
      </c>
      <c r="H41" s="267">
        <v>567.76</v>
      </c>
      <c r="I41" s="291">
        <v>46136</v>
      </c>
      <c r="J41" s="50">
        <f t="shared" si="4"/>
        <v>3785.04</v>
      </c>
      <c r="K41" s="47">
        <f t="shared" si="5"/>
        <v>32</v>
      </c>
      <c r="L41" s="48">
        <v>0.03</v>
      </c>
      <c r="M41" s="49">
        <f t="shared" si="6"/>
        <v>113.55119999999999</v>
      </c>
      <c r="N41" s="230"/>
      <c r="O41" s="78"/>
    </row>
    <row r="42" spans="1:15" s="52" customFormat="1" ht="15" x14ac:dyDescent="0.25">
      <c r="A42" s="101"/>
      <c r="B42" s="102"/>
      <c r="C42" s="102"/>
      <c r="D42" s="105"/>
      <c r="E42" s="188"/>
      <c r="F42" s="188"/>
      <c r="G42" s="188"/>
      <c r="H42" s="104"/>
      <c r="I42" s="248"/>
      <c r="J42" s="50"/>
      <c r="K42" s="47"/>
      <c r="L42" s="48"/>
      <c r="M42" s="49"/>
      <c r="N42" s="60"/>
      <c r="O42" s="78"/>
    </row>
    <row r="43" spans="1:15" s="52" customFormat="1" ht="15.6" thickBot="1" x14ac:dyDescent="0.3">
      <c r="A43" s="101"/>
      <c r="B43" s="102"/>
      <c r="C43" s="101"/>
      <c r="D43" s="105"/>
      <c r="E43" s="92"/>
      <c r="F43" s="92"/>
      <c r="G43" s="90"/>
      <c r="H43" s="92"/>
      <c r="I43" s="248"/>
      <c r="J43" s="50"/>
      <c r="K43" s="47"/>
      <c r="L43" s="48"/>
      <c r="M43" s="49"/>
      <c r="N43" s="60"/>
      <c r="O43" s="78"/>
    </row>
    <row r="44" spans="1:15" ht="15" customHeight="1" thickBot="1" x14ac:dyDescent="0.35">
      <c r="A44" s="332" t="s">
        <v>29</v>
      </c>
      <c r="B44" s="332"/>
      <c r="C44" s="332"/>
      <c r="D44" s="332"/>
      <c r="E44" s="332"/>
      <c r="F44" s="332"/>
      <c r="G44" s="16">
        <f>SUM(G30:G43)</f>
        <v>13476.840000000002</v>
      </c>
      <c r="J44" s="16">
        <f>SUM(J30:J43)</f>
        <v>12276.669999999998</v>
      </c>
      <c r="L44" s="20"/>
      <c r="M44" s="21">
        <f>SUM(M30:M43)</f>
        <v>395.68950000000001</v>
      </c>
    </row>
    <row r="45" spans="1:15" ht="15" customHeight="1" x14ac:dyDescent="0.3">
      <c r="A45" s="22"/>
      <c r="G45" s="8"/>
    </row>
    <row r="46" spans="1:15" ht="15" customHeight="1" x14ac:dyDescent="0.3">
      <c r="A46" s="39"/>
      <c r="G46" s="8"/>
      <c r="J46" s="8"/>
    </row>
    <row r="47" spans="1:15" ht="15" customHeight="1" x14ac:dyDescent="0.3">
      <c r="A47" s="39"/>
      <c r="G47" s="8"/>
      <c r="J47" s="8"/>
    </row>
    <row r="48" spans="1:15" ht="15" customHeight="1" x14ac:dyDescent="0.3">
      <c r="A48" s="39"/>
      <c r="G48" s="8"/>
      <c r="J48" s="8"/>
    </row>
    <row r="49" spans="1:15" ht="15" customHeight="1" x14ac:dyDescent="0.3">
      <c r="A49" s="39"/>
      <c r="G49" s="8"/>
      <c r="J49" s="8"/>
      <c r="M49" s="8">
        <f>M44/12</f>
        <v>32.974125000000001</v>
      </c>
      <c r="N49" s="59" t="s">
        <v>1505</v>
      </c>
    </row>
    <row r="50" spans="1:15" ht="15" customHeight="1" x14ac:dyDescent="0.3">
      <c r="A50" s="39"/>
      <c r="G50" s="8"/>
      <c r="J50" s="8"/>
      <c r="M50" s="8">
        <f>M44/24</f>
        <v>16.4870625</v>
      </c>
      <c r="N50" s="59" t="s">
        <v>1505</v>
      </c>
    </row>
    <row r="51" spans="1:15" ht="15" customHeight="1" x14ac:dyDescent="0.25">
      <c r="A51" s="30" t="s">
        <v>0</v>
      </c>
      <c r="B51" s="30"/>
      <c r="C51" s="30"/>
      <c r="D51" s="30"/>
      <c r="E51" s="30"/>
      <c r="F51" s="30"/>
      <c r="G51" s="24"/>
      <c r="H51" s="25"/>
      <c r="I51" s="249"/>
      <c r="J51" s="26"/>
      <c r="K51" s="27"/>
      <c r="L51" s="28"/>
      <c r="M51" s="29"/>
    </row>
    <row r="52" spans="1:15" ht="15" customHeight="1" x14ac:dyDescent="0.25">
      <c r="A52" s="30" t="s">
        <v>1</v>
      </c>
      <c r="B52" s="30"/>
      <c r="C52" s="30"/>
      <c r="D52" s="30"/>
      <c r="E52" s="30"/>
      <c r="F52" s="30"/>
      <c r="G52" s="24"/>
      <c r="H52" s="25"/>
      <c r="I52" s="249"/>
      <c r="J52" s="27"/>
      <c r="K52" s="27"/>
      <c r="L52" s="28"/>
      <c r="M52" s="29"/>
    </row>
    <row r="53" spans="1:15" ht="15" customHeight="1" x14ac:dyDescent="0.25">
      <c r="A53" s="30"/>
      <c r="B53" s="30" t="s">
        <v>1507</v>
      </c>
      <c r="C53" s="30"/>
      <c r="D53" s="64"/>
      <c r="E53" s="30"/>
      <c r="F53" s="30"/>
      <c r="G53" s="24"/>
      <c r="H53" s="25"/>
      <c r="I53" s="249"/>
      <c r="J53" s="27"/>
      <c r="K53" s="27"/>
      <c r="L53" s="28"/>
      <c r="M53" s="29"/>
    </row>
    <row r="54" spans="1:15" ht="15" customHeight="1" thickBot="1" x14ac:dyDescent="0.3">
      <c r="A54" s="30"/>
      <c r="B54" s="30" t="s">
        <v>1130</v>
      </c>
      <c r="C54" s="30"/>
      <c r="D54" s="64"/>
      <c r="E54" s="30"/>
      <c r="F54" s="30"/>
      <c r="G54" s="32"/>
      <c r="H54" s="24"/>
      <c r="I54" s="250"/>
      <c r="J54" s="33"/>
      <c r="K54" s="27"/>
      <c r="L54" s="28"/>
      <c r="M54" s="29"/>
    </row>
    <row r="55" spans="1:15" ht="15" customHeight="1" x14ac:dyDescent="0.25">
      <c r="A55" s="34" t="s">
        <v>66</v>
      </c>
      <c r="B55" s="182"/>
      <c r="C55" s="33"/>
      <c r="D55" s="65"/>
      <c r="E55" s="33"/>
      <c r="F55" s="33"/>
      <c r="G55" s="35" t="s">
        <v>3</v>
      </c>
      <c r="H55" s="27"/>
      <c r="I55" s="249"/>
      <c r="J55" s="36" t="s">
        <v>4</v>
      </c>
      <c r="K55" s="56" t="s">
        <v>5</v>
      </c>
      <c r="L55" s="40" t="s">
        <v>6</v>
      </c>
      <c r="M55" s="36" t="s">
        <v>7</v>
      </c>
      <c r="O55" s="8"/>
    </row>
    <row r="56" spans="1:15" ht="15" customHeight="1" thickBot="1" x14ac:dyDescent="0.3">
      <c r="A56" s="11" t="s">
        <v>8</v>
      </c>
      <c r="B56" s="11" t="s">
        <v>9</v>
      </c>
      <c r="C56" s="11" t="s">
        <v>10</v>
      </c>
      <c r="D56" s="66" t="s">
        <v>11</v>
      </c>
      <c r="E56" s="11" t="s">
        <v>12</v>
      </c>
      <c r="F56" s="54" t="s">
        <v>50</v>
      </c>
      <c r="G56" s="12" t="s">
        <v>13</v>
      </c>
      <c r="H56" s="13" t="s">
        <v>14</v>
      </c>
      <c r="I56" s="251" t="s">
        <v>15</v>
      </c>
      <c r="J56" s="14" t="s">
        <v>16</v>
      </c>
      <c r="K56" s="57"/>
      <c r="L56" s="58" t="s">
        <v>17</v>
      </c>
      <c r="M56" s="14" t="s">
        <v>39</v>
      </c>
      <c r="O56" s="8"/>
    </row>
    <row r="57" spans="1:15" ht="15" customHeight="1" x14ac:dyDescent="0.3">
      <c r="A57" s="289" t="s">
        <v>1616</v>
      </c>
      <c r="B57" s="236" t="s">
        <v>18</v>
      </c>
      <c r="C57" s="237" t="s">
        <v>1618</v>
      </c>
      <c r="D57" s="263">
        <v>46112</v>
      </c>
      <c r="E57" s="267">
        <f>66.53+7.39</f>
        <v>73.92</v>
      </c>
      <c r="F57" s="267">
        <v>7.39</v>
      </c>
      <c r="G57" s="290">
        <v>76.510000000000005</v>
      </c>
      <c r="H57" s="267">
        <v>9.98</v>
      </c>
      <c r="I57" s="291">
        <v>46112</v>
      </c>
      <c r="J57" s="50">
        <f t="shared" ref="J57:J59" si="13">E57-F57</f>
        <v>66.53</v>
      </c>
      <c r="K57" s="47">
        <f t="shared" ref="K57:K60" si="14">+I57-D57</f>
        <v>0</v>
      </c>
      <c r="L57" s="48">
        <v>0.04</v>
      </c>
      <c r="M57" s="49">
        <f t="shared" ref="M57:M60" si="15">+J57*L57</f>
        <v>2.6612</v>
      </c>
      <c r="O57" s="78"/>
    </row>
    <row r="58" spans="1:15" ht="15" customHeight="1" x14ac:dyDescent="0.3">
      <c r="A58" s="289" t="s">
        <v>1617</v>
      </c>
      <c r="B58" s="236" t="s">
        <v>1619</v>
      </c>
      <c r="C58" s="237" t="s">
        <v>1620</v>
      </c>
      <c r="D58" s="263">
        <v>46105</v>
      </c>
      <c r="E58" s="267">
        <f>357.5+89.38</f>
        <v>446.88</v>
      </c>
      <c r="F58" s="267">
        <v>89.38</v>
      </c>
      <c r="G58" s="290">
        <v>387.89</v>
      </c>
      <c r="H58" s="267">
        <v>53.63</v>
      </c>
      <c r="I58" s="291">
        <v>46105</v>
      </c>
      <c r="J58" s="50">
        <f t="shared" si="13"/>
        <v>357.5</v>
      </c>
      <c r="K58" s="47">
        <f t="shared" si="14"/>
        <v>0</v>
      </c>
      <c r="L58" s="48">
        <v>0.04</v>
      </c>
      <c r="M58" s="49">
        <f t="shared" si="15"/>
        <v>14.3</v>
      </c>
      <c r="O58" s="78"/>
    </row>
    <row r="59" spans="1:15" ht="15" customHeight="1" x14ac:dyDescent="0.3">
      <c r="A59" s="289" t="s">
        <v>1254</v>
      </c>
      <c r="B59" s="236" t="s">
        <v>1255</v>
      </c>
      <c r="C59" s="237" t="s">
        <v>1621</v>
      </c>
      <c r="D59" s="263">
        <v>46056</v>
      </c>
      <c r="E59" s="267">
        <f>702.62+175.66</f>
        <v>878.28</v>
      </c>
      <c r="F59" s="267">
        <v>175.66</v>
      </c>
      <c r="G59" s="290">
        <v>764.09</v>
      </c>
      <c r="H59" s="267">
        <v>105.39</v>
      </c>
      <c r="I59" s="291">
        <v>46094</v>
      </c>
      <c r="J59" s="50">
        <f t="shared" si="13"/>
        <v>702.62</v>
      </c>
      <c r="K59" s="47">
        <f t="shared" si="14"/>
        <v>38</v>
      </c>
      <c r="L59" s="48">
        <v>0.03</v>
      </c>
      <c r="M59" s="49">
        <f t="shared" si="15"/>
        <v>21.078599999999998</v>
      </c>
      <c r="O59" s="78"/>
    </row>
    <row r="60" spans="1:15" ht="15" customHeight="1" x14ac:dyDescent="0.3">
      <c r="A60" s="289" t="s">
        <v>1249</v>
      </c>
      <c r="B60" s="236" t="s">
        <v>1250</v>
      </c>
      <c r="C60" s="237" t="s">
        <v>1622</v>
      </c>
      <c r="D60" s="263">
        <v>46093</v>
      </c>
      <c r="E60" s="267">
        <f>205.92+51.48</f>
        <v>257.39999999999998</v>
      </c>
      <c r="F60" s="267">
        <v>51.48</v>
      </c>
      <c r="G60" s="290">
        <v>236.81</v>
      </c>
      <c r="H60" s="267">
        <v>30.89</v>
      </c>
      <c r="I60" s="291">
        <v>46093</v>
      </c>
      <c r="J60" s="50">
        <f>E60-F60</f>
        <v>205.92</v>
      </c>
      <c r="K60" s="47">
        <f t="shared" si="14"/>
        <v>0</v>
      </c>
      <c r="L60" s="48">
        <v>0.04</v>
      </c>
      <c r="M60" s="49">
        <f t="shared" si="15"/>
        <v>8.2367999999999988</v>
      </c>
      <c r="O60" s="78"/>
    </row>
    <row r="61" spans="1:15" ht="15" customHeight="1" x14ac:dyDescent="0.25">
      <c r="A61" s="171"/>
      <c r="B61" s="160"/>
      <c r="C61" s="171"/>
      <c r="D61" s="172"/>
      <c r="E61" s="87"/>
      <c r="F61" s="87"/>
      <c r="G61" s="94"/>
      <c r="H61" s="87"/>
      <c r="I61" s="247"/>
      <c r="J61" s="50"/>
      <c r="K61" s="47"/>
      <c r="L61" s="48"/>
      <c r="M61" s="49"/>
    </row>
    <row r="62" spans="1:15" ht="15" customHeight="1" x14ac:dyDescent="0.25">
      <c r="A62" s="171"/>
      <c r="B62" s="160"/>
      <c r="C62" s="171"/>
      <c r="D62" s="172"/>
      <c r="E62" s="87"/>
      <c r="F62" s="87"/>
      <c r="G62" s="94"/>
      <c r="H62" s="87"/>
      <c r="I62" s="247"/>
      <c r="J62" s="50"/>
      <c r="K62" s="47"/>
      <c r="L62" s="48"/>
      <c r="M62" s="49"/>
    </row>
    <row r="63" spans="1:15" ht="15" customHeight="1" x14ac:dyDescent="0.3">
      <c r="A63" s="42"/>
      <c r="B63" s="43"/>
      <c r="C63" s="43"/>
      <c r="D63" s="68"/>
      <c r="E63" s="44"/>
      <c r="F63" s="44"/>
      <c r="G63" s="45"/>
      <c r="H63" s="46"/>
      <c r="I63" s="260"/>
      <c r="J63" s="50"/>
      <c r="K63" s="47"/>
      <c r="L63" s="48"/>
      <c r="M63" s="49"/>
    </row>
    <row r="64" spans="1:15" ht="15" customHeight="1" x14ac:dyDescent="0.25">
      <c r="A64" s="213"/>
      <c r="B64" s="213"/>
      <c r="C64" s="213"/>
      <c r="D64" s="213"/>
      <c r="E64" s="213"/>
      <c r="F64" s="213"/>
      <c r="G64" s="75">
        <f>SUM(G57:G63)</f>
        <v>1465.3</v>
      </c>
      <c r="H64" s="80"/>
      <c r="I64" s="261"/>
      <c r="J64" s="75">
        <f>SUM(J57:J63)</f>
        <v>1332.5700000000002</v>
      </c>
      <c r="K64" s="82"/>
      <c r="L64" s="82"/>
      <c r="M64" s="75">
        <f>SUM(M57:M63)</f>
        <v>46.276600000000002</v>
      </c>
    </row>
    <row r="65" spans="1:14" ht="15" customHeight="1" x14ac:dyDescent="0.25">
      <c r="A65" s="76"/>
      <c r="B65" s="76"/>
      <c r="C65" s="76"/>
      <c r="D65" s="77"/>
      <c r="E65" s="76"/>
      <c r="F65" s="76"/>
      <c r="G65" s="78"/>
      <c r="H65" s="52"/>
      <c r="I65" s="262"/>
      <c r="J65" s="52"/>
      <c r="K65" s="52"/>
      <c r="L65" s="52"/>
      <c r="M65" s="52"/>
    </row>
    <row r="66" spans="1:14" x14ac:dyDescent="0.25">
      <c r="A66" s="76"/>
      <c r="B66" s="76"/>
      <c r="C66" s="76"/>
      <c r="D66" s="77"/>
      <c r="E66" s="76"/>
      <c r="F66" s="76"/>
      <c r="G66" s="78"/>
      <c r="H66" s="52"/>
      <c r="I66" s="262"/>
      <c r="J66" s="78"/>
      <c r="K66" s="52"/>
      <c r="L66" s="52"/>
      <c r="M66" s="78"/>
    </row>
    <row r="67" spans="1:14" x14ac:dyDescent="0.25">
      <c r="A67" s="52" t="s">
        <v>19</v>
      </c>
      <c r="B67" s="76" t="s">
        <v>20</v>
      </c>
      <c r="C67" s="76" t="s">
        <v>21</v>
      </c>
      <c r="D67" s="79"/>
      <c r="E67" s="52"/>
      <c r="F67" s="52"/>
      <c r="G67" s="78"/>
      <c r="H67" s="52"/>
      <c r="I67" s="262"/>
      <c r="J67" s="52"/>
      <c r="K67" s="52"/>
      <c r="L67" s="52"/>
      <c r="M67" s="52"/>
    </row>
    <row r="68" spans="1:14" s="52" customFormat="1" x14ac:dyDescent="0.25">
      <c r="A68" s="235"/>
      <c r="B68" s="235"/>
      <c r="C68" s="237"/>
      <c r="D68" s="263"/>
      <c r="E68" s="267"/>
      <c r="F68" s="267"/>
      <c r="G68" s="6"/>
      <c r="H68" s="267"/>
      <c r="I68" s="263"/>
      <c r="J68" s="50"/>
      <c r="K68" s="47"/>
      <c r="L68" s="48"/>
      <c r="M68" s="49"/>
      <c r="N68" s="60"/>
    </row>
    <row r="69" spans="1:14" ht="15.6" thickBot="1" x14ac:dyDescent="0.3">
      <c r="A69" s="91"/>
      <c r="B69" s="102"/>
      <c r="C69" s="93"/>
      <c r="D69" s="88"/>
      <c r="E69" s="92"/>
      <c r="F69" s="92"/>
      <c r="G69" s="90"/>
      <c r="H69" s="92"/>
      <c r="I69" s="248"/>
      <c r="J69" s="50"/>
      <c r="K69" s="47"/>
      <c r="L69" s="48"/>
      <c r="M69" s="49"/>
    </row>
    <row r="70" spans="1:14" ht="16.2" thickBot="1" x14ac:dyDescent="0.35">
      <c r="A70" s="212" t="s">
        <v>29</v>
      </c>
      <c r="B70" s="212"/>
      <c r="C70" s="212"/>
      <c r="D70" s="212"/>
      <c r="E70" s="212"/>
      <c r="F70" s="212"/>
      <c r="G70" s="37">
        <f>SUM(G64:G69)</f>
        <v>1465.3</v>
      </c>
      <c r="I70" s="252"/>
      <c r="J70" s="37">
        <f>SUM(J64:J69)</f>
        <v>1332.5700000000002</v>
      </c>
      <c r="L70" s="20"/>
      <c r="M70" s="38">
        <f>SUM(M64:M69)</f>
        <v>46.276600000000002</v>
      </c>
    </row>
    <row r="71" spans="1:14" x14ac:dyDescent="0.25">
      <c r="A71" s="19"/>
      <c r="E71" s="19"/>
      <c r="F71" s="19"/>
      <c r="G71" s="8"/>
      <c r="I71" s="252"/>
    </row>
    <row r="73" spans="1:14" x14ac:dyDescent="0.25">
      <c r="J73" s="8"/>
    </row>
    <row r="74" spans="1:14" x14ac:dyDescent="0.25">
      <c r="J74" s="8"/>
    </row>
    <row r="75" spans="1:14" x14ac:dyDescent="0.25">
      <c r="J75" s="8">
        <f>(J44+J70)*2%</f>
        <v>272.18479999999994</v>
      </c>
      <c r="M75" s="8">
        <f>M70/12</f>
        <v>3.8563833333333335</v>
      </c>
      <c r="N75" s="59" t="s">
        <v>1504</v>
      </c>
    </row>
    <row r="76" spans="1:14" x14ac:dyDescent="0.25">
      <c r="J76" s="8">
        <f>J75/12</f>
        <v>22.68206666666666</v>
      </c>
      <c r="K76" s="7" t="s">
        <v>876</v>
      </c>
      <c r="M76" s="8">
        <f>M70/24</f>
        <v>1.9281916666666667</v>
      </c>
      <c r="N76" s="59" t="s">
        <v>1504</v>
      </c>
    </row>
    <row r="77" spans="1:14" x14ac:dyDescent="0.25">
      <c r="J77" s="8">
        <f>J75/24</f>
        <v>11.34103333333333</v>
      </c>
      <c r="K77" s="7" t="s">
        <v>876</v>
      </c>
    </row>
  </sheetData>
  <sortState xmlns:xlrd2="http://schemas.microsoft.com/office/spreadsheetml/2017/richdata2" ref="A8:P27">
    <sortCondition descending="1" ref="I8:I27"/>
  </sortState>
  <mergeCells count="2">
    <mergeCell ref="A3:F3"/>
    <mergeCell ref="A44:F44"/>
  </mergeCells>
  <pageMargins left="0.39370078740157483" right="0" top="0.39370078740157483" bottom="0" header="0" footer="0"/>
  <pageSetup paperSize="9" scale="80" orientation="landscape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781C4-36E4-4C7B-AEA7-60C9EB3100AE}">
  <dimension ref="A1:O78"/>
  <sheetViews>
    <sheetView topLeftCell="F23" workbookViewId="0">
      <selection activeCell="O23" sqref="O1:S1048576"/>
    </sheetView>
  </sheetViews>
  <sheetFormatPr baseColWidth="10" defaultColWidth="11.44140625" defaultRowHeight="13.2" x14ac:dyDescent="0.25"/>
  <cols>
    <col min="1" max="1" width="31.5546875" style="7" customWidth="1"/>
    <col min="2" max="2" width="20.5546875" style="19" customWidth="1"/>
    <col min="3" max="3" width="18.5546875" style="19" customWidth="1"/>
    <col min="4" max="4" width="10.33203125" style="67" customWidth="1"/>
    <col min="5" max="5" width="11.6640625" style="7" customWidth="1"/>
    <col min="6" max="6" width="9.88671875" style="7" customWidth="1"/>
    <col min="7" max="7" width="11.88671875" style="7" customWidth="1"/>
    <col min="8" max="8" width="9.88671875" style="7" customWidth="1"/>
    <col min="9" max="9" width="10.6640625" style="243" customWidth="1"/>
    <col min="10" max="10" width="13.5546875" style="7" customWidth="1"/>
    <col min="11" max="11" width="7.33203125" style="7" customWidth="1"/>
    <col min="12" max="12" width="6.44140625" style="7" customWidth="1"/>
    <col min="13" max="13" width="10.109375" style="7" customWidth="1"/>
    <col min="14" max="14" width="9.6640625" style="59" customWidth="1"/>
    <col min="15" max="15" width="12.44140625" style="7" customWidth="1"/>
    <col min="16" max="16" width="8" style="7" customWidth="1"/>
    <col min="17" max="16384" width="11.44140625" style="7"/>
  </cols>
  <sheetData>
    <row r="1" spans="1:15" ht="15" customHeight="1" x14ac:dyDescent="0.25">
      <c r="B1" s="181"/>
      <c r="C1" s="181"/>
      <c r="G1" s="8"/>
    </row>
    <row r="2" spans="1:15" ht="15" customHeight="1" x14ac:dyDescent="0.25">
      <c r="A2" s="30"/>
      <c r="B2" s="30"/>
      <c r="C2" s="30"/>
      <c r="D2" s="30"/>
      <c r="E2" s="30"/>
      <c r="F2" s="30"/>
      <c r="G2" s="24"/>
      <c r="H2" s="24"/>
      <c r="I2" s="244"/>
      <c r="J2" s="26"/>
      <c r="K2" s="27"/>
      <c r="L2" s="28"/>
      <c r="M2" s="29"/>
    </row>
    <row r="3" spans="1:15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244"/>
      <c r="J3" s="27"/>
      <c r="K3" s="27"/>
      <c r="L3" s="28"/>
      <c r="M3" s="29"/>
    </row>
    <row r="4" spans="1:15" ht="15" customHeight="1" x14ac:dyDescent="0.25">
      <c r="A4" s="30"/>
      <c r="B4" s="30" t="s">
        <v>1508</v>
      </c>
      <c r="C4" s="30"/>
      <c r="D4" s="64"/>
      <c r="E4" s="30"/>
      <c r="F4" s="30"/>
      <c r="G4" s="24"/>
      <c r="H4" s="25"/>
      <c r="I4" s="244"/>
      <c r="J4" s="27"/>
      <c r="K4" s="27"/>
      <c r="L4" s="28"/>
      <c r="M4" s="29"/>
    </row>
    <row r="5" spans="1:15" ht="15" customHeight="1" thickBot="1" x14ac:dyDescent="0.3">
      <c r="A5" s="30"/>
      <c r="B5" s="30" t="s">
        <v>22</v>
      </c>
      <c r="C5" s="30"/>
      <c r="D5" s="64"/>
      <c r="E5" s="30"/>
      <c r="F5" s="30"/>
      <c r="G5" s="32"/>
      <c r="H5" s="24"/>
      <c r="I5" s="245"/>
      <c r="J5" s="33"/>
      <c r="K5" s="27"/>
      <c r="L5" s="28"/>
      <c r="M5" s="29"/>
    </row>
    <row r="6" spans="1:15" ht="15" customHeight="1" x14ac:dyDescent="0.25">
      <c r="A6" s="34"/>
      <c r="B6" s="182"/>
      <c r="C6" s="182"/>
      <c r="D6" s="195"/>
      <c r="E6" s="33"/>
      <c r="F6" s="33"/>
      <c r="G6" s="35" t="s">
        <v>3</v>
      </c>
      <c r="H6" s="27"/>
      <c r="I6" s="244"/>
      <c r="J6" s="36" t="s">
        <v>4</v>
      </c>
      <c r="K6" s="56" t="s">
        <v>5</v>
      </c>
      <c r="L6" s="40" t="s">
        <v>6</v>
      </c>
      <c r="M6" s="36" t="s">
        <v>7</v>
      </c>
    </row>
    <row r="7" spans="1:15" ht="15" customHeight="1" x14ac:dyDescent="0.25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62" t="s">
        <v>13</v>
      </c>
      <c r="H7" s="13" t="s">
        <v>14</v>
      </c>
      <c r="I7" s="246" t="s">
        <v>15</v>
      </c>
      <c r="J7" s="14" t="s">
        <v>16</v>
      </c>
      <c r="K7" s="57"/>
      <c r="L7" s="58" t="s">
        <v>17</v>
      </c>
      <c r="M7" s="14" t="s">
        <v>39</v>
      </c>
    </row>
    <row r="8" spans="1:15" ht="15" customHeight="1" x14ac:dyDescent="0.3">
      <c r="A8" s="289" t="s">
        <v>1575</v>
      </c>
      <c r="B8" s="236" t="s">
        <v>108</v>
      </c>
      <c r="C8" s="237" t="s">
        <v>1586</v>
      </c>
      <c r="D8" s="263">
        <v>46134</v>
      </c>
      <c r="E8" s="267">
        <f>438.91+109.73</f>
        <v>548.64</v>
      </c>
      <c r="F8" s="267">
        <v>109.73</v>
      </c>
      <c r="G8" s="290">
        <v>504.75</v>
      </c>
      <c r="H8" s="267">
        <v>65.84</v>
      </c>
      <c r="I8" s="291">
        <v>46134</v>
      </c>
      <c r="J8" s="50">
        <f t="shared" ref="J8:J27" si="0">+E8-F8</f>
        <v>438.90999999999997</v>
      </c>
      <c r="K8" s="47">
        <f t="shared" ref="K8:K31" si="1">+I8-D8</f>
        <v>0</v>
      </c>
      <c r="L8" s="5">
        <v>0.04</v>
      </c>
      <c r="M8" s="6">
        <f t="shared" ref="M8:M31" si="2">+J8*L8</f>
        <v>17.5564</v>
      </c>
      <c r="O8" s="78"/>
    </row>
    <row r="9" spans="1:15" ht="15" customHeight="1" x14ac:dyDescent="0.3">
      <c r="A9" s="289" t="s">
        <v>225</v>
      </c>
      <c r="B9" s="236" t="s">
        <v>229</v>
      </c>
      <c r="C9" s="237" t="s">
        <v>1592</v>
      </c>
      <c r="D9" s="291">
        <v>46135</v>
      </c>
      <c r="E9" s="292">
        <f>171.11+25.57</f>
        <v>196.68</v>
      </c>
      <c r="F9" s="292">
        <v>25.57</v>
      </c>
      <c r="G9" s="290">
        <v>196.78</v>
      </c>
      <c r="H9" s="292">
        <v>25.67</v>
      </c>
      <c r="I9" s="291">
        <v>46135</v>
      </c>
      <c r="J9" s="50">
        <f t="shared" si="0"/>
        <v>171.11</v>
      </c>
      <c r="K9" s="47">
        <f t="shared" si="1"/>
        <v>0</v>
      </c>
      <c r="L9" s="5">
        <v>0.04</v>
      </c>
      <c r="M9" s="6">
        <f t="shared" si="2"/>
        <v>6.8444000000000003</v>
      </c>
      <c r="O9" s="78"/>
    </row>
    <row r="10" spans="1:15" ht="15" customHeight="1" x14ac:dyDescent="0.3">
      <c r="A10" s="289" t="s">
        <v>802</v>
      </c>
      <c r="B10" s="236" t="s">
        <v>27</v>
      </c>
      <c r="C10" s="237" t="s">
        <v>1582</v>
      </c>
      <c r="D10" s="263">
        <v>46118</v>
      </c>
      <c r="E10" s="267">
        <f>72.35+10.81</f>
        <v>83.16</v>
      </c>
      <c r="F10" s="267">
        <v>10.81</v>
      </c>
      <c r="G10" s="290">
        <v>83.2</v>
      </c>
      <c r="H10" s="267">
        <v>10.85</v>
      </c>
      <c r="I10" s="291">
        <v>46120</v>
      </c>
      <c r="J10" s="50">
        <f t="shared" si="0"/>
        <v>72.349999999999994</v>
      </c>
      <c r="K10" s="47">
        <f t="shared" si="1"/>
        <v>2</v>
      </c>
      <c r="L10" s="5">
        <v>3.5000000000000003E-2</v>
      </c>
      <c r="M10" s="6">
        <f t="shared" si="2"/>
        <v>2.5322499999999999</v>
      </c>
      <c r="O10" s="78"/>
    </row>
    <row r="11" spans="1:15" ht="15" customHeight="1" x14ac:dyDescent="0.3">
      <c r="A11" s="289" t="s">
        <v>89</v>
      </c>
      <c r="B11" s="236" t="s">
        <v>18</v>
      </c>
      <c r="C11" s="237" t="s">
        <v>1588</v>
      </c>
      <c r="D11" s="263">
        <v>46132</v>
      </c>
      <c r="E11" s="267">
        <f>42.72+10.68</f>
        <v>53.4</v>
      </c>
      <c r="F11" s="267">
        <v>10.68</v>
      </c>
      <c r="G11" s="290">
        <v>46.36</v>
      </c>
      <c r="H11" s="267">
        <v>6.41</v>
      </c>
      <c r="I11" s="291">
        <v>46134</v>
      </c>
      <c r="J11" s="50">
        <f t="shared" si="0"/>
        <v>42.72</v>
      </c>
      <c r="K11" s="47">
        <f t="shared" si="1"/>
        <v>2</v>
      </c>
      <c r="L11" s="5">
        <v>3.5000000000000003E-2</v>
      </c>
      <c r="M11" s="6">
        <f t="shared" si="2"/>
        <v>1.4952000000000001</v>
      </c>
      <c r="O11" s="78"/>
    </row>
    <row r="12" spans="1:15" ht="15" customHeight="1" x14ac:dyDescent="0.3">
      <c r="A12" s="289" t="s">
        <v>1088</v>
      </c>
      <c r="B12" s="236" t="s">
        <v>57</v>
      </c>
      <c r="C12" s="237" t="s">
        <v>1579</v>
      </c>
      <c r="D12" s="263">
        <v>46114</v>
      </c>
      <c r="E12" s="267">
        <f>246.84+43.56-1.18</f>
        <v>289.21999999999997</v>
      </c>
      <c r="F12" s="267">
        <v>43.56</v>
      </c>
      <c r="G12" s="290">
        <v>282.69</v>
      </c>
      <c r="H12" s="267">
        <v>37.03</v>
      </c>
      <c r="I12" s="291">
        <v>46118</v>
      </c>
      <c r="J12" s="50">
        <f t="shared" si="0"/>
        <v>245.65999999999997</v>
      </c>
      <c r="K12" s="47">
        <f t="shared" si="1"/>
        <v>4</v>
      </c>
      <c r="L12" s="5">
        <v>3.5000000000000003E-2</v>
      </c>
      <c r="M12" s="6">
        <f t="shared" si="2"/>
        <v>8.5981000000000005</v>
      </c>
      <c r="O12" s="78"/>
    </row>
    <row r="13" spans="1:15" ht="15" customHeight="1" x14ac:dyDescent="0.3">
      <c r="A13" s="289" t="s">
        <v>923</v>
      </c>
      <c r="B13" s="236" t="s">
        <v>59</v>
      </c>
      <c r="C13" s="237" t="s">
        <v>1581</v>
      </c>
      <c r="D13" s="263">
        <v>46114</v>
      </c>
      <c r="E13" s="267">
        <f>76.5+13.5</f>
        <v>90</v>
      </c>
      <c r="F13" s="267">
        <v>13.5</v>
      </c>
      <c r="G13" s="290">
        <v>87.98</v>
      </c>
      <c r="H13" s="267">
        <v>11.48</v>
      </c>
      <c r="I13" s="291">
        <v>46120</v>
      </c>
      <c r="J13" s="50">
        <f t="shared" si="0"/>
        <v>76.5</v>
      </c>
      <c r="K13" s="47">
        <f t="shared" si="1"/>
        <v>6</v>
      </c>
      <c r="L13" s="5">
        <v>3.5000000000000003E-2</v>
      </c>
      <c r="M13" s="6">
        <f t="shared" si="2"/>
        <v>2.6775000000000002</v>
      </c>
      <c r="O13" s="78"/>
    </row>
    <row r="14" spans="1:15" ht="15" customHeight="1" x14ac:dyDescent="0.3">
      <c r="A14" s="289" t="s">
        <v>25</v>
      </c>
      <c r="B14" s="236" t="s">
        <v>30</v>
      </c>
      <c r="C14" s="237" t="s">
        <v>1577</v>
      </c>
      <c r="D14" s="263">
        <v>46106</v>
      </c>
      <c r="E14" s="267">
        <f>1710.36+570.12</f>
        <v>2280.48</v>
      </c>
      <c r="F14" s="267">
        <v>570.12</v>
      </c>
      <c r="G14" s="290">
        <v>1855.73</v>
      </c>
      <c r="H14" s="267">
        <v>256.55</v>
      </c>
      <c r="I14" s="291">
        <v>46114</v>
      </c>
      <c r="J14" s="50">
        <f t="shared" si="0"/>
        <v>1710.3600000000001</v>
      </c>
      <c r="K14" s="47">
        <f t="shared" si="1"/>
        <v>8</v>
      </c>
      <c r="L14" s="5">
        <v>3.5000000000000003E-2</v>
      </c>
      <c r="M14" s="6">
        <f t="shared" si="2"/>
        <v>59.862600000000008</v>
      </c>
      <c r="O14" s="78"/>
    </row>
    <row r="15" spans="1:15" ht="15" customHeight="1" x14ac:dyDescent="0.3">
      <c r="A15" s="289" t="s">
        <v>119</v>
      </c>
      <c r="B15" s="236" t="s">
        <v>18</v>
      </c>
      <c r="C15" s="237" t="s">
        <v>1598</v>
      </c>
      <c r="D15" s="263">
        <v>46132</v>
      </c>
      <c r="E15" s="267">
        <f>841.63+114.77</f>
        <v>956.4</v>
      </c>
      <c r="F15" s="267">
        <v>114.77</v>
      </c>
      <c r="G15" s="290">
        <v>913.17</v>
      </c>
      <c r="H15" s="267">
        <v>126.24</v>
      </c>
      <c r="I15" s="291">
        <v>46140</v>
      </c>
      <c r="J15" s="50">
        <f t="shared" si="0"/>
        <v>841.63</v>
      </c>
      <c r="K15" s="47">
        <f t="shared" si="1"/>
        <v>8</v>
      </c>
      <c r="L15" s="5">
        <v>3.5000000000000003E-2</v>
      </c>
      <c r="M15" s="6">
        <f t="shared" si="2"/>
        <v>29.457050000000002</v>
      </c>
      <c r="O15" s="78"/>
    </row>
    <row r="16" spans="1:15" ht="15" customHeight="1" x14ac:dyDescent="0.3">
      <c r="A16" s="289" t="s">
        <v>701</v>
      </c>
      <c r="B16" s="236" t="s">
        <v>24</v>
      </c>
      <c r="C16" s="237" t="s">
        <v>1591</v>
      </c>
      <c r="D16" s="263">
        <v>46122</v>
      </c>
      <c r="E16" s="267">
        <f>715.14+238.38</f>
        <v>953.52</v>
      </c>
      <c r="F16" s="267">
        <v>238.38</v>
      </c>
      <c r="G16" s="290">
        <v>775.93</v>
      </c>
      <c r="H16" s="267">
        <v>107.27</v>
      </c>
      <c r="I16" s="291">
        <v>46135</v>
      </c>
      <c r="J16" s="50">
        <f t="shared" si="0"/>
        <v>715.14</v>
      </c>
      <c r="K16" s="47">
        <f t="shared" si="1"/>
        <v>13</v>
      </c>
      <c r="L16" s="5">
        <v>3.5000000000000003E-2</v>
      </c>
      <c r="M16" s="6">
        <f t="shared" si="2"/>
        <v>25.029900000000001</v>
      </c>
      <c r="O16" s="78"/>
    </row>
    <row r="17" spans="1:15" ht="15" customHeight="1" x14ac:dyDescent="0.3">
      <c r="A17" s="289" t="s">
        <v>40</v>
      </c>
      <c r="B17" s="236" t="s">
        <v>18</v>
      </c>
      <c r="C17" s="237" t="s">
        <v>1587</v>
      </c>
      <c r="D17" s="263">
        <v>46119</v>
      </c>
      <c r="E17" s="267">
        <f>188.1+62.7</f>
        <v>250.8</v>
      </c>
      <c r="F17" s="267">
        <v>62.7</v>
      </c>
      <c r="G17" s="290">
        <v>204.09</v>
      </c>
      <c r="H17" s="267">
        <v>28.22</v>
      </c>
      <c r="I17" s="291">
        <v>46134</v>
      </c>
      <c r="J17" s="50">
        <f t="shared" si="0"/>
        <v>188.10000000000002</v>
      </c>
      <c r="K17" s="47">
        <f t="shared" si="1"/>
        <v>15</v>
      </c>
      <c r="L17" s="5">
        <v>3.5000000000000003E-2</v>
      </c>
      <c r="M17" s="6">
        <f t="shared" si="2"/>
        <v>6.5835000000000017</v>
      </c>
      <c r="O17" s="78"/>
    </row>
    <row r="18" spans="1:15" ht="15" customHeight="1" x14ac:dyDescent="0.3">
      <c r="A18" s="289" t="s">
        <v>40</v>
      </c>
      <c r="B18" s="236" t="s">
        <v>18</v>
      </c>
      <c r="C18" s="237" t="s">
        <v>1590</v>
      </c>
      <c r="D18" s="263">
        <v>46120</v>
      </c>
      <c r="E18" s="267">
        <f>190.26+63.42</f>
        <v>253.68</v>
      </c>
      <c r="F18" s="267">
        <v>63.42</v>
      </c>
      <c r="G18" s="290">
        <v>206.43</v>
      </c>
      <c r="H18" s="267">
        <v>28.54</v>
      </c>
      <c r="I18" s="291">
        <v>46135</v>
      </c>
      <c r="J18" s="50">
        <f t="shared" si="0"/>
        <v>190.26</v>
      </c>
      <c r="K18" s="47">
        <f t="shared" si="1"/>
        <v>15</v>
      </c>
      <c r="L18" s="5">
        <v>3.5000000000000003E-2</v>
      </c>
      <c r="M18" s="6">
        <f t="shared" si="2"/>
        <v>6.6591000000000005</v>
      </c>
      <c r="O18" s="78"/>
    </row>
    <row r="19" spans="1:15" ht="15" customHeight="1" x14ac:dyDescent="0.3">
      <c r="A19" s="289" t="s">
        <v>1003</v>
      </c>
      <c r="B19" s="236" t="s">
        <v>18</v>
      </c>
      <c r="C19" s="237" t="s">
        <v>1595</v>
      </c>
      <c r="D19" s="263">
        <v>46121</v>
      </c>
      <c r="E19" s="267">
        <f>459+81</f>
        <v>540</v>
      </c>
      <c r="F19" s="267">
        <v>81</v>
      </c>
      <c r="G19" s="290">
        <v>527.85</v>
      </c>
      <c r="H19" s="267">
        <v>68.849999999999994</v>
      </c>
      <c r="I19" s="291">
        <v>46139</v>
      </c>
      <c r="J19" s="50">
        <f t="shared" si="0"/>
        <v>459</v>
      </c>
      <c r="K19" s="47">
        <f t="shared" si="1"/>
        <v>18</v>
      </c>
      <c r="L19" s="5">
        <v>3.5000000000000003E-2</v>
      </c>
      <c r="M19" s="6">
        <f t="shared" si="2"/>
        <v>16.065000000000001</v>
      </c>
      <c r="O19" s="78"/>
    </row>
    <row r="20" spans="1:15" ht="15" customHeight="1" x14ac:dyDescent="0.3">
      <c r="A20" s="289" t="s">
        <v>80</v>
      </c>
      <c r="B20" s="236" t="s">
        <v>18</v>
      </c>
      <c r="C20" s="237" t="s">
        <v>1585</v>
      </c>
      <c r="D20" s="263">
        <v>46107</v>
      </c>
      <c r="E20" s="267">
        <f>326.4+81.6</f>
        <v>408</v>
      </c>
      <c r="F20" s="267">
        <v>81.599999999999994</v>
      </c>
      <c r="G20" s="290">
        <v>354.14</v>
      </c>
      <c r="H20" s="267">
        <v>48.96</v>
      </c>
      <c r="I20" s="291">
        <v>46133</v>
      </c>
      <c r="J20" s="50">
        <f t="shared" si="0"/>
        <v>326.39999999999998</v>
      </c>
      <c r="K20" s="47">
        <f t="shared" si="1"/>
        <v>26</v>
      </c>
      <c r="L20" s="5">
        <v>3.5000000000000003E-2</v>
      </c>
      <c r="M20" s="6">
        <f t="shared" si="2"/>
        <v>11.423999999999999</v>
      </c>
      <c r="O20" s="78"/>
    </row>
    <row r="21" spans="1:15" ht="15" customHeight="1" x14ac:dyDescent="0.3">
      <c r="A21" s="289" t="s">
        <v>701</v>
      </c>
      <c r="B21" s="236" t="s">
        <v>24</v>
      </c>
      <c r="C21" s="237" t="s">
        <v>1589</v>
      </c>
      <c r="D21" s="263">
        <v>46106</v>
      </c>
      <c r="E21" s="267">
        <f>1799.82+599.94</f>
        <v>2399.7600000000002</v>
      </c>
      <c r="F21" s="267">
        <v>599.94000000000005</v>
      </c>
      <c r="G21" s="290">
        <v>1952.8</v>
      </c>
      <c r="H21" s="267">
        <v>269.97000000000003</v>
      </c>
      <c r="I21" s="291">
        <v>46135</v>
      </c>
      <c r="J21" s="50">
        <f t="shared" si="0"/>
        <v>1799.8200000000002</v>
      </c>
      <c r="K21" s="47">
        <f t="shared" si="1"/>
        <v>29</v>
      </c>
      <c r="L21" s="5">
        <v>3.5000000000000003E-2</v>
      </c>
      <c r="M21" s="6">
        <f t="shared" si="2"/>
        <v>62.993700000000011</v>
      </c>
      <c r="O21" s="78"/>
    </row>
    <row r="22" spans="1:15" ht="15" customHeight="1" x14ac:dyDescent="0.3">
      <c r="A22" s="289" t="s">
        <v>71</v>
      </c>
      <c r="B22" s="236" t="s">
        <v>24</v>
      </c>
      <c r="C22" s="237" t="s">
        <v>1593</v>
      </c>
      <c r="D22" s="263">
        <v>46106</v>
      </c>
      <c r="E22" s="267">
        <f>1693.62+564.54</f>
        <v>2258.16</v>
      </c>
      <c r="F22" s="267">
        <v>564.54</v>
      </c>
      <c r="G22" s="290">
        <v>1837.58</v>
      </c>
      <c r="H22" s="267">
        <v>254.04</v>
      </c>
      <c r="I22" s="291">
        <v>46136</v>
      </c>
      <c r="J22" s="50">
        <f t="shared" si="0"/>
        <v>1693.62</v>
      </c>
      <c r="K22" s="47">
        <f t="shared" si="1"/>
        <v>30</v>
      </c>
      <c r="L22" s="5">
        <v>3.5000000000000003E-2</v>
      </c>
      <c r="M22" s="6">
        <f t="shared" si="2"/>
        <v>59.276700000000005</v>
      </c>
      <c r="O22" s="78"/>
    </row>
    <row r="23" spans="1:15" ht="15" customHeight="1" x14ac:dyDescent="0.3">
      <c r="A23" s="289" t="s">
        <v>94</v>
      </c>
      <c r="B23" s="236" t="s">
        <v>18</v>
      </c>
      <c r="C23" s="237" t="s">
        <v>1597</v>
      </c>
      <c r="D23" s="263">
        <v>46108</v>
      </c>
      <c r="E23" s="267">
        <f>486.8+85.91</f>
        <v>572.71</v>
      </c>
      <c r="F23" s="267">
        <v>85.91</v>
      </c>
      <c r="G23" s="290">
        <v>559.82000000000005</v>
      </c>
      <c r="H23" s="267">
        <v>73.02</v>
      </c>
      <c r="I23" s="291">
        <v>46140</v>
      </c>
      <c r="J23" s="50">
        <f t="shared" si="0"/>
        <v>486.80000000000007</v>
      </c>
      <c r="K23" s="47">
        <f t="shared" si="1"/>
        <v>32</v>
      </c>
      <c r="L23" s="5">
        <v>0.03</v>
      </c>
      <c r="M23" s="6">
        <f t="shared" si="2"/>
        <v>14.604000000000001</v>
      </c>
      <c r="O23" s="78"/>
    </row>
    <row r="24" spans="1:15" ht="15" customHeight="1" x14ac:dyDescent="0.3">
      <c r="A24" s="289" t="s">
        <v>80</v>
      </c>
      <c r="B24" s="236" t="s">
        <v>18</v>
      </c>
      <c r="C24" s="237" t="s">
        <v>1576</v>
      </c>
      <c r="D24" s="263">
        <v>46079</v>
      </c>
      <c r="E24" s="267">
        <f>510+127.5</f>
        <v>637.5</v>
      </c>
      <c r="F24" s="267">
        <v>127.5</v>
      </c>
      <c r="G24" s="290">
        <v>554.63</v>
      </c>
      <c r="H24" s="267">
        <v>76.5</v>
      </c>
      <c r="I24" s="291">
        <v>46113</v>
      </c>
      <c r="J24" s="50">
        <f t="shared" si="0"/>
        <v>510</v>
      </c>
      <c r="K24" s="47">
        <f t="shared" si="1"/>
        <v>34</v>
      </c>
      <c r="L24" s="5">
        <v>0.03</v>
      </c>
      <c r="M24" s="6">
        <f t="shared" si="2"/>
        <v>15.299999999999999</v>
      </c>
      <c r="O24" s="78"/>
    </row>
    <row r="25" spans="1:15" ht="15" customHeight="1" x14ac:dyDescent="0.3">
      <c r="A25" s="289" t="s">
        <v>94</v>
      </c>
      <c r="B25" s="236" t="s">
        <v>18</v>
      </c>
      <c r="C25" s="237" t="s">
        <v>1596</v>
      </c>
      <c r="D25" s="263">
        <v>46098</v>
      </c>
      <c r="E25" s="267">
        <f>86.7+15.3</f>
        <v>102</v>
      </c>
      <c r="F25" s="267">
        <v>15.3</v>
      </c>
      <c r="G25" s="290">
        <v>99.71</v>
      </c>
      <c r="H25" s="267">
        <v>13.01</v>
      </c>
      <c r="I25" s="291">
        <v>46140</v>
      </c>
      <c r="J25" s="50">
        <f t="shared" si="0"/>
        <v>86.7</v>
      </c>
      <c r="K25" s="47">
        <f t="shared" si="1"/>
        <v>42</v>
      </c>
      <c r="L25" s="5">
        <v>0.03</v>
      </c>
      <c r="M25" s="6">
        <f t="shared" si="2"/>
        <v>2.601</v>
      </c>
      <c r="O25" s="78"/>
    </row>
    <row r="26" spans="1:15" ht="15" customHeight="1" x14ac:dyDescent="0.3">
      <c r="A26" s="289" t="s">
        <v>89</v>
      </c>
      <c r="B26" s="236" t="s">
        <v>18</v>
      </c>
      <c r="C26" s="237" t="s">
        <v>1583</v>
      </c>
      <c r="D26" s="263">
        <v>46073</v>
      </c>
      <c r="E26" s="267">
        <f>237.02+59.26</f>
        <v>296.28000000000003</v>
      </c>
      <c r="F26" s="267">
        <v>59.26</v>
      </c>
      <c r="G26" s="290">
        <v>257.75</v>
      </c>
      <c r="H26" s="267">
        <v>35.549999999999997</v>
      </c>
      <c r="I26" s="291">
        <v>46125</v>
      </c>
      <c r="J26" s="50">
        <f t="shared" si="0"/>
        <v>237.02000000000004</v>
      </c>
      <c r="K26" s="47">
        <f t="shared" si="1"/>
        <v>52</v>
      </c>
      <c r="L26" s="5">
        <v>0.03</v>
      </c>
      <c r="M26" s="6">
        <f t="shared" si="2"/>
        <v>7.1106000000000007</v>
      </c>
      <c r="O26" s="78"/>
    </row>
    <row r="27" spans="1:15" ht="15" customHeight="1" x14ac:dyDescent="0.3">
      <c r="A27" s="289" t="s">
        <v>38</v>
      </c>
      <c r="B27" s="236" t="s">
        <v>18</v>
      </c>
      <c r="C27" s="237" t="s">
        <v>1578</v>
      </c>
      <c r="D27" s="263">
        <v>46065</v>
      </c>
      <c r="E27" s="267">
        <f>88.92+25.08</f>
        <v>114</v>
      </c>
      <c r="F27" s="267">
        <v>25.08</v>
      </c>
      <c r="G27" s="290">
        <v>96.7</v>
      </c>
      <c r="H27" s="267">
        <v>13.34</v>
      </c>
      <c r="I27" s="291">
        <v>46118</v>
      </c>
      <c r="J27" s="50">
        <f t="shared" si="0"/>
        <v>88.92</v>
      </c>
      <c r="K27" s="47">
        <f t="shared" si="1"/>
        <v>53</v>
      </c>
      <c r="L27" s="5">
        <v>0.03</v>
      </c>
      <c r="M27" s="6">
        <f t="shared" si="2"/>
        <v>2.6675999999999997</v>
      </c>
      <c r="O27" s="78"/>
    </row>
    <row r="28" spans="1:15" ht="15" customHeight="1" x14ac:dyDescent="0.3">
      <c r="A28" s="289" t="s">
        <v>106</v>
      </c>
      <c r="B28" s="236" t="s">
        <v>61</v>
      </c>
      <c r="C28" s="237" t="s">
        <v>1584</v>
      </c>
      <c r="D28" s="263">
        <v>46073</v>
      </c>
      <c r="E28" s="267">
        <f>565.01+99.71</f>
        <v>664.72</v>
      </c>
      <c r="F28" s="267">
        <v>99.71</v>
      </c>
      <c r="G28" s="290">
        <v>150</v>
      </c>
      <c r="H28" s="267">
        <v>84.75</v>
      </c>
      <c r="I28" s="291">
        <v>46128</v>
      </c>
      <c r="J28" s="50">
        <f>150/1.15</f>
        <v>130.43478260869566</v>
      </c>
      <c r="K28" s="47">
        <f t="shared" si="1"/>
        <v>55</v>
      </c>
      <c r="L28" s="5">
        <v>0.03</v>
      </c>
      <c r="M28" s="6">
        <f t="shared" si="2"/>
        <v>3.9130434782608696</v>
      </c>
      <c r="O28" s="78"/>
    </row>
    <row r="29" spans="1:15" ht="15" customHeight="1" x14ac:dyDescent="0.3">
      <c r="A29" s="289" t="s">
        <v>118</v>
      </c>
      <c r="B29" s="236" t="s">
        <v>120</v>
      </c>
      <c r="C29" s="237" t="s">
        <v>1594</v>
      </c>
      <c r="D29" s="263">
        <v>46072</v>
      </c>
      <c r="E29" s="267">
        <f>415.14+73.26</f>
        <v>488.4</v>
      </c>
      <c r="F29" s="267">
        <v>73.260000000000005</v>
      </c>
      <c r="G29" s="290">
        <v>451.47</v>
      </c>
      <c r="H29" s="267">
        <v>62.27</v>
      </c>
      <c r="I29" s="291">
        <v>46139</v>
      </c>
      <c r="J29" s="50">
        <f>+E29-F29</f>
        <v>415.14</v>
      </c>
      <c r="K29" s="47">
        <f t="shared" si="1"/>
        <v>67</v>
      </c>
      <c r="L29" s="5">
        <v>0.03</v>
      </c>
      <c r="M29" s="6">
        <f t="shared" si="2"/>
        <v>12.454199999999998</v>
      </c>
      <c r="O29" s="78"/>
    </row>
    <row r="30" spans="1:15" ht="15" customHeight="1" x14ac:dyDescent="0.3">
      <c r="A30" s="289" t="s">
        <v>106</v>
      </c>
      <c r="B30" s="236" t="s">
        <v>61</v>
      </c>
      <c r="C30" s="237" t="s">
        <v>1584</v>
      </c>
      <c r="D30" s="263">
        <v>46073</v>
      </c>
      <c r="E30" s="267">
        <f>565.01+99.71</f>
        <v>664.72</v>
      </c>
      <c r="F30" s="267">
        <v>99.71</v>
      </c>
      <c r="G30" s="290">
        <v>150</v>
      </c>
      <c r="H30" s="267">
        <v>84.75</v>
      </c>
      <c r="I30" s="291">
        <v>46140</v>
      </c>
      <c r="J30" s="50">
        <f>150/1.15</f>
        <v>130.43478260869566</v>
      </c>
      <c r="K30" s="47">
        <f t="shared" si="1"/>
        <v>67</v>
      </c>
      <c r="L30" s="5">
        <v>0.03</v>
      </c>
      <c r="M30" s="6">
        <f t="shared" si="2"/>
        <v>3.9130434782608696</v>
      </c>
      <c r="O30" s="78"/>
    </row>
    <row r="31" spans="1:15" ht="15" customHeight="1" x14ac:dyDescent="0.3">
      <c r="A31" s="289" t="s">
        <v>102</v>
      </c>
      <c r="B31" s="293" t="s">
        <v>18</v>
      </c>
      <c r="C31" s="237" t="s">
        <v>1580</v>
      </c>
      <c r="D31" s="263">
        <v>45852</v>
      </c>
      <c r="E31" s="267">
        <f>103.02+18.18</f>
        <v>121.19999999999999</v>
      </c>
      <c r="F31" s="267">
        <v>18.18</v>
      </c>
      <c r="G31" s="290">
        <v>118.47</v>
      </c>
      <c r="H31" s="267">
        <v>15.45</v>
      </c>
      <c r="I31" s="291">
        <v>46119</v>
      </c>
      <c r="J31" s="50">
        <f>+E31-F31</f>
        <v>103.01999999999998</v>
      </c>
      <c r="K31" s="47">
        <f t="shared" si="1"/>
        <v>267</v>
      </c>
      <c r="L31" s="5">
        <v>0</v>
      </c>
      <c r="M31" s="6">
        <f t="shared" si="2"/>
        <v>0</v>
      </c>
      <c r="O31" s="78"/>
    </row>
    <row r="32" spans="1:15" ht="15" customHeight="1" x14ac:dyDescent="0.25">
      <c r="A32" s="235"/>
      <c r="B32" s="236"/>
      <c r="C32" s="237"/>
      <c r="D32" s="263"/>
      <c r="E32" s="267"/>
      <c r="F32" s="267"/>
      <c r="G32" s="6"/>
      <c r="H32" s="267"/>
      <c r="I32" s="263"/>
      <c r="J32" s="50"/>
      <c r="K32" s="47"/>
      <c r="L32" s="5"/>
      <c r="M32" s="6"/>
      <c r="O32" s="78"/>
    </row>
    <row r="33" spans="1:15" ht="15" customHeight="1" x14ac:dyDescent="0.25">
      <c r="A33" s="235"/>
      <c r="B33" s="294"/>
      <c r="C33" s="237"/>
      <c r="D33" s="263"/>
      <c r="E33" s="295"/>
      <c r="F33" s="295"/>
      <c r="G33" s="258"/>
      <c r="H33" s="295"/>
      <c r="I33" s="296"/>
      <c r="J33" s="50"/>
      <c r="K33" s="47"/>
      <c r="L33" s="5"/>
      <c r="M33" s="6"/>
      <c r="O33" s="78"/>
    </row>
    <row r="34" spans="1:15" ht="15" customHeight="1" x14ac:dyDescent="0.25">
      <c r="A34" s="171"/>
      <c r="B34" s="160"/>
      <c r="C34" s="171"/>
      <c r="D34" s="201"/>
      <c r="E34" s="87"/>
      <c r="F34" s="87"/>
      <c r="G34" s="94"/>
      <c r="H34" s="87"/>
      <c r="I34" s="247"/>
      <c r="J34" s="50"/>
      <c r="K34" s="47"/>
      <c r="L34" s="5"/>
      <c r="M34" s="6"/>
      <c r="O34" s="78"/>
    </row>
    <row r="35" spans="1:15" ht="15" customHeight="1" x14ac:dyDescent="0.3">
      <c r="G35" s="16">
        <f>SUM(G8:G34)</f>
        <v>12268.029999999999</v>
      </c>
      <c r="J35" s="16">
        <f>SUM(J8:J34)</f>
        <v>11160.049565217394</v>
      </c>
      <c r="M35" s="16">
        <f>SUM(M8:M34)</f>
        <v>379.61888695652175</v>
      </c>
      <c r="O35" s="78"/>
    </row>
    <row r="36" spans="1:15" ht="15" customHeight="1" x14ac:dyDescent="0.25">
      <c r="G36" s="8"/>
      <c r="H36" s="8"/>
      <c r="O36" s="78"/>
    </row>
    <row r="37" spans="1:15" ht="15" customHeight="1" x14ac:dyDescent="0.25">
      <c r="A37" s="17" t="s">
        <v>19</v>
      </c>
      <c r="B37" s="18" t="s">
        <v>20</v>
      </c>
      <c r="C37" s="18" t="s">
        <v>21</v>
      </c>
      <c r="J37" s="8"/>
      <c r="O37" s="78"/>
    </row>
    <row r="38" spans="1:15" s="52" customFormat="1" ht="14.4" x14ac:dyDescent="0.3">
      <c r="A38" s="289" t="s">
        <v>91</v>
      </c>
      <c r="B38" s="235" t="s">
        <v>1599</v>
      </c>
      <c r="C38" s="237" t="s">
        <v>1605</v>
      </c>
      <c r="D38" s="263">
        <v>46122</v>
      </c>
      <c r="E38" s="267">
        <f>347.39+51.91</f>
        <v>399.29999999999995</v>
      </c>
      <c r="F38" s="267">
        <v>51.91</v>
      </c>
      <c r="G38" s="290">
        <v>399.3</v>
      </c>
      <c r="H38" s="267">
        <v>52.11</v>
      </c>
      <c r="I38" s="291">
        <v>46155</v>
      </c>
      <c r="J38" s="50">
        <f>+E38-F38</f>
        <v>347.39</v>
      </c>
      <c r="K38" s="47">
        <f>+I38-D38</f>
        <v>33</v>
      </c>
      <c r="L38" s="48">
        <v>0.03</v>
      </c>
      <c r="M38" s="49">
        <f>+J38*L38</f>
        <v>10.4217</v>
      </c>
      <c r="N38" s="60"/>
      <c r="O38" s="78"/>
    </row>
    <row r="39" spans="1:15" s="52" customFormat="1" ht="14.4" x14ac:dyDescent="0.3">
      <c r="A39" s="289" t="s">
        <v>1037</v>
      </c>
      <c r="B39" s="235" t="s">
        <v>1600</v>
      </c>
      <c r="C39" s="237" t="s">
        <v>1606</v>
      </c>
      <c r="D39" s="291">
        <v>46038</v>
      </c>
      <c r="E39" s="292">
        <f>86.7+15.3</f>
        <v>102</v>
      </c>
      <c r="F39" s="292">
        <v>15.3</v>
      </c>
      <c r="G39" s="290">
        <v>743.21</v>
      </c>
      <c r="H39" s="292">
        <v>13.01</v>
      </c>
      <c r="I39" s="291">
        <v>46150</v>
      </c>
      <c r="J39" s="50">
        <f t="shared" ref="J39:J44" si="3">+E39-F39</f>
        <v>86.7</v>
      </c>
      <c r="K39" s="47">
        <f t="shared" ref="K39:K44" si="4">+I39-D39</f>
        <v>112</v>
      </c>
      <c r="L39" s="48">
        <v>0.03</v>
      </c>
      <c r="M39" s="49">
        <f t="shared" ref="M39:M44" si="5">+J39*L39</f>
        <v>2.601</v>
      </c>
      <c r="N39" s="60"/>
      <c r="O39" s="78"/>
    </row>
    <row r="40" spans="1:15" s="52" customFormat="1" ht="14.4" x14ac:dyDescent="0.3">
      <c r="A40" s="289" t="s">
        <v>1037</v>
      </c>
      <c r="B40" s="235" t="s">
        <v>1600</v>
      </c>
      <c r="C40" s="237" t="s">
        <v>1607</v>
      </c>
      <c r="D40" s="291">
        <v>46043</v>
      </c>
      <c r="E40" s="292">
        <f>596.7+105.3</f>
        <v>702</v>
      </c>
      <c r="F40" s="292">
        <v>105.3</v>
      </c>
      <c r="G40" s="290">
        <v>743.21</v>
      </c>
      <c r="H40" s="292">
        <v>89.51</v>
      </c>
      <c r="I40" s="291">
        <v>46150</v>
      </c>
      <c r="J40" s="50">
        <f t="shared" si="3"/>
        <v>596.70000000000005</v>
      </c>
      <c r="K40" s="47">
        <f t="shared" si="4"/>
        <v>107</v>
      </c>
      <c r="L40" s="48">
        <v>0.03</v>
      </c>
      <c r="M40" s="49">
        <f t="shared" si="5"/>
        <v>17.901</v>
      </c>
      <c r="N40" s="60"/>
      <c r="O40" s="78"/>
    </row>
    <row r="41" spans="1:15" s="52" customFormat="1" ht="14.4" x14ac:dyDescent="0.3">
      <c r="A41" s="289" t="s">
        <v>52</v>
      </c>
      <c r="B41" s="235" t="s">
        <v>1601</v>
      </c>
      <c r="C41" s="237" t="s">
        <v>1608</v>
      </c>
      <c r="D41" s="263">
        <v>46112</v>
      </c>
      <c r="E41" s="267">
        <f>1198.8+399.6</f>
        <v>1598.4</v>
      </c>
      <c r="F41" s="267">
        <v>399.6</v>
      </c>
      <c r="G41" s="290">
        <v>1300.69</v>
      </c>
      <c r="H41" s="267">
        <v>179.82</v>
      </c>
      <c r="I41" s="291">
        <v>46193</v>
      </c>
      <c r="J41" s="50">
        <f t="shared" ref="J41:J43" si="6">+E41-F41</f>
        <v>1198.8000000000002</v>
      </c>
      <c r="K41" s="47">
        <f t="shared" ref="K41:K43" si="7">+I41-D41</f>
        <v>81</v>
      </c>
      <c r="L41" s="48">
        <v>0.03</v>
      </c>
      <c r="M41" s="49">
        <f t="shared" ref="M41:M43" si="8">+J41*L41</f>
        <v>35.964000000000006</v>
      </c>
      <c r="N41" s="60"/>
      <c r="O41" s="78"/>
    </row>
    <row r="42" spans="1:15" s="52" customFormat="1" ht="14.4" x14ac:dyDescent="0.3">
      <c r="A42" s="289" t="s">
        <v>40</v>
      </c>
      <c r="B42" s="235" t="s">
        <v>1602</v>
      </c>
      <c r="C42" s="237" t="s">
        <v>1609</v>
      </c>
      <c r="D42" s="263">
        <v>46127</v>
      </c>
      <c r="E42" s="267">
        <f>831.6+277.2</f>
        <v>1108.8</v>
      </c>
      <c r="F42" s="267">
        <v>277.2</v>
      </c>
      <c r="G42" s="290">
        <v>902.29</v>
      </c>
      <c r="H42" s="267">
        <v>124.74</v>
      </c>
      <c r="I42" s="291">
        <v>46157</v>
      </c>
      <c r="J42" s="50">
        <f t="shared" si="6"/>
        <v>831.59999999999991</v>
      </c>
      <c r="K42" s="47">
        <f t="shared" si="7"/>
        <v>30</v>
      </c>
      <c r="L42" s="48">
        <v>0.03</v>
      </c>
      <c r="M42" s="49">
        <f t="shared" si="8"/>
        <v>24.947999999999997</v>
      </c>
      <c r="N42" s="60"/>
      <c r="O42" s="78"/>
    </row>
    <row r="43" spans="1:15" s="52" customFormat="1" ht="14.4" x14ac:dyDescent="0.3">
      <c r="A43" s="289" t="s">
        <v>46</v>
      </c>
      <c r="B43" s="235" t="s">
        <v>1603</v>
      </c>
      <c r="C43" s="237" t="s">
        <v>1610</v>
      </c>
      <c r="D43" s="291">
        <v>46120</v>
      </c>
      <c r="E43" s="292">
        <f>295.68+73.92</f>
        <v>369.6</v>
      </c>
      <c r="F43" s="292">
        <v>73.92</v>
      </c>
      <c r="G43" s="290">
        <v>334.12</v>
      </c>
      <c r="H43" s="292">
        <v>44.35</v>
      </c>
      <c r="I43" s="291">
        <v>46150</v>
      </c>
      <c r="J43" s="50">
        <f t="shared" si="6"/>
        <v>295.68</v>
      </c>
      <c r="K43" s="47">
        <f t="shared" si="7"/>
        <v>30</v>
      </c>
      <c r="L43" s="48">
        <v>0.03</v>
      </c>
      <c r="M43" s="49">
        <f t="shared" si="8"/>
        <v>8.8704000000000001</v>
      </c>
      <c r="N43" s="60"/>
      <c r="O43" s="78"/>
    </row>
    <row r="44" spans="1:15" s="52" customFormat="1" ht="14.4" x14ac:dyDescent="0.3">
      <c r="A44" s="289" t="s">
        <v>40</v>
      </c>
      <c r="B44" s="235" t="s">
        <v>1604</v>
      </c>
      <c r="C44" s="237" t="s">
        <v>1611</v>
      </c>
      <c r="D44" s="263">
        <v>46135</v>
      </c>
      <c r="E44" s="267">
        <f>459+153</f>
        <v>612</v>
      </c>
      <c r="F44" s="267">
        <v>153</v>
      </c>
      <c r="G44" s="290">
        <v>498.02</v>
      </c>
      <c r="H44" s="267">
        <v>68.849999999999994</v>
      </c>
      <c r="I44" s="291">
        <v>46165</v>
      </c>
      <c r="J44" s="50">
        <f t="shared" si="3"/>
        <v>459</v>
      </c>
      <c r="K44" s="47">
        <f t="shared" si="4"/>
        <v>30</v>
      </c>
      <c r="L44" s="48">
        <v>0.03</v>
      </c>
      <c r="M44" s="49">
        <f t="shared" si="5"/>
        <v>13.77</v>
      </c>
      <c r="N44" s="60"/>
      <c r="O44" s="78"/>
    </row>
    <row r="45" spans="1:15" s="52" customFormat="1" x14ac:dyDescent="0.25">
      <c r="A45" s="235"/>
      <c r="B45" s="235"/>
      <c r="C45" s="237"/>
      <c r="D45" s="263"/>
      <c r="E45" s="267"/>
      <c r="F45" s="267"/>
      <c r="G45" s="6"/>
      <c r="H45" s="267"/>
      <c r="I45" s="263"/>
      <c r="J45" s="50"/>
      <c r="K45" s="47"/>
      <c r="L45" s="48"/>
      <c r="M45" s="49"/>
      <c r="N45" s="230"/>
      <c r="O45" s="78"/>
    </row>
    <row r="46" spans="1:15" s="52" customFormat="1" ht="15.6" thickBot="1" x14ac:dyDescent="0.3">
      <c r="A46" s="101"/>
      <c r="B46" s="102"/>
      <c r="C46" s="101"/>
      <c r="D46" s="105"/>
      <c r="E46" s="92"/>
      <c r="F46" s="92"/>
      <c r="G46" s="90"/>
      <c r="H46" s="92"/>
      <c r="I46" s="248"/>
      <c r="J46" s="50"/>
      <c r="K46" s="47"/>
      <c r="L46" s="48"/>
      <c r="M46" s="49"/>
      <c r="N46" s="60"/>
      <c r="O46" s="78"/>
    </row>
    <row r="47" spans="1:15" ht="15" customHeight="1" thickBot="1" x14ac:dyDescent="0.35">
      <c r="A47" s="332" t="s">
        <v>29</v>
      </c>
      <c r="B47" s="332"/>
      <c r="C47" s="332"/>
      <c r="D47" s="332"/>
      <c r="E47" s="332"/>
      <c r="F47" s="332"/>
      <c r="G47" s="16">
        <f>SUM(G35:G46)</f>
        <v>17188.869999999995</v>
      </c>
      <c r="J47" s="16">
        <f>SUM(J35:J46)</f>
        <v>14975.919565217397</v>
      </c>
      <c r="L47" s="20"/>
      <c r="M47" s="21">
        <f>SUM(M35:M46)</f>
        <v>494.09498695652172</v>
      </c>
    </row>
    <row r="48" spans="1:15" ht="15" customHeight="1" x14ac:dyDescent="0.3">
      <c r="A48" s="22"/>
      <c r="G48" s="8"/>
    </row>
    <row r="49" spans="1:15" ht="15" customHeight="1" x14ac:dyDescent="0.3">
      <c r="A49" s="39"/>
      <c r="G49" s="8"/>
      <c r="J49" s="8"/>
    </row>
    <row r="50" spans="1:15" ht="15" customHeight="1" x14ac:dyDescent="0.3">
      <c r="A50" s="39"/>
      <c r="G50" s="8"/>
      <c r="J50" s="8"/>
    </row>
    <row r="51" spans="1:15" ht="15" customHeight="1" x14ac:dyDescent="0.3">
      <c r="A51" s="39"/>
      <c r="G51" s="8"/>
      <c r="J51" s="8"/>
    </row>
    <row r="52" spans="1:15" ht="15" customHeight="1" x14ac:dyDescent="0.3">
      <c r="A52" s="39"/>
      <c r="G52" s="8"/>
      <c r="J52" s="8"/>
      <c r="M52" s="8">
        <f>M47/12</f>
        <v>41.174582246376808</v>
      </c>
      <c r="N52" s="59" t="s">
        <v>1505</v>
      </c>
    </row>
    <row r="53" spans="1:15" ht="15" customHeight="1" x14ac:dyDescent="0.3">
      <c r="A53" s="39"/>
      <c r="G53" s="8"/>
      <c r="J53" s="8"/>
      <c r="M53" s="8">
        <f>M47/24</f>
        <v>20.587291123188404</v>
      </c>
      <c r="N53" s="59" t="s">
        <v>1505</v>
      </c>
    </row>
    <row r="54" spans="1:15" ht="15" customHeight="1" x14ac:dyDescent="0.25">
      <c r="A54" s="30" t="s">
        <v>0</v>
      </c>
      <c r="B54" s="30"/>
      <c r="C54" s="30"/>
      <c r="D54" s="30"/>
      <c r="E54" s="30"/>
      <c r="F54" s="30"/>
      <c r="G54" s="24"/>
      <c r="H54" s="25"/>
      <c r="I54" s="249"/>
      <c r="J54" s="26"/>
      <c r="K54" s="27"/>
      <c r="L54" s="28"/>
      <c r="M54" s="29"/>
    </row>
    <row r="55" spans="1:15" ht="15" customHeight="1" x14ac:dyDescent="0.25">
      <c r="A55" s="30" t="s">
        <v>1</v>
      </c>
      <c r="B55" s="30"/>
      <c r="C55" s="30"/>
      <c r="D55" s="30"/>
      <c r="E55" s="30"/>
      <c r="F55" s="30"/>
      <c r="G55" s="24"/>
      <c r="H55" s="25"/>
      <c r="I55" s="249"/>
      <c r="J55" s="27"/>
      <c r="K55" s="27"/>
      <c r="L55" s="28"/>
      <c r="M55" s="29"/>
    </row>
    <row r="56" spans="1:15" ht="15" customHeight="1" x14ac:dyDescent="0.25">
      <c r="A56" s="30"/>
      <c r="B56" s="30" t="s">
        <v>1508</v>
      </c>
      <c r="C56" s="30"/>
      <c r="D56" s="64"/>
      <c r="E56" s="30"/>
      <c r="F56" s="30"/>
      <c r="G56" s="24"/>
      <c r="H56" s="25"/>
      <c r="I56" s="249"/>
      <c r="J56" s="27"/>
      <c r="K56" s="27"/>
      <c r="L56" s="28"/>
      <c r="M56" s="29"/>
    </row>
    <row r="57" spans="1:15" ht="15" customHeight="1" thickBot="1" x14ac:dyDescent="0.3">
      <c r="A57" s="30"/>
      <c r="B57" s="30" t="s">
        <v>1130</v>
      </c>
      <c r="C57" s="30"/>
      <c r="D57" s="64"/>
      <c r="E57" s="30"/>
      <c r="F57" s="30"/>
      <c r="G57" s="32"/>
      <c r="H57" s="24"/>
      <c r="I57" s="250"/>
      <c r="J57" s="33"/>
      <c r="K57" s="27"/>
      <c r="L57" s="28"/>
      <c r="M57" s="29"/>
    </row>
    <row r="58" spans="1:15" ht="15" customHeight="1" x14ac:dyDescent="0.25">
      <c r="A58" s="34" t="s">
        <v>66</v>
      </c>
      <c r="B58" s="182"/>
      <c r="C58" s="33"/>
      <c r="D58" s="65"/>
      <c r="E58" s="33"/>
      <c r="F58" s="33"/>
      <c r="G58" s="35" t="s">
        <v>3</v>
      </c>
      <c r="H58" s="27"/>
      <c r="I58" s="249"/>
      <c r="J58" s="36" t="s">
        <v>4</v>
      </c>
      <c r="K58" s="56" t="s">
        <v>5</v>
      </c>
      <c r="L58" s="40" t="s">
        <v>6</v>
      </c>
      <c r="M58" s="36" t="s">
        <v>7</v>
      </c>
      <c r="O58" s="8"/>
    </row>
    <row r="59" spans="1:15" ht="15" customHeight="1" thickBot="1" x14ac:dyDescent="0.3">
      <c r="A59" s="11" t="s">
        <v>8</v>
      </c>
      <c r="B59" s="11" t="s">
        <v>9</v>
      </c>
      <c r="C59" s="11" t="s">
        <v>10</v>
      </c>
      <c r="D59" s="66" t="s">
        <v>11</v>
      </c>
      <c r="E59" s="11" t="s">
        <v>12</v>
      </c>
      <c r="F59" s="54" t="s">
        <v>50</v>
      </c>
      <c r="G59" s="12" t="s">
        <v>13</v>
      </c>
      <c r="H59" s="13" t="s">
        <v>14</v>
      </c>
      <c r="I59" s="251" t="s">
        <v>15</v>
      </c>
      <c r="J59" s="14" t="s">
        <v>16</v>
      </c>
      <c r="K59" s="57"/>
      <c r="L59" s="58" t="s">
        <v>17</v>
      </c>
      <c r="M59" s="14" t="s">
        <v>39</v>
      </c>
      <c r="O59" s="8"/>
    </row>
    <row r="60" spans="1:15" ht="15" customHeight="1" x14ac:dyDescent="0.3">
      <c r="A60" s="289" t="s">
        <v>1612</v>
      </c>
      <c r="B60" s="236" t="s">
        <v>1613</v>
      </c>
      <c r="C60" s="237" t="s">
        <v>1614</v>
      </c>
      <c r="D60" s="263">
        <v>46135</v>
      </c>
      <c r="E60" s="267">
        <f>535.1+133.78</f>
        <v>668.88</v>
      </c>
      <c r="F60" s="267">
        <v>133.78</v>
      </c>
      <c r="G60" s="290">
        <v>580.59</v>
      </c>
      <c r="H60" s="267">
        <v>80.27</v>
      </c>
      <c r="I60" s="291">
        <v>46139</v>
      </c>
      <c r="J60" s="50">
        <f>E60-F60</f>
        <v>535.1</v>
      </c>
      <c r="K60" s="47">
        <f t="shared" ref="K60:K61" si="9">+I60-D60</f>
        <v>4</v>
      </c>
      <c r="L60" s="48">
        <v>3.5000000000000003E-2</v>
      </c>
      <c r="M60" s="49">
        <f t="shared" ref="M60:M61" si="10">+J60*L60</f>
        <v>18.728500000000004</v>
      </c>
      <c r="O60" s="78"/>
    </row>
    <row r="61" spans="1:15" ht="15" customHeight="1" x14ac:dyDescent="0.3">
      <c r="A61" s="289" t="s">
        <v>100</v>
      </c>
      <c r="B61" s="236" t="s">
        <v>75</v>
      </c>
      <c r="C61" s="237" t="s">
        <v>1615</v>
      </c>
      <c r="D61" s="263">
        <v>46059</v>
      </c>
      <c r="E61" s="267">
        <f>147.9+26.1</f>
        <v>174</v>
      </c>
      <c r="F61" s="267">
        <v>26.1</v>
      </c>
      <c r="G61" s="290">
        <v>170.09</v>
      </c>
      <c r="H61" s="267">
        <v>22.19</v>
      </c>
      <c r="I61" s="291">
        <v>46129</v>
      </c>
      <c r="J61" s="50">
        <f>E61-F61</f>
        <v>147.9</v>
      </c>
      <c r="K61" s="47">
        <f t="shared" si="9"/>
        <v>70</v>
      </c>
      <c r="L61" s="48">
        <v>0.03</v>
      </c>
      <c r="M61" s="49">
        <f t="shared" si="10"/>
        <v>4.4370000000000003</v>
      </c>
      <c r="O61" s="78"/>
    </row>
    <row r="62" spans="1:15" ht="15" customHeight="1" x14ac:dyDescent="0.25">
      <c r="A62" s="235"/>
      <c r="B62" s="236"/>
      <c r="C62" s="237"/>
      <c r="D62" s="238"/>
      <c r="E62" s="239"/>
      <c r="F62" s="239"/>
      <c r="G62" s="6"/>
      <c r="H62" s="239"/>
      <c r="I62" s="253"/>
      <c r="J62" s="50"/>
      <c r="K62" s="47"/>
      <c r="L62" s="48"/>
      <c r="M62" s="49"/>
    </row>
    <row r="63" spans="1:15" ht="15" customHeight="1" x14ac:dyDescent="0.25">
      <c r="A63" s="171"/>
      <c r="B63" s="160"/>
      <c r="C63" s="171"/>
      <c r="D63" s="172"/>
      <c r="E63" s="87"/>
      <c r="F63" s="87"/>
      <c r="G63" s="94"/>
      <c r="H63" s="87"/>
      <c r="I63" s="247"/>
      <c r="J63" s="50"/>
      <c r="K63" s="47"/>
      <c r="L63" s="48"/>
      <c r="M63" s="49"/>
    </row>
    <row r="64" spans="1:15" ht="15" customHeight="1" x14ac:dyDescent="0.3">
      <c r="A64" s="42"/>
      <c r="B64" s="43"/>
      <c r="C64" s="43"/>
      <c r="D64" s="68"/>
      <c r="E64" s="44"/>
      <c r="F64" s="44"/>
      <c r="G64" s="45"/>
      <c r="H64" s="46"/>
      <c r="I64" s="260"/>
      <c r="J64" s="50"/>
      <c r="K64" s="47"/>
      <c r="L64" s="48"/>
      <c r="M64" s="49"/>
    </row>
    <row r="65" spans="1:14" ht="15" customHeight="1" x14ac:dyDescent="0.25">
      <c r="A65" s="213"/>
      <c r="B65" s="213"/>
      <c r="C65" s="213"/>
      <c r="D65" s="213"/>
      <c r="E65" s="213"/>
      <c r="F65" s="213"/>
      <c r="G65" s="75">
        <f>SUM(G60:G64)</f>
        <v>750.68000000000006</v>
      </c>
      <c r="H65" s="80"/>
      <c r="I65" s="261"/>
      <c r="J65" s="75">
        <f>SUM(J60:J64)</f>
        <v>683</v>
      </c>
      <c r="K65" s="82"/>
      <c r="L65" s="82"/>
      <c r="M65" s="75">
        <f>SUM(M60:M64)</f>
        <v>23.165500000000005</v>
      </c>
    </row>
    <row r="66" spans="1:14" ht="15" customHeight="1" x14ac:dyDescent="0.25">
      <c r="A66" s="76"/>
      <c r="B66" s="76"/>
      <c r="C66" s="76"/>
      <c r="D66" s="77"/>
      <c r="E66" s="76"/>
      <c r="F66" s="76"/>
      <c r="G66" s="78"/>
      <c r="H66" s="52"/>
      <c r="I66" s="262"/>
      <c r="J66" s="52"/>
      <c r="K66" s="52"/>
      <c r="L66" s="52"/>
      <c r="M66" s="52"/>
    </row>
    <row r="67" spans="1:14" x14ac:dyDescent="0.25">
      <c r="A67" s="76"/>
      <c r="B67" s="76"/>
      <c r="C67" s="76"/>
      <c r="D67" s="77"/>
      <c r="E67" s="76"/>
      <c r="F67" s="76"/>
      <c r="G67" s="78"/>
      <c r="H67" s="52"/>
      <c r="I67" s="262"/>
      <c r="J67" s="78"/>
      <c r="K67" s="52"/>
      <c r="L67" s="52"/>
      <c r="M67" s="78"/>
    </row>
    <row r="68" spans="1:14" x14ac:dyDescent="0.25">
      <c r="A68" s="52" t="s">
        <v>19</v>
      </c>
      <c r="B68" s="76" t="s">
        <v>20</v>
      </c>
      <c r="C68" s="76" t="s">
        <v>21</v>
      </c>
      <c r="D68" s="79"/>
      <c r="E68" s="52"/>
      <c r="F68" s="52"/>
      <c r="G68" s="78"/>
      <c r="H68" s="52"/>
      <c r="I68" s="262"/>
      <c r="J68" s="52"/>
      <c r="K68" s="52"/>
      <c r="L68" s="52"/>
      <c r="M68" s="52"/>
    </row>
    <row r="69" spans="1:14" s="52" customFormat="1" x14ac:dyDescent="0.25">
      <c r="A69" s="235"/>
      <c r="B69" s="235"/>
      <c r="C69" s="237"/>
      <c r="D69" s="263"/>
      <c r="E69" s="267"/>
      <c r="F69" s="267"/>
      <c r="G69" s="6"/>
      <c r="H69" s="267"/>
      <c r="I69" s="263"/>
      <c r="J69" s="50"/>
      <c r="K69" s="47"/>
      <c r="L69" s="48"/>
      <c r="M69" s="49"/>
      <c r="N69" s="60"/>
    </row>
    <row r="70" spans="1:14" ht="15.6" thickBot="1" x14ac:dyDescent="0.3">
      <c r="A70" s="91"/>
      <c r="B70" s="102"/>
      <c r="C70" s="93"/>
      <c r="D70" s="88"/>
      <c r="E70" s="92"/>
      <c r="F70" s="92"/>
      <c r="G70" s="90"/>
      <c r="H70" s="92"/>
      <c r="I70" s="248"/>
      <c r="J70" s="50"/>
      <c r="K70" s="47"/>
      <c r="L70" s="48"/>
      <c r="M70" s="49"/>
    </row>
    <row r="71" spans="1:14" ht="16.2" thickBot="1" x14ac:dyDescent="0.35">
      <c r="A71" s="212" t="s">
        <v>29</v>
      </c>
      <c r="B71" s="212"/>
      <c r="C71" s="212"/>
      <c r="D71" s="212"/>
      <c r="E71" s="212"/>
      <c r="F71" s="212"/>
      <c r="G71" s="37">
        <f>SUM(G65:G70)</f>
        <v>750.68000000000006</v>
      </c>
      <c r="I71" s="252"/>
      <c r="J71" s="37">
        <f>SUM(J65:J70)</f>
        <v>683</v>
      </c>
      <c r="L71" s="20"/>
      <c r="M71" s="38">
        <f>SUM(M65:M70)</f>
        <v>23.165500000000005</v>
      </c>
    </row>
    <row r="72" spans="1:14" x14ac:dyDescent="0.25">
      <c r="A72" s="19"/>
      <c r="E72" s="19"/>
      <c r="F72" s="19"/>
      <c r="G72" s="8"/>
      <c r="I72" s="252"/>
    </row>
    <row r="74" spans="1:14" x14ac:dyDescent="0.25">
      <c r="J74" s="8"/>
    </row>
    <row r="75" spans="1:14" x14ac:dyDescent="0.25">
      <c r="J75" s="8"/>
    </row>
    <row r="76" spans="1:14" x14ac:dyDescent="0.25">
      <c r="J76" s="8">
        <f>(J47+J71)*2%</f>
        <v>313.17839130434794</v>
      </c>
      <c r="M76" s="8">
        <f>M71/12</f>
        <v>1.9304583333333338</v>
      </c>
      <c r="N76" s="59" t="s">
        <v>1504</v>
      </c>
    </row>
    <row r="77" spans="1:14" x14ac:dyDescent="0.25">
      <c r="J77" s="8">
        <f>J76/12</f>
        <v>26.09819927536233</v>
      </c>
      <c r="K77" s="7" t="s">
        <v>876</v>
      </c>
      <c r="M77" s="8">
        <f>M71/24</f>
        <v>0.96522916666666692</v>
      </c>
      <c r="N77" s="59" t="s">
        <v>1504</v>
      </c>
    </row>
    <row r="78" spans="1:14" x14ac:dyDescent="0.25">
      <c r="J78" s="8">
        <f>J76/24</f>
        <v>13.049099637681165</v>
      </c>
      <c r="K78" s="7" t="s">
        <v>876</v>
      </c>
    </row>
  </sheetData>
  <sortState xmlns:xlrd2="http://schemas.microsoft.com/office/spreadsheetml/2017/richdata2" ref="A8:P31">
    <sortCondition ref="K8:K31"/>
  </sortState>
  <mergeCells count="2">
    <mergeCell ref="A3:F3"/>
    <mergeCell ref="A47:F47"/>
  </mergeCells>
  <pageMargins left="0.39370078740157483" right="0" top="0.39370078740157483" bottom="0" header="0" footer="0"/>
  <pageSetup paperSize="9" scale="80" orientation="landscape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93478-1FFC-42A1-9CD3-2592C3F25A26}">
  <dimension ref="A1:T126"/>
  <sheetViews>
    <sheetView topLeftCell="A34" workbookViewId="0">
      <selection activeCell="C1" sqref="C1:C1048576"/>
    </sheetView>
  </sheetViews>
  <sheetFormatPr baseColWidth="10" defaultColWidth="11.44140625" defaultRowHeight="13.2" x14ac:dyDescent="0.25"/>
  <cols>
    <col min="1" max="1" width="31.5546875" style="7" customWidth="1"/>
    <col min="2" max="2" width="20.5546875" style="19" customWidth="1"/>
    <col min="3" max="3" width="18.5546875" style="19" customWidth="1"/>
    <col min="4" max="4" width="10.33203125" style="67" customWidth="1"/>
    <col min="5" max="5" width="11.6640625" style="7" customWidth="1"/>
    <col min="6" max="6" width="9.88671875" style="7" customWidth="1"/>
    <col min="7" max="7" width="11.88671875" style="7" customWidth="1"/>
    <col min="8" max="8" width="9.88671875" style="7" customWidth="1"/>
    <col min="9" max="9" width="10.6640625" style="243" customWidth="1"/>
    <col min="10" max="10" width="13.5546875" style="7" customWidth="1"/>
    <col min="11" max="11" width="7.33203125" style="7" customWidth="1"/>
    <col min="12" max="12" width="6.44140625" style="7" customWidth="1"/>
    <col min="13" max="13" width="10.109375" style="7" customWidth="1"/>
    <col min="14" max="14" width="9.6640625" style="59" customWidth="1"/>
    <col min="15" max="15" width="12.44140625" style="7" customWidth="1"/>
    <col min="16" max="16" width="8" style="7" customWidth="1"/>
    <col min="17" max="16384" width="11.44140625" style="7"/>
  </cols>
  <sheetData>
    <row r="1" spans="1:18" ht="15" customHeight="1" x14ac:dyDescent="0.25">
      <c r="B1" s="181"/>
      <c r="C1" s="181"/>
      <c r="G1" s="8"/>
    </row>
    <row r="2" spans="1:18" ht="15" customHeight="1" x14ac:dyDescent="0.25">
      <c r="A2" s="30"/>
      <c r="B2" s="30"/>
      <c r="C2" s="30"/>
      <c r="D2" s="30"/>
      <c r="E2" s="30"/>
      <c r="F2" s="30"/>
      <c r="G2" s="24"/>
      <c r="H2" s="24"/>
      <c r="I2" s="244"/>
      <c r="J2" s="26"/>
      <c r="K2" s="27"/>
      <c r="L2" s="28"/>
      <c r="M2" s="29"/>
    </row>
    <row r="3" spans="1:18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244"/>
      <c r="J3" s="27"/>
      <c r="K3" s="27"/>
      <c r="L3" s="28"/>
      <c r="M3" s="29"/>
    </row>
    <row r="4" spans="1:18" ht="15" customHeight="1" x14ac:dyDescent="0.25">
      <c r="A4" s="30"/>
      <c r="B4" s="30" t="s">
        <v>1629</v>
      </c>
      <c r="C4" s="30"/>
      <c r="D4" s="64"/>
      <c r="E4" s="30"/>
      <c r="F4" s="30"/>
      <c r="G4" s="24"/>
      <c r="H4" s="25"/>
      <c r="I4" s="244"/>
      <c r="J4" s="27"/>
      <c r="K4" s="27"/>
      <c r="L4" s="28"/>
      <c r="M4" s="29"/>
    </row>
    <row r="5" spans="1:18" ht="15" customHeight="1" thickBot="1" x14ac:dyDescent="0.3">
      <c r="A5" s="30"/>
      <c r="B5" s="30" t="s">
        <v>22</v>
      </c>
      <c r="C5" s="30"/>
      <c r="D5" s="64"/>
      <c r="E5" s="30"/>
      <c r="F5" s="30"/>
      <c r="G5" s="32"/>
      <c r="H5" s="24"/>
      <c r="I5" s="245"/>
      <c r="J5" s="33"/>
      <c r="K5" s="27"/>
      <c r="L5" s="28"/>
      <c r="M5" s="29"/>
    </row>
    <row r="6" spans="1:18" ht="15" customHeight="1" x14ac:dyDescent="0.25">
      <c r="A6" s="34"/>
      <c r="B6" s="182"/>
      <c r="C6" s="182"/>
      <c r="D6" s="195"/>
      <c r="E6" s="33"/>
      <c r="F6" s="33"/>
      <c r="G6" s="35" t="s">
        <v>3</v>
      </c>
      <c r="H6" s="27"/>
      <c r="I6" s="244"/>
      <c r="J6" s="36" t="s">
        <v>4</v>
      </c>
      <c r="K6" s="56" t="s">
        <v>5</v>
      </c>
      <c r="L6" s="40" t="s">
        <v>6</v>
      </c>
      <c r="M6" s="36" t="s">
        <v>7</v>
      </c>
    </row>
    <row r="7" spans="1:18" ht="15" customHeight="1" x14ac:dyDescent="0.25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62" t="s">
        <v>13</v>
      </c>
      <c r="H7" s="13" t="s">
        <v>14</v>
      </c>
      <c r="I7" s="246" t="s">
        <v>15</v>
      </c>
      <c r="J7" s="14" t="s">
        <v>16</v>
      </c>
      <c r="K7" s="57"/>
      <c r="L7" s="58" t="s">
        <v>17</v>
      </c>
      <c r="M7" s="14" t="s">
        <v>39</v>
      </c>
    </row>
    <row r="8" spans="1:18" ht="15" customHeight="1" x14ac:dyDescent="0.3">
      <c r="A8" s="289" t="s">
        <v>896</v>
      </c>
      <c r="B8" s="300" t="s">
        <v>59</v>
      </c>
      <c r="C8" s="237" t="s">
        <v>1638</v>
      </c>
      <c r="D8" s="291">
        <v>46128</v>
      </c>
      <c r="E8" s="290">
        <v>110.16</v>
      </c>
      <c r="F8" s="297">
        <v>14.32</v>
      </c>
      <c r="G8" s="290">
        <v>110.22</v>
      </c>
      <c r="H8" s="297">
        <v>14.38</v>
      </c>
      <c r="I8" s="298">
        <v>46145</v>
      </c>
      <c r="J8" s="50">
        <f t="shared" ref="J8:J14" si="0">+E8-F8</f>
        <v>95.84</v>
      </c>
      <c r="K8" s="47">
        <f t="shared" ref="K8:K39" si="1">+I8-D8</f>
        <v>17</v>
      </c>
      <c r="L8" s="5">
        <v>3.5000000000000003E-2</v>
      </c>
      <c r="M8" s="6">
        <f t="shared" ref="M8:M39" si="2">+J8*L8</f>
        <v>3.3544000000000005</v>
      </c>
      <c r="O8" s="78"/>
    </row>
    <row r="9" spans="1:18" ht="15" customHeight="1" x14ac:dyDescent="0.3">
      <c r="A9" s="289" t="s">
        <v>292</v>
      </c>
      <c r="B9" s="300" t="s">
        <v>229</v>
      </c>
      <c r="C9" s="237" t="s">
        <v>1646</v>
      </c>
      <c r="D9" s="291">
        <v>46118</v>
      </c>
      <c r="E9" s="290">
        <v>297.3</v>
      </c>
      <c r="F9" s="297">
        <v>59.46</v>
      </c>
      <c r="G9" s="290">
        <v>258.06</v>
      </c>
      <c r="H9" s="297">
        <v>35.68</v>
      </c>
      <c r="I9" s="298">
        <v>46147</v>
      </c>
      <c r="J9" s="50">
        <f t="shared" si="0"/>
        <v>237.84</v>
      </c>
      <c r="K9" s="47">
        <f t="shared" si="1"/>
        <v>29</v>
      </c>
      <c r="L9" s="5">
        <v>3.5000000000000003E-2</v>
      </c>
      <c r="M9" s="6">
        <f t="shared" si="2"/>
        <v>8.3244000000000007</v>
      </c>
      <c r="O9" s="78"/>
    </row>
    <row r="10" spans="1:18" ht="15" customHeight="1" x14ac:dyDescent="0.3">
      <c r="A10" s="289" t="s">
        <v>694</v>
      </c>
      <c r="B10" s="300" t="s">
        <v>30</v>
      </c>
      <c r="C10" s="237" t="s">
        <v>1647</v>
      </c>
      <c r="D10" s="291">
        <v>46107</v>
      </c>
      <c r="E10" s="290">
        <v>137.13999999999999</v>
      </c>
      <c r="F10" s="297">
        <v>20.57</v>
      </c>
      <c r="G10" s="290">
        <v>134.06</v>
      </c>
      <c r="H10" s="297">
        <v>17.489999999999998</v>
      </c>
      <c r="I10" s="298">
        <v>46148</v>
      </c>
      <c r="J10" s="50">
        <f t="shared" si="0"/>
        <v>116.57</v>
      </c>
      <c r="K10" s="47">
        <f t="shared" si="1"/>
        <v>41</v>
      </c>
      <c r="L10" s="5">
        <v>0.03</v>
      </c>
      <c r="M10" s="6">
        <f t="shared" si="2"/>
        <v>3.4970999999999997</v>
      </c>
      <c r="O10" s="78"/>
    </row>
    <row r="11" spans="1:18" ht="15" customHeight="1" x14ac:dyDescent="0.3">
      <c r="A11" s="289" t="s">
        <v>420</v>
      </c>
      <c r="B11" s="236" t="s">
        <v>57</v>
      </c>
      <c r="C11" s="237" t="s">
        <v>1645</v>
      </c>
      <c r="D11" s="291">
        <v>46038</v>
      </c>
      <c r="E11" s="290">
        <v>335.04</v>
      </c>
      <c r="F11" s="297">
        <v>50.26</v>
      </c>
      <c r="G11" s="290">
        <v>327.5</v>
      </c>
      <c r="H11" s="297">
        <v>42.72</v>
      </c>
      <c r="I11" s="298">
        <v>46149</v>
      </c>
      <c r="J11" s="50">
        <f t="shared" si="0"/>
        <v>284.78000000000003</v>
      </c>
      <c r="K11" s="47">
        <f t="shared" si="1"/>
        <v>111</v>
      </c>
      <c r="L11" s="5">
        <v>0.03</v>
      </c>
      <c r="M11" s="6">
        <f t="shared" si="2"/>
        <v>8.5434000000000001</v>
      </c>
      <c r="O11" s="78"/>
    </row>
    <row r="12" spans="1:18" ht="15" customHeight="1" x14ac:dyDescent="0.3">
      <c r="A12" s="289" t="s">
        <v>71</v>
      </c>
      <c r="B12" s="300" t="s">
        <v>24</v>
      </c>
      <c r="C12" s="237" t="s">
        <v>1667</v>
      </c>
      <c r="D12" s="291">
        <v>46113</v>
      </c>
      <c r="E12" s="290">
        <v>408</v>
      </c>
      <c r="F12" s="297">
        <v>102</v>
      </c>
      <c r="G12" s="290">
        <v>332.01</v>
      </c>
      <c r="H12" s="297">
        <v>45.9</v>
      </c>
      <c r="I12" s="298">
        <v>46150</v>
      </c>
      <c r="J12" s="50">
        <f t="shared" si="0"/>
        <v>306</v>
      </c>
      <c r="K12" s="47">
        <f t="shared" si="1"/>
        <v>37</v>
      </c>
      <c r="L12" s="5">
        <v>0.03</v>
      </c>
      <c r="M12" s="6">
        <f t="shared" si="2"/>
        <v>9.18</v>
      </c>
      <c r="O12" s="78"/>
    </row>
    <row r="13" spans="1:18" ht="15" customHeight="1" x14ac:dyDescent="0.3">
      <c r="A13" s="289" t="s">
        <v>58</v>
      </c>
      <c r="B13" s="300" t="s">
        <v>59</v>
      </c>
      <c r="C13" s="237" t="s">
        <v>1661</v>
      </c>
      <c r="D13" s="291">
        <v>46086</v>
      </c>
      <c r="E13" s="290">
        <v>4128.3</v>
      </c>
      <c r="F13" s="297">
        <v>825.66</v>
      </c>
      <c r="G13" s="290">
        <f>2692.84+355.24+53.29+419.13+62.87</f>
        <v>3583.37</v>
      </c>
      <c r="H13" s="297">
        <v>495.4</v>
      </c>
      <c r="I13" s="298">
        <v>46153</v>
      </c>
      <c r="J13" s="50">
        <f t="shared" si="0"/>
        <v>3302.6400000000003</v>
      </c>
      <c r="K13" s="47">
        <f t="shared" si="1"/>
        <v>67</v>
      </c>
      <c r="L13" s="5">
        <v>0.03</v>
      </c>
      <c r="M13" s="6">
        <f t="shared" si="2"/>
        <v>99.0792</v>
      </c>
      <c r="O13" s="78"/>
    </row>
    <row r="14" spans="1:18" ht="15" customHeight="1" x14ac:dyDescent="0.3">
      <c r="A14" s="289" t="s">
        <v>47</v>
      </c>
      <c r="B14" s="300" t="s">
        <v>18</v>
      </c>
      <c r="C14" s="237" t="s">
        <v>1668</v>
      </c>
      <c r="D14" s="291">
        <v>46092</v>
      </c>
      <c r="E14" s="290">
        <v>177.6</v>
      </c>
      <c r="F14" s="297">
        <v>35.520000000000003</v>
      </c>
      <c r="G14" s="290">
        <v>163.38999999999999</v>
      </c>
      <c r="H14" s="297">
        <v>21.31</v>
      </c>
      <c r="I14" s="298">
        <v>46153</v>
      </c>
      <c r="J14" s="50">
        <f t="shared" si="0"/>
        <v>142.07999999999998</v>
      </c>
      <c r="K14" s="47">
        <f t="shared" si="1"/>
        <v>61</v>
      </c>
      <c r="L14" s="5">
        <v>0.03</v>
      </c>
      <c r="M14" s="6">
        <f t="shared" si="2"/>
        <v>4.2623999999999995</v>
      </c>
      <c r="O14" s="78"/>
    </row>
    <row r="15" spans="1:18" ht="15" customHeight="1" x14ac:dyDescent="0.3">
      <c r="A15" s="289" t="s">
        <v>103</v>
      </c>
      <c r="B15" s="300" t="s">
        <v>31</v>
      </c>
      <c r="C15" s="237" t="s">
        <v>1642</v>
      </c>
      <c r="D15" s="291">
        <v>46107</v>
      </c>
      <c r="E15" s="290">
        <v>2071.6999999999998</v>
      </c>
      <c r="F15" s="297">
        <v>414.34</v>
      </c>
      <c r="G15" s="290">
        <v>1000</v>
      </c>
      <c r="H15" s="297">
        <v>248.6</v>
      </c>
      <c r="I15" s="298">
        <v>46153</v>
      </c>
      <c r="J15" s="50">
        <v>869.57</v>
      </c>
      <c r="K15" s="47">
        <f t="shared" si="1"/>
        <v>46</v>
      </c>
      <c r="L15" s="5">
        <v>0.03</v>
      </c>
      <c r="M15" s="6">
        <f t="shared" si="2"/>
        <v>26.0871</v>
      </c>
      <c r="O15" s="78"/>
      <c r="R15" s="8"/>
    </row>
    <row r="16" spans="1:18" ht="15" customHeight="1" x14ac:dyDescent="0.3">
      <c r="A16" s="301" t="s">
        <v>58</v>
      </c>
      <c r="B16" s="302" t="s">
        <v>59</v>
      </c>
      <c r="C16" s="303" t="s">
        <v>1663</v>
      </c>
      <c r="D16" s="304">
        <v>46107</v>
      </c>
      <c r="E16" s="305">
        <v>3264</v>
      </c>
      <c r="F16" s="306">
        <v>652.79999999999995</v>
      </c>
      <c r="G16" s="290">
        <v>2833.16</v>
      </c>
      <c r="H16" s="306">
        <v>391.68</v>
      </c>
      <c r="I16" s="307">
        <v>46153</v>
      </c>
      <c r="J16" s="50">
        <f t="shared" ref="J16:J22" si="3">+E16-F16</f>
        <v>2611.1999999999998</v>
      </c>
      <c r="K16" s="47">
        <f t="shared" si="1"/>
        <v>46</v>
      </c>
      <c r="L16" s="5">
        <v>0.03</v>
      </c>
      <c r="M16" s="6">
        <f t="shared" si="2"/>
        <v>78.335999999999999</v>
      </c>
      <c r="O16" s="78"/>
    </row>
    <row r="17" spans="1:20" ht="15" customHeight="1" x14ac:dyDescent="0.3">
      <c r="A17" s="289" t="s">
        <v>58</v>
      </c>
      <c r="B17" s="300" t="s">
        <v>59</v>
      </c>
      <c r="C17" s="237" t="s">
        <v>1664</v>
      </c>
      <c r="D17" s="291">
        <v>46107</v>
      </c>
      <c r="E17" s="290">
        <v>1201.92</v>
      </c>
      <c r="F17" s="297">
        <v>240.38</v>
      </c>
      <c r="G17" s="290">
        <v>1043.27</v>
      </c>
      <c r="H17" s="297">
        <v>144.22999999999999</v>
      </c>
      <c r="I17" s="298">
        <v>46153</v>
      </c>
      <c r="J17" s="50">
        <f t="shared" si="3"/>
        <v>961.54000000000008</v>
      </c>
      <c r="K17" s="47">
        <f t="shared" si="1"/>
        <v>46</v>
      </c>
      <c r="L17" s="5">
        <v>0.03</v>
      </c>
      <c r="M17" s="6">
        <f t="shared" si="2"/>
        <v>28.8462</v>
      </c>
      <c r="O17" s="78"/>
    </row>
    <row r="18" spans="1:20" ht="15" customHeight="1" x14ac:dyDescent="0.3">
      <c r="A18" s="289" t="s">
        <v>58</v>
      </c>
      <c r="B18" s="300" t="s">
        <v>59</v>
      </c>
      <c r="C18" s="237" t="s">
        <v>1665</v>
      </c>
      <c r="D18" s="291">
        <v>46107</v>
      </c>
      <c r="E18" s="290">
        <v>306</v>
      </c>
      <c r="F18" s="297">
        <v>61.2</v>
      </c>
      <c r="G18" s="290">
        <v>265.60000000000002</v>
      </c>
      <c r="H18" s="297">
        <v>36.72</v>
      </c>
      <c r="I18" s="298">
        <v>46153</v>
      </c>
      <c r="J18" s="50">
        <f t="shared" si="3"/>
        <v>244.8</v>
      </c>
      <c r="K18" s="47">
        <f t="shared" si="1"/>
        <v>46</v>
      </c>
      <c r="L18" s="5">
        <v>0.03</v>
      </c>
      <c r="M18" s="6">
        <f t="shared" si="2"/>
        <v>7.3440000000000003</v>
      </c>
      <c r="O18" s="78"/>
    </row>
    <row r="19" spans="1:20" ht="15" customHeight="1" x14ac:dyDescent="0.3">
      <c r="A19" s="289" t="s">
        <v>58</v>
      </c>
      <c r="B19" s="300" t="s">
        <v>59</v>
      </c>
      <c r="C19" s="237" t="s">
        <v>1662</v>
      </c>
      <c r="D19" s="291">
        <v>46111</v>
      </c>
      <c r="E19" s="290">
        <v>91.8</v>
      </c>
      <c r="F19" s="297">
        <v>18.36</v>
      </c>
      <c r="G19" s="290">
        <v>79.680000000000007</v>
      </c>
      <c r="H19" s="297">
        <v>11.02</v>
      </c>
      <c r="I19" s="298">
        <v>46153</v>
      </c>
      <c r="J19" s="50">
        <f t="shared" si="3"/>
        <v>73.44</v>
      </c>
      <c r="K19" s="47">
        <f t="shared" si="1"/>
        <v>42</v>
      </c>
      <c r="L19" s="5">
        <v>0.03</v>
      </c>
      <c r="M19" s="6">
        <f t="shared" si="2"/>
        <v>2.2031999999999998</v>
      </c>
      <c r="O19" s="78"/>
    </row>
    <row r="20" spans="1:20" ht="15" customHeight="1" x14ac:dyDescent="0.3">
      <c r="A20" s="289" t="s">
        <v>35</v>
      </c>
      <c r="B20" s="300" t="s">
        <v>18</v>
      </c>
      <c r="C20" s="237" t="s">
        <v>1648</v>
      </c>
      <c r="D20" s="291">
        <v>46119</v>
      </c>
      <c r="E20" s="290">
        <v>164.88</v>
      </c>
      <c r="F20" s="297">
        <v>24.73</v>
      </c>
      <c r="G20" s="290">
        <v>161.16999999999999</v>
      </c>
      <c r="H20" s="297">
        <v>21.02</v>
      </c>
      <c r="I20" s="298">
        <v>46153</v>
      </c>
      <c r="J20" s="50">
        <f t="shared" si="3"/>
        <v>140.15</v>
      </c>
      <c r="K20" s="47">
        <f t="shared" si="1"/>
        <v>34</v>
      </c>
      <c r="L20" s="5">
        <v>0.03</v>
      </c>
      <c r="M20" s="6">
        <f t="shared" si="2"/>
        <v>4.2045000000000003</v>
      </c>
      <c r="O20" s="78"/>
    </row>
    <row r="21" spans="1:20" ht="15" customHeight="1" x14ac:dyDescent="0.3">
      <c r="A21" s="289" t="s">
        <v>58</v>
      </c>
      <c r="B21" s="300" t="s">
        <v>59</v>
      </c>
      <c r="C21" s="237" t="s">
        <v>1685</v>
      </c>
      <c r="D21" s="291">
        <v>46129</v>
      </c>
      <c r="E21" s="290">
        <v>406.2</v>
      </c>
      <c r="F21" s="297">
        <v>81.239999999999995</v>
      </c>
      <c r="G21" s="290">
        <v>352.58</v>
      </c>
      <c r="H21" s="297">
        <v>48.74</v>
      </c>
      <c r="I21" s="298">
        <v>46153</v>
      </c>
      <c r="J21" s="50">
        <f t="shared" si="3"/>
        <v>324.95999999999998</v>
      </c>
      <c r="K21" s="47">
        <f t="shared" si="1"/>
        <v>24</v>
      </c>
      <c r="L21" s="5">
        <v>3.5000000000000003E-2</v>
      </c>
      <c r="M21" s="6">
        <f t="shared" si="2"/>
        <v>11.3736</v>
      </c>
      <c r="O21" s="78"/>
    </row>
    <row r="22" spans="1:20" ht="15" customHeight="1" x14ac:dyDescent="0.3">
      <c r="A22" s="289" t="s">
        <v>58</v>
      </c>
      <c r="B22" s="300" t="s">
        <v>59</v>
      </c>
      <c r="C22" s="237" t="s">
        <v>1666</v>
      </c>
      <c r="D22" s="291">
        <v>46134</v>
      </c>
      <c r="E22" s="290">
        <v>570.24</v>
      </c>
      <c r="F22" s="297">
        <v>114.05</v>
      </c>
      <c r="G22" s="290">
        <v>494.97</v>
      </c>
      <c r="H22" s="297">
        <v>68.430000000000007</v>
      </c>
      <c r="I22" s="298">
        <v>46153</v>
      </c>
      <c r="J22" s="50">
        <f t="shared" si="3"/>
        <v>456.19</v>
      </c>
      <c r="K22" s="47">
        <f t="shared" si="1"/>
        <v>19</v>
      </c>
      <c r="L22" s="5">
        <v>3.5000000000000003E-2</v>
      </c>
      <c r="M22" s="6">
        <f t="shared" si="2"/>
        <v>15.966650000000001</v>
      </c>
      <c r="O22" s="78"/>
    </row>
    <row r="23" spans="1:20" ht="15" customHeight="1" x14ac:dyDescent="0.3">
      <c r="A23" s="289" t="s">
        <v>970</v>
      </c>
      <c r="B23" s="300" t="s">
        <v>59</v>
      </c>
      <c r="C23" s="237" t="s">
        <v>1649</v>
      </c>
      <c r="D23" s="291">
        <v>46139</v>
      </c>
      <c r="E23" s="290">
        <v>401.16</v>
      </c>
      <c r="F23" s="297">
        <v>60.17</v>
      </c>
      <c r="G23" s="290">
        <v>200</v>
      </c>
      <c r="H23" s="297">
        <v>51.15</v>
      </c>
      <c r="I23" s="298">
        <v>46153</v>
      </c>
      <c r="J23" s="50">
        <v>159.59</v>
      </c>
      <c r="K23" s="47">
        <f t="shared" si="1"/>
        <v>14</v>
      </c>
      <c r="L23" s="5">
        <v>3.5000000000000003E-2</v>
      </c>
      <c r="M23" s="6">
        <f t="shared" si="2"/>
        <v>5.5856500000000002</v>
      </c>
      <c r="O23" s="78"/>
      <c r="S23" s="15">
        <f>J23*R23</f>
        <v>0</v>
      </c>
      <c r="T23" s="8">
        <f>E23-F23</f>
        <v>340.99</v>
      </c>
    </row>
    <row r="24" spans="1:20" ht="15" customHeight="1" x14ac:dyDescent="0.3">
      <c r="A24" s="289" t="s">
        <v>970</v>
      </c>
      <c r="B24" s="300" t="s">
        <v>59</v>
      </c>
      <c r="C24" s="237" t="s">
        <v>1649</v>
      </c>
      <c r="D24" s="291">
        <v>46139</v>
      </c>
      <c r="E24" s="290">
        <v>401.16</v>
      </c>
      <c r="F24" s="297">
        <v>60.17</v>
      </c>
      <c r="G24" s="290">
        <v>227.33</v>
      </c>
      <c r="H24" s="297">
        <v>51.15</v>
      </c>
      <c r="I24" s="298">
        <v>46153</v>
      </c>
      <c r="J24" s="50">
        <v>181.4</v>
      </c>
      <c r="K24" s="47">
        <f t="shared" si="1"/>
        <v>14</v>
      </c>
      <c r="L24" s="5">
        <v>3.5000000000000003E-2</v>
      </c>
      <c r="M24" s="6">
        <f t="shared" si="2"/>
        <v>6.3490000000000011</v>
      </c>
      <c r="O24" s="78"/>
      <c r="S24" s="15">
        <f>J24*R24</f>
        <v>0</v>
      </c>
    </row>
    <row r="25" spans="1:20" ht="15" customHeight="1" x14ac:dyDescent="0.3">
      <c r="A25" s="289" t="s">
        <v>970</v>
      </c>
      <c r="B25" s="300" t="s">
        <v>59</v>
      </c>
      <c r="C25" s="237" t="s">
        <v>1669</v>
      </c>
      <c r="D25" s="291">
        <v>46149</v>
      </c>
      <c r="E25" s="290">
        <v>36</v>
      </c>
      <c r="F25" s="297">
        <v>5.4</v>
      </c>
      <c r="G25" s="290">
        <v>35.19</v>
      </c>
      <c r="H25" s="297">
        <v>4.59</v>
      </c>
      <c r="I25" s="298">
        <v>46153</v>
      </c>
      <c r="J25" s="50">
        <f>+E25-F25</f>
        <v>30.6</v>
      </c>
      <c r="K25" s="47">
        <f t="shared" si="1"/>
        <v>4</v>
      </c>
      <c r="L25" s="5">
        <v>3.5000000000000003E-2</v>
      </c>
      <c r="M25" s="6">
        <f t="shared" si="2"/>
        <v>1.0710000000000002</v>
      </c>
      <c r="O25" s="78"/>
    </row>
    <row r="26" spans="1:20" ht="15" customHeight="1" x14ac:dyDescent="0.3">
      <c r="A26" s="289" t="s">
        <v>106</v>
      </c>
      <c r="B26" s="300" t="s">
        <v>61</v>
      </c>
      <c r="C26" s="237" t="s">
        <v>1584</v>
      </c>
      <c r="D26" s="291">
        <v>46073</v>
      </c>
      <c r="E26" s="290">
        <v>664.72</v>
      </c>
      <c r="F26" s="297">
        <v>99.71</v>
      </c>
      <c r="G26" s="290">
        <v>150</v>
      </c>
      <c r="H26" s="297">
        <v>84.75</v>
      </c>
      <c r="I26" s="298">
        <v>46154</v>
      </c>
      <c r="J26" s="50">
        <f>150/1.15</f>
        <v>130.43478260869566</v>
      </c>
      <c r="K26" s="47">
        <f t="shared" si="1"/>
        <v>81</v>
      </c>
      <c r="L26" s="5">
        <v>0.03</v>
      </c>
      <c r="M26" s="6">
        <f t="shared" si="2"/>
        <v>3.9130434782608696</v>
      </c>
      <c r="O26" s="78"/>
    </row>
    <row r="27" spans="1:20" ht="15" customHeight="1" x14ac:dyDescent="0.3">
      <c r="A27" s="289" t="s">
        <v>113</v>
      </c>
      <c r="B27" s="300" t="s">
        <v>18</v>
      </c>
      <c r="C27" s="237" t="s">
        <v>1672</v>
      </c>
      <c r="D27" s="291">
        <v>46091</v>
      </c>
      <c r="E27" s="290">
        <v>356.4</v>
      </c>
      <c r="F27" s="297">
        <v>89.1</v>
      </c>
      <c r="G27" s="290">
        <v>290.02</v>
      </c>
      <c r="H27" s="297">
        <v>40.1</v>
      </c>
      <c r="I27" s="298">
        <v>46154</v>
      </c>
      <c r="J27" s="50">
        <f t="shared" ref="J27:J39" si="4">+E27-F27</f>
        <v>267.29999999999995</v>
      </c>
      <c r="K27" s="47">
        <f t="shared" si="1"/>
        <v>63</v>
      </c>
      <c r="L27" s="5">
        <v>0.03</v>
      </c>
      <c r="M27" s="6">
        <f t="shared" si="2"/>
        <v>8.0189999999999984</v>
      </c>
      <c r="O27" s="78"/>
    </row>
    <row r="28" spans="1:20" ht="15" customHeight="1" x14ac:dyDescent="0.3">
      <c r="A28" s="289" t="s">
        <v>1087</v>
      </c>
      <c r="B28" s="300" t="s">
        <v>61</v>
      </c>
      <c r="C28" s="237" t="s">
        <v>1679</v>
      </c>
      <c r="D28" s="291">
        <v>46118</v>
      </c>
      <c r="E28" s="290">
        <v>289.08</v>
      </c>
      <c r="F28" s="297">
        <v>43.36</v>
      </c>
      <c r="G28" s="290">
        <v>282.58</v>
      </c>
      <c r="H28" s="297">
        <v>36.86</v>
      </c>
      <c r="I28" s="298">
        <v>46154</v>
      </c>
      <c r="J28" s="50">
        <f t="shared" si="4"/>
        <v>245.71999999999997</v>
      </c>
      <c r="K28" s="47">
        <f t="shared" si="1"/>
        <v>36</v>
      </c>
      <c r="L28" s="5">
        <v>0.03</v>
      </c>
      <c r="M28" s="6">
        <f t="shared" si="2"/>
        <v>7.371599999999999</v>
      </c>
      <c r="O28" s="78"/>
    </row>
    <row r="29" spans="1:20" ht="15" customHeight="1" x14ac:dyDescent="0.3">
      <c r="A29" s="289" t="s">
        <v>701</v>
      </c>
      <c r="B29" s="300" t="s">
        <v>24</v>
      </c>
      <c r="C29" s="237" t="s">
        <v>1670</v>
      </c>
      <c r="D29" s="291">
        <v>46132</v>
      </c>
      <c r="E29" s="290">
        <v>117</v>
      </c>
      <c r="F29" s="297">
        <v>29.25</v>
      </c>
      <c r="G29" s="290">
        <v>95.2</v>
      </c>
      <c r="H29" s="297">
        <v>13.16</v>
      </c>
      <c r="I29" s="298">
        <v>46154</v>
      </c>
      <c r="J29" s="50">
        <f t="shared" si="4"/>
        <v>87.75</v>
      </c>
      <c r="K29" s="47">
        <f t="shared" si="1"/>
        <v>22</v>
      </c>
      <c r="L29" s="5">
        <v>3.5000000000000003E-2</v>
      </c>
      <c r="M29" s="6">
        <f t="shared" si="2"/>
        <v>3.0712500000000005</v>
      </c>
      <c r="O29" s="78"/>
    </row>
    <row r="30" spans="1:20" ht="15" customHeight="1" x14ac:dyDescent="0.3">
      <c r="A30" s="289" t="s">
        <v>89</v>
      </c>
      <c r="B30" s="300" t="s">
        <v>18</v>
      </c>
      <c r="C30" s="237" t="s">
        <v>1676</v>
      </c>
      <c r="D30" s="291">
        <v>46101</v>
      </c>
      <c r="E30" s="290">
        <v>144.24</v>
      </c>
      <c r="F30" s="297">
        <v>28.85</v>
      </c>
      <c r="G30" s="290">
        <v>125.2</v>
      </c>
      <c r="H30" s="297">
        <v>17.309999999999999</v>
      </c>
      <c r="I30" s="298">
        <v>46155</v>
      </c>
      <c r="J30" s="50">
        <f t="shared" si="4"/>
        <v>115.39000000000001</v>
      </c>
      <c r="K30" s="47">
        <f t="shared" si="1"/>
        <v>54</v>
      </c>
      <c r="L30" s="5">
        <v>0.03</v>
      </c>
      <c r="M30" s="6">
        <f t="shared" si="2"/>
        <v>3.4617000000000004</v>
      </c>
      <c r="O30" s="78"/>
    </row>
    <row r="31" spans="1:20" ht="15" customHeight="1" x14ac:dyDescent="0.3">
      <c r="A31" s="289" t="s">
        <v>89</v>
      </c>
      <c r="B31" s="300" t="s">
        <v>18</v>
      </c>
      <c r="C31" s="237" t="s">
        <v>1677</v>
      </c>
      <c r="D31" s="291">
        <v>46108</v>
      </c>
      <c r="E31" s="290">
        <v>155.52000000000001</v>
      </c>
      <c r="F31" s="297">
        <v>31.1</v>
      </c>
      <c r="G31" s="290">
        <v>134.99</v>
      </c>
      <c r="H31" s="297">
        <v>18.66</v>
      </c>
      <c r="I31" s="298">
        <v>46155</v>
      </c>
      <c r="J31" s="50">
        <f t="shared" si="4"/>
        <v>124.42000000000002</v>
      </c>
      <c r="K31" s="47">
        <f t="shared" si="1"/>
        <v>47</v>
      </c>
      <c r="L31" s="5">
        <v>0.03</v>
      </c>
      <c r="M31" s="6">
        <f t="shared" si="2"/>
        <v>3.7326000000000001</v>
      </c>
      <c r="O31" s="78"/>
    </row>
    <row r="32" spans="1:20" ht="15" customHeight="1" x14ac:dyDescent="0.3">
      <c r="A32" s="289" t="s">
        <v>94</v>
      </c>
      <c r="B32" s="300" t="s">
        <v>18</v>
      </c>
      <c r="C32" s="237" t="s">
        <v>1641</v>
      </c>
      <c r="D32" s="291">
        <v>46129</v>
      </c>
      <c r="E32" s="290">
        <v>269.45999999999998</v>
      </c>
      <c r="F32" s="297">
        <v>40.42</v>
      </c>
      <c r="G32" s="290">
        <v>263.39999999999998</v>
      </c>
      <c r="H32" s="297">
        <v>34.36</v>
      </c>
      <c r="I32" s="298">
        <v>46155</v>
      </c>
      <c r="J32" s="50">
        <f t="shared" si="4"/>
        <v>229.03999999999996</v>
      </c>
      <c r="K32" s="47">
        <f t="shared" si="1"/>
        <v>26</v>
      </c>
      <c r="L32" s="5">
        <v>3.5000000000000003E-2</v>
      </c>
      <c r="M32" s="6">
        <f t="shared" si="2"/>
        <v>8.0163999999999991</v>
      </c>
      <c r="O32" s="78"/>
    </row>
    <row r="33" spans="1:15" ht="15" customHeight="1" x14ac:dyDescent="0.3">
      <c r="A33" s="289" t="s">
        <v>60</v>
      </c>
      <c r="B33" s="300" t="s">
        <v>61</v>
      </c>
      <c r="C33" s="237" t="s">
        <v>1673</v>
      </c>
      <c r="D33" s="291">
        <v>46118</v>
      </c>
      <c r="E33" s="290">
        <v>165.48</v>
      </c>
      <c r="F33" s="297">
        <v>24.82</v>
      </c>
      <c r="G33" s="290">
        <v>161.76</v>
      </c>
      <c r="H33" s="297">
        <v>21.1</v>
      </c>
      <c r="I33" s="298">
        <v>46156</v>
      </c>
      <c r="J33" s="50">
        <f t="shared" si="4"/>
        <v>140.66</v>
      </c>
      <c r="K33" s="47">
        <f t="shared" si="1"/>
        <v>38</v>
      </c>
      <c r="L33" s="5">
        <v>0.03</v>
      </c>
      <c r="M33" s="6">
        <f t="shared" si="2"/>
        <v>4.2197999999999993</v>
      </c>
      <c r="O33" s="78"/>
    </row>
    <row r="34" spans="1:15" ht="15" customHeight="1" x14ac:dyDescent="0.3">
      <c r="A34" s="289" t="s">
        <v>116</v>
      </c>
      <c r="B34" s="300" t="s">
        <v>120</v>
      </c>
      <c r="C34" s="237" t="s">
        <v>1674</v>
      </c>
      <c r="D34" s="291">
        <v>46135</v>
      </c>
      <c r="E34" s="290">
        <v>399.42</v>
      </c>
      <c r="F34" s="297">
        <v>59.91</v>
      </c>
      <c r="G34" s="290">
        <v>368.37</v>
      </c>
      <c r="H34" s="297">
        <v>50.93</v>
      </c>
      <c r="I34" s="298">
        <v>46156</v>
      </c>
      <c r="J34" s="50">
        <f t="shared" si="4"/>
        <v>339.51</v>
      </c>
      <c r="K34" s="47">
        <f t="shared" si="1"/>
        <v>21</v>
      </c>
      <c r="L34" s="5">
        <v>3.5000000000000003E-2</v>
      </c>
      <c r="M34" s="6">
        <f t="shared" si="2"/>
        <v>11.882850000000001</v>
      </c>
      <c r="O34" s="78"/>
    </row>
    <row r="35" spans="1:15" ht="15" customHeight="1" x14ac:dyDescent="0.3">
      <c r="A35" s="289" t="s">
        <v>34</v>
      </c>
      <c r="B35" s="300" t="s">
        <v>18</v>
      </c>
      <c r="C35" s="237" t="s">
        <v>1675</v>
      </c>
      <c r="D35" s="291">
        <v>46094</v>
      </c>
      <c r="E35" s="290">
        <v>340.2</v>
      </c>
      <c r="F35" s="297">
        <v>51.03</v>
      </c>
      <c r="G35" s="290">
        <v>313.76</v>
      </c>
      <c r="H35" s="297">
        <v>43.38</v>
      </c>
      <c r="I35" s="298">
        <v>46157</v>
      </c>
      <c r="J35" s="50">
        <f t="shared" si="4"/>
        <v>289.16999999999996</v>
      </c>
      <c r="K35" s="47">
        <f t="shared" si="1"/>
        <v>63</v>
      </c>
      <c r="L35" s="5">
        <v>0.03</v>
      </c>
      <c r="M35" s="6">
        <f t="shared" si="2"/>
        <v>8.6750999999999987</v>
      </c>
      <c r="O35" s="78"/>
    </row>
    <row r="36" spans="1:15" ht="15" customHeight="1" x14ac:dyDescent="0.3">
      <c r="A36" s="289" t="s">
        <v>97</v>
      </c>
      <c r="B36" s="300" t="s">
        <v>59</v>
      </c>
      <c r="C36" s="237" t="s">
        <v>1644</v>
      </c>
      <c r="D36" s="291">
        <v>46121</v>
      </c>
      <c r="E36" s="290">
        <v>910.08</v>
      </c>
      <c r="F36" s="297">
        <v>154.71</v>
      </c>
      <c r="G36" s="290">
        <v>868.67</v>
      </c>
      <c r="H36" s="297">
        <v>113.3</v>
      </c>
      <c r="I36" s="298">
        <v>46157</v>
      </c>
      <c r="J36" s="50">
        <f t="shared" si="4"/>
        <v>755.37</v>
      </c>
      <c r="K36" s="47">
        <f t="shared" si="1"/>
        <v>36</v>
      </c>
      <c r="L36" s="5">
        <v>0.03</v>
      </c>
      <c r="M36" s="6">
        <f t="shared" si="2"/>
        <v>22.661099999999998</v>
      </c>
      <c r="O36" s="78"/>
    </row>
    <row r="37" spans="1:15" ht="15" customHeight="1" x14ac:dyDescent="0.3">
      <c r="A37" s="289" t="s">
        <v>38</v>
      </c>
      <c r="B37" s="300" t="s">
        <v>18</v>
      </c>
      <c r="C37" s="237" t="s">
        <v>1640</v>
      </c>
      <c r="D37" s="291">
        <v>46127</v>
      </c>
      <c r="E37" s="290">
        <v>46.8</v>
      </c>
      <c r="F37" s="297">
        <v>7.02</v>
      </c>
      <c r="G37" s="290">
        <v>43.16</v>
      </c>
      <c r="H37" s="297">
        <v>5.97</v>
      </c>
      <c r="I37" s="298">
        <v>46157</v>
      </c>
      <c r="J37" s="50">
        <f t="shared" si="4"/>
        <v>39.78</v>
      </c>
      <c r="K37" s="47">
        <f t="shared" si="1"/>
        <v>30</v>
      </c>
      <c r="L37" s="5">
        <v>3.5000000000000003E-2</v>
      </c>
      <c r="M37" s="6">
        <f t="shared" si="2"/>
        <v>1.3923000000000001</v>
      </c>
      <c r="O37" s="78"/>
    </row>
    <row r="38" spans="1:15" ht="15" customHeight="1" x14ac:dyDescent="0.3">
      <c r="A38" s="289" t="s">
        <v>38</v>
      </c>
      <c r="B38" s="300" t="s">
        <v>18</v>
      </c>
      <c r="C38" s="237" t="s">
        <v>1639</v>
      </c>
      <c r="D38" s="291">
        <v>46128</v>
      </c>
      <c r="E38" s="290">
        <v>1020</v>
      </c>
      <c r="F38" s="297">
        <v>255</v>
      </c>
      <c r="G38" s="290">
        <v>830.02</v>
      </c>
      <c r="H38" s="297">
        <v>114.75</v>
      </c>
      <c r="I38" s="298">
        <v>46157</v>
      </c>
      <c r="J38" s="50">
        <f t="shared" si="4"/>
        <v>765</v>
      </c>
      <c r="K38" s="47">
        <f t="shared" si="1"/>
        <v>29</v>
      </c>
      <c r="L38" s="5">
        <v>3.5000000000000003E-2</v>
      </c>
      <c r="M38" s="6">
        <f t="shared" si="2"/>
        <v>26.775000000000002</v>
      </c>
      <c r="O38" s="78"/>
    </row>
    <row r="39" spans="1:15" ht="15" customHeight="1" x14ac:dyDescent="0.3">
      <c r="A39" s="289" t="s">
        <v>47</v>
      </c>
      <c r="B39" s="300" t="s">
        <v>18</v>
      </c>
      <c r="C39" s="237" t="s">
        <v>1678</v>
      </c>
      <c r="D39" s="291">
        <v>46140</v>
      </c>
      <c r="E39" s="290">
        <v>70.2</v>
      </c>
      <c r="F39" s="297">
        <v>10.53</v>
      </c>
      <c r="G39" s="290">
        <v>68.62</v>
      </c>
      <c r="H39" s="297">
        <v>8.9499999999999993</v>
      </c>
      <c r="I39" s="298">
        <v>46157</v>
      </c>
      <c r="J39" s="50">
        <f t="shared" si="4"/>
        <v>59.67</v>
      </c>
      <c r="K39" s="47">
        <f t="shared" si="1"/>
        <v>17</v>
      </c>
      <c r="L39" s="5">
        <v>3.5000000000000003E-2</v>
      </c>
      <c r="M39" s="6">
        <f t="shared" si="2"/>
        <v>2.0884500000000004</v>
      </c>
      <c r="O39" s="78"/>
    </row>
    <row r="40" spans="1:15" ht="15" customHeight="1" x14ac:dyDescent="0.3">
      <c r="A40" s="289" t="s">
        <v>106</v>
      </c>
      <c r="B40" s="300" t="s">
        <v>61</v>
      </c>
      <c r="C40" s="237" t="s">
        <v>1584</v>
      </c>
      <c r="D40" s="291">
        <v>46073</v>
      </c>
      <c r="E40" s="290">
        <v>664.72</v>
      </c>
      <c r="F40" s="297">
        <v>99.71</v>
      </c>
      <c r="G40" s="290">
        <v>199.76</v>
      </c>
      <c r="H40" s="297">
        <v>84.75</v>
      </c>
      <c r="I40" s="298">
        <v>46161</v>
      </c>
      <c r="J40" s="50">
        <f>199.76/1.15</f>
        <v>173.70434782608697</v>
      </c>
      <c r="K40" s="47">
        <f t="shared" ref="K40:K60" si="5">+I40-D40</f>
        <v>88</v>
      </c>
      <c r="L40" s="5">
        <v>0.03</v>
      </c>
      <c r="M40" s="6">
        <f t="shared" ref="M40:M60" si="6">+J40*L40</f>
        <v>5.2111304347826088</v>
      </c>
      <c r="O40" s="78"/>
    </row>
    <row r="41" spans="1:15" ht="15" customHeight="1" x14ac:dyDescent="0.3">
      <c r="A41" s="289" t="s">
        <v>80</v>
      </c>
      <c r="B41" s="300" t="s">
        <v>18</v>
      </c>
      <c r="C41" s="237" t="s">
        <v>1681</v>
      </c>
      <c r="D41" s="291">
        <v>46118</v>
      </c>
      <c r="E41" s="290">
        <v>153</v>
      </c>
      <c r="F41" s="297">
        <v>30.6</v>
      </c>
      <c r="G41" s="290">
        <v>132.80000000000001</v>
      </c>
      <c r="H41" s="297">
        <v>18.36</v>
      </c>
      <c r="I41" s="298">
        <v>46161</v>
      </c>
      <c r="J41" s="50">
        <f t="shared" ref="J41:J54" si="7">+E41-F41</f>
        <v>122.4</v>
      </c>
      <c r="K41" s="47">
        <f t="shared" si="5"/>
        <v>43</v>
      </c>
      <c r="L41" s="5">
        <v>0.03</v>
      </c>
      <c r="M41" s="6">
        <f t="shared" si="6"/>
        <v>3.6720000000000002</v>
      </c>
      <c r="O41" s="78"/>
    </row>
    <row r="42" spans="1:15" ht="15" customHeight="1" x14ac:dyDescent="0.3">
      <c r="A42" s="289" t="s">
        <v>125</v>
      </c>
      <c r="B42" s="300" t="s">
        <v>18</v>
      </c>
      <c r="C42" s="237" t="s">
        <v>1650</v>
      </c>
      <c r="D42" s="291">
        <v>46160</v>
      </c>
      <c r="E42" s="290">
        <v>122.4</v>
      </c>
      <c r="F42" s="297">
        <v>0</v>
      </c>
      <c r="G42" s="290">
        <v>140.76</v>
      </c>
      <c r="H42" s="297">
        <v>18.36</v>
      </c>
      <c r="I42" s="298">
        <v>46161</v>
      </c>
      <c r="J42" s="50">
        <f t="shared" si="7"/>
        <v>122.4</v>
      </c>
      <c r="K42" s="47">
        <f t="shared" si="5"/>
        <v>1</v>
      </c>
      <c r="L42" s="5">
        <v>0.04</v>
      </c>
      <c r="M42" s="6">
        <f t="shared" si="6"/>
        <v>4.8959999999999999</v>
      </c>
      <c r="O42" s="78"/>
    </row>
    <row r="43" spans="1:15" ht="15" customHeight="1" x14ac:dyDescent="0.3">
      <c r="A43" s="289" t="s">
        <v>47</v>
      </c>
      <c r="B43" s="300" t="s">
        <v>18</v>
      </c>
      <c r="C43" s="237" t="s">
        <v>1651</v>
      </c>
      <c r="D43" s="291">
        <v>46091</v>
      </c>
      <c r="E43" s="290">
        <v>316.2</v>
      </c>
      <c r="F43" s="297">
        <v>63.24</v>
      </c>
      <c r="G43" s="290">
        <v>290.89999999999998</v>
      </c>
      <c r="H43" s="297">
        <v>37.94</v>
      </c>
      <c r="I43" s="298">
        <v>46162</v>
      </c>
      <c r="J43" s="50">
        <f t="shared" si="7"/>
        <v>252.95999999999998</v>
      </c>
      <c r="K43" s="47">
        <f t="shared" si="5"/>
        <v>71</v>
      </c>
      <c r="L43" s="5">
        <v>0.03</v>
      </c>
      <c r="M43" s="6">
        <f t="shared" si="6"/>
        <v>7.5887999999999991</v>
      </c>
      <c r="O43" s="78"/>
    </row>
    <row r="44" spans="1:15" ht="15" customHeight="1" x14ac:dyDescent="0.3">
      <c r="A44" s="308" t="s">
        <v>71</v>
      </c>
      <c r="B44" s="309" t="s">
        <v>24</v>
      </c>
      <c r="C44" s="237" t="s">
        <v>1652</v>
      </c>
      <c r="D44" s="291">
        <v>46133</v>
      </c>
      <c r="E44" s="290">
        <v>921</v>
      </c>
      <c r="F44" s="297">
        <v>230.25</v>
      </c>
      <c r="G44" s="290">
        <v>749.46</v>
      </c>
      <c r="H44" s="297">
        <v>103.61</v>
      </c>
      <c r="I44" s="298">
        <v>46162</v>
      </c>
      <c r="J44" s="50">
        <f t="shared" si="7"/>
        <v>690.75</v>
      </c>
      <c r="K44" s="47">
        <f t="shared" si="5"/>
        <v>29</v>
      </c>
      <c r="L44" s="5">
        <v>3.5000000000000003E-2</v>
      </c>
      <c r="M44" s="6">
        <f t="shared" si="6"/>
        <v>24.176250000000003</v>
      </c>
      <c r="O44" s="78"/>
    </row>
    <row r="45" spans="1:15" ht="15" customHeight="1" x14ac:dyDescent="0.3">
      <c r="A45" s="289" t="s">
        <v>69</v>
      </c>
      <c r="B45" s="300" t="s">
        <v>64</v>
      </c>
      <c r="C45" s="237" t="s">
        <v>1653</v>
      </c>
      <c r="D45" s="291">
        <v>46147</v>
      </c>
      <c r="E45" s="290">
        <v>112.08</v>
      </c>
      <c r="F45" s="297">
        <v>16.809999999999999</v>
      </c>
      <c r="G45" s="290">
        <v>109.56</v>
      </c>
      <c r="H45" s="297">
        <v>14.29</v>
      </c>
      <c r="I45" s="298">
        <v>46162</v>
      </c>
      <c r="J45" s="50">
        <f t="shared" si="7"/>
        <v>95.27</v>
      </c>
      <c r="K45" s="47">
        <f t="shared" si="5"/>
        <v>15</v>
      </c>
      <c r="L45" s="5">
        <v>3.5000000000000003E-2</v>
      </c>
      <c r="M45" s="6">
        <f t="shared" si="6"/>
        <v>3.3344500000000004</v>
      </c>
      <c r="O45" s="78"/>
    </row>
    <row r="46" spans="1:15" ht="15" customHeight="1" x14ac:dyDescent="0.3">
      <c r="A46" s="289" t="s">
        <v>847</v>
      </c>
      <c r="B46" s="300" t="s">
        <v>18</v>
      </c>
      <c r="C46" s="237" t="s">
        <v>1654</v>
      </c>
      <c r="D46" s="291">
        <v>46107</v>
      </c>
      <c r="E46" s="290">
        <v>438.24</v>
      </c>
      <c r="F46" s="297">
        <v>65.739999999999995</v>
      </c>
      <c r="G46" s="290">
        <v>404.17</v>
      </c>
      <c r="H46" s="297">
        <v>55.88</v>
      </c>
      <c r="I46" s="298">
        <v>46163</v>
      </c>
      <c r="J46" s="50">
        <f t="shared" si="7"/>
        <v>372.5</v>
      </c>
      <c r="K46" s="47">
        <f t="shared" si="5"/>
        <v>56</v>
      </c>
      <c r="L46" s="5">
        <v>0.03</v>
      </c>
      <c r="M46" s="6">
        <f t="shared" si="6"/>
        <v>11.174999999999999</v>
      </c>
      <c r="O46" s="78"/>
    </row>
    <row r="47" spans="1:15" ht="15" customHeight="1" x14ac:dyDescent="0.3">
      <c r="A47" s="289" t="s">
        <v>547</v>
      </c>
      <c r="B47" s="300" t="s">
        <v>31</v>
      </c>
      <c r="C47" s="237" t="s">
        <v>1686</v>
      </c>
      <c r="D47" s="291">
        <v>46107</v>
      </c>
      <c r="E47" s="290">
        <v>825.6</v>
      </c>
      <c r="F47" s="297">
        <v>206.4</v>
      </c>
      <c r="G47" s="290">
        <v>712.08</v>
      </c>
      <c r="H47" s="297">
        <v>92.88</v>
      </c>
      <c r="I47" s="298">
        <v>46163</v>
      </c>
      <c r="J47" s="50">
        <f t="shared" si="7"/>
        <v>619.20000000000005</v>
      </c>
      <c r="K47" s="47">
        <f t="shared" si="5"/>
        <v>56</v>
      </c>
      <c r="L47" s="5">
        <v>0.03</v>
      </c>
      <c r="M47" s="6">
        <f t="shared" si="6"/>
        <v>18.576000000000001</v>
      </c>
      <c r="O47" s="78"/>
    </row>
    <row r="48" spans="1:15" ht="15" customHeight="1" x14ac:dyDescent="0.3">
      <c r="A48" s="289" t="s">
        <v>25</v>
      </c>
      <c r="B48" s="300" t="s">
        <v>30</v>
      </c>
      <c r="C48" s="237" t="s">
        <v>1671</v>
      </c>
      <c r="D48" s="291">
        <v>46133</v>
      </c>
      <c r="E48" s="290">
        <v>390.6</v>
      </c>
      <c r="F48" s="290">
        <v>97.65</v>
      </c>
      <c r="G48" s="289">
        <v>317.85000000000002</v>
      </c>
      <c r="H48" s="290">
        <v>43.94</v>
      </c>
      <c r="I48" s="298">
        <v>46165</v>
      </c>
      <c r="J48" s="50">
        <f t="shared" si="7"/>
        <v>292.95000000000005</v>
      </c>
      <c r="K48" s="47">
        <f t="shared" si="5"/>
        <v>32</v>
      </c>
      <c r="L48" s="5">
        <v>0.03</v>
      </c>
      <c r="M48" s="6">
        <f t="shared" si="6"/>
        <v>8.7885000000000009</v>
      </c>
      <c r="O48" s="78"/>
    </row>
    <row r="49" spans="1:18" ht="15" customHeight="1" x14ac:dyDescent="0.3">
      <c r="A49" s="289" t="s">
        <v>34</v>
      </c>
      <c r="B49" s="300" t="s">
        <v>18</v>
      </c>
      <c r="C49" s="237" t="s">
        <v>1655</v>
      </c>
      <c r="D49" s="291">
        <v>46118</v>
      </c>
      <c r="E49" s="290">
        <v>104.52</v>
      </c>
      <c r="F49" s="297">
        <v>15.68</v>
      </c>
      <c r="G49" s="290">
        <v>96.39</v>
      </c>
      <c r="H49" s="297">
        <v>13.33</v>
      </c>
      <c r="I49" s="298">
        <v>46168</v>
      </c>
      <c r="J49" s="50">
        <f t="shared" si="7"/>
        <v>88.84</v>
      </c>
      <c r="K49" s="47">
        <f t="shared" si="5"/>
        <v>50</v>
      </c>
      <c r="L49" s="5">
        <v>0.03</v>
      </c>
      <c r="M49" s="6">
        <f t="shared" si="6"/>
        <v>2.6652</v>
      </c>
      <c r="O49" s="78"/>
    </row>
    <row r="50" spans="1:18" ht="15" customHeight="1" x14ac:dyDescent="0.3">
      <c r="A50" s="289" t="s">
        <v>118</v>
      </c>
      <c r="B50" s="300" t="s">
        <v>120</v>
      </c>
      <c r="C50" s="237" t="s">
        <v>1656</v>
      </c>
      <c r="D50" s="291">
        <v>46129</v>
      </c>
      <c r="E50" s="290">
        <v>292.92</v>
      </c>
      <c r="F50" s="297">
        <v>43.94</v>
      </c>
      <c r="G50" s="290">
        <v>270.14</v>
      </c>
      <c r="H50" s="297">
        <v>37.35</v>
      </c>
      <c r="I50" s="298">
        <v>46168</v>
      </c>
      <c r="J50" s="50">
        <f t="shared" si="7"/>
        <v>248.98000000000002</v>
      </c>
      <c r="K50" s="47">
        <f t="shared" si="5"/>
        <v>39</v>
      </c>
      <c r="L50" s="5">
        <v>0.03</v>
      </c>
      <c r="M50" s="6">
        <f t="shared" si="6"/>
        <v>7.4694000000000003</v>
      </c>
      <c r="O50" s="78"/>
    </row>
    <row r="51" spans="1:18" ht="15" customHeight="1" x14ac:dyDescent="0.3">
      <c r="A51" s="289" t="s">
        <v>118</v>
      </c>
      <c r="B51" s="300" t="s">
        <v>120</v>
      </c>
      <c r="C51" s="237" t="s">
        <v>1657</v>
      </c>
      <c r="D51" s="291">
        <v>46139</v>
      </c>
      <c r="E51" s="290">
        <v>462</v>
      </c>
      <c r="F51" s="297">
        <v>69.3</v>
      </c>
      <c r="G51" s="290">
        <v>426.09</v>
      </c>
      <c r="H51" s="297">
        <v>58.91</v>
      </c>
      <c r="I51" s="298">
        <v>46168</v>
      </c>
      <c r="J51" s="50">
        <f t="shared" si="7"/>
        <v>392.7</v>
      </c>
      <c r="K51" s="47">
        <f t="shared" si="5"/>
        <v>29</v>
      </c>
      <c r="L51" s="5">
        <v>3.5000000000000003E-2</v>
      </c>
      <c r="M51" s="6">
        <f t="shared" si="6"/>
        <v>13.7445</v>
      </c>
      <c r="O51" s="78"/>
    </row>
    <row r="52" spans="1:18" ht="15" customHeight="1" x14ac:dyDescent="0.3">
      <c r="A52" s="289" t="s">
        <v>923</v>
      </c>
      <c r="B52" s="236" t="s">
        <v>59</v>
      </c>
      <c r="C52" s="237" t="s">
        <v>1682</v>
      </c>
      <c r="D52" s="291">
        <v>46169</v>
      </c>
      <c r="E52" s="290">
        <v>349.2</v>
      </c>
      <c r="F52" s="297">
        <v>52.38</v>
      </c>
      <c r="G52" s="290">
        <v>341.34</v>
      </c>
      <c r="H52" s="297">
        <v>44.52</v>
      </c>
      <c r="I52" s="298">
        <v>46169</v>
      </c>
      <c r="J52" s="50">
        <f t="shared" si="7"/>
        <v>296.82</v>
      </c>
      <c r="K52" s="47">
        <f t="shared" si="5"/>
        <v>0</v>
      </c>
      <c r="L52" s="5">
        <v>0.04</v>
      </c>
      <c r="M52" s="6">
        <f t="shared" si="6"/>
        <v>11.8728</v>
      </c>
      <c r="O52" s="78"/>
    </row>
    <row r="53" spans="1:18" ht="15" customHeight="1" x14ac:dyDescent="0.3">
      <c r="A53" s="289" t="s">
        <v>1509</v>
      </c>
      <c r="B53" s="300" t="s">
        <v>32</v>
      </c>
      <c r="C53" s="237" t="s">
        <v>1658</v>
      </c>
      <c r="D53" s="291">
        <v>46118</v>
      </c>
      <c r="E53" s="290">
        <v>225</v>
      </c>
      <c r="F53" s="297">
        <v>33.75</v>
      </c>
      <c r="G53" s="290">
        <v>219.94</v>
      </c>
      <c r="H53" s="297">
        <v>28.69</v>
      </c>
      <c r="I53" s="298">
        <v>46170</v>
      </c>
      <c r="J53" s="50">
        <f t="shared" si="7"/>
        <v>191.25</v>
      </c>
      <c r="K53" s="47">
        <f t="shared" si="5"/>
        <v>52</v>
      </c>
      <c r="L53" s="5">
        <v>0.03</v>
      </c>
      <c r="M53" s="6">
        <f t="shared" si="6"/>
        <v>5.7374999999999998</v>
      </c>
      <c r="O53" s="78"/>
    </row>
    <row r="54" spans="1:18" ht="15" customHeight="1" x14ac:dyDescent="0.3">
      <c r="A54" s="289" t="s">
        <v>1541</v>
      </c>
      <c r="B54" s="300" t="s">
        <v>18</v>
      </c>
      <c r="C54" s="237" t="s">
        <v>1659</v>
      </c>
      <c r="D54" s="291">
        <v>46170</v>
      </c>
      <c r="E54" s="290">
        <v>23.4</v>
      </c>
      <c r="F54" s="297">
        <v>0</v>
      </c>
      <c r="G54" s="290">
        <v>25.39</v>
      </c>
      <c r="H54" s="297">
        <v>3.51</v>
      </c>
      <c r="I54" s="298">
        <v>46170</v>
      </c>
      <c r="J54" s="50">
        <f t="shared" si="7"/>
        <v>23.4</v>
      </c>
      <c r="K54" s="47">
        <f t="shared" si="5"/>
        <v>0</v>
      </c>
      <c r="L54" s="5">
        <v>0.04</v>
      </c>
      <c r="M54" s="6">
        <f t="shared" si="6"/>
        <v>0.93599999999999994</v>
      </c>
      <c r="O54" s="78"/>
    </row>
    <row r="55" spans="1:18" ht="15" customHeight="1" x14ac:dyDescent="0.3">
      <c r="A55" s="289" t="s">
        <v>103</v>
      </c>
      <c r="B55" s="300" t="s">
        <v>31</v>
      </c>
      <c r="C55" s="237" t="s">
        <v>1642</v>
      </c>
      <c r="D55" s="291">
        <v>46107</v>
      </c>
      <c r="E55" s="290">
        <v>2071.6999999999998</v>
      </c>
      <c r="F55" s="297">
        <v>414.34</v>
      </c>
      <c r="G55" s="290">
        <v>905.96</v>
      </c>
      <c r="H55" s="297">
        <v>248.6</v>
      </c>
      <c r="I55" s="298">
        <v>46171</v>
      </c>
      <c r="J55" s="50">
        <v>787.79</v>
      </c>
      <c r="K55" s="47">
        <f t="shared" si="5"/>
        <v>64</v>
      </c>
      <c r="L55" s="5">
        <v>0.03</v>
      </c>
      <c r="M55" s="6">
        <f t="shared" si="6"/>
        <v>23.633699999999997</v>
      </c>
      <c r="O55" s="78"/>
      <c r="R55" s="8"/>
    </row>
    <row r="56" spans="1:18" ht="15" customHeight="1" x14ac:dyDescent="0.3">
      <c r="A56" s="289" t="s">
        <v>134</v>
      </c>
      <c r="B56" s="300" t="s">
        <v>95</v>
      </c>
      <c r="C56" s="237" t="s">
        <v>1683</v>
      </c>
      <c r="D56" s="291">
        <v>46118</v>
      </c>
      <c r="E56" s="290">
        <v>534.48</v>
      </c>
      <c r="F56" s="297">
        <v>80.17</v>
      </c>
      <c r="G56" s="290">
        <v>522.46</v>
      </c>
      <c r="H56" s="297">
        <v>68.150000000000006</v>
      </c>
      <c r="I56" s="298">
        <v>46171</v>
      </c>
      <c r="J56" s="50">
        <f>+E56-F56</f>
        <v>454.31</v>
      </c>
      <c r="K56" s="47">
        <f t="shared" si="5"/>
        <v>53</v>
      </c>
      <c r="L56" s="5">
        <v>0.03</v>
      </c>
      <c r="M56" s="6">
        <f t="shared" si="6"/>
        <v>13.629299999999999</v>
      </c>
      <c r="O56" s="78"/>
    </row>
    <row r="57" spans="1:18" ht="15" customHeight="1" x14ac:dyDescent="0.3">
      <c r="A57" s="289" t="s">
        <v>65</v>
      </c>
      <c r="B57" s="300" t="s">
        <v>32</v>
      </c>
      <c r="C57" s="237" t="s">
        <v>1660</v>
      </c>
      <c r="D57" s="291">
        <v>46129</v>
      </c>
      <c r="E57" s="290">
        <v>387.6</v>
      </c>
      <c r="F57" s="297">
        <v>58.14</v>
      </c>
      <c r="G57" s="290">
        <v>378.88</v>
      </c>
      <c r="H57" s="297">
        <v>49.42</v>
      </c>
      <c r="I57" s="298">
        <v>46171</v>
      </c>
      <c r="J57" s="50">
        <f>+E57-F57</f>
        <v>329.46000000000004</v>
      </c>
      <c r="K57" s="47">
        <f t="shared" si="5"/>
        <v>42</v>
      </c>
      <c r="L57" s="5">
        <v>0.03</v>
      </c>
      <c r="M57" s="6">
        <f t="shared" si="6"/>
        <v>9.8838000000000008</v>
      </c>
      <c r="O57" s="78"/>
    </row>
    <row r="58" spans="1:18" ht="15" customHeight="1" x14ac:dyDescent="0.3">
      <c r="A58" s="289" t="s">
        <v>103</v>
      </c>
      <c r="B58" s="300" t="s">
        <v>31</v>
      </c>
      <c r="C58" s="237" t="s">
        <v>1643</v>
      </c>
      <c r="D58" s="291">
        <v>46146</v>
      </c>
      <c r="E58" s="290">
        <v>52.8</v>
      </c>
      <c r="F58" s="297">
        <v>7.92</v>
      </c>
      <c r="G58" s="290">
        <v>51.61</v>
      </c>
      <c r="H58" s="297">
        <v>6.73</v>
      </c>
      <c r="I58" s="298">
        <v>46171</v>
      </c>
      <c r="J58" s="50">
        <f>+E58-F58</f>
        <v>44.879999999999995</v>
      </c>
      <c r="K58" s="47">
        <f t="shared" si="5"/>
        <v>25</v>
      </c>
      <c r="L58" s="5">
        <v>3.5000000000000003E-2</v>
      </c>
      <c r="M58" s="6">
        <f t="shared" si="6"/>
        <v>1.5708</v>
      </c>
      <c r="O58" s="78"/>
    </row>
    <row r="59" spans="1:18" ht="15" customHeight="1" x14ac:dyDescent="0.3">
      <c r="A59" s="289" t="s">
        <v>40</v>
      </c>
      <c r="B59" s="300" t="s">
        <v>18</v>
      </c>
      <c r="C59" s="237" t="s">
        <v>1680</v>
      </c>
      <c r="D59" s="291">
        <v>46156</v>
      </c>
      <c r="E59" s="290">
        <v>347.04</v>
      </c>
      <c r="F59" s="297">
        <v>86.76</v>
      </c>
      <c r="G59" s="290">
        <v>282.39999999999998</v>
      </c>
      <c r="H59" s="297">
        <v>39.04</v>
      </c>
      <c r="I59" s="298">
        <v>46171</v>
      </c>
      <c r="J59" s="50">
        <f>+E59-F59</f>
        <v>260.28000000000003</v>
      </c>
      <c r="K59" s="47">
        <f t="shared" si="5"/>
        <v>15</v>
      </c>
      <c r="L59" s="5">
        <v>3.5000000000000003E-2</v>
      </c>
      <c r="M59" s="6">
        <f t="shared" si="6"/>
        <v>9.1098000000000017</v>
      </c>
      <c r="O59" s="78"/>
    </row>
    <row r="60" spans="1:18" ht="15" customHeight="1" x14ac:dyDescent="0.3">
      <c r="A60" s="289" t="s">
        <v>226</v>
      </c>
      <c r="B60" s="300" t="s">
        <v>18</v>
      </c>
      <c r="C60" s="237" t="s">
        <v>1684</v>
      </c>
      <c r="D60" s="291">
        <v>46171</v>
      </c>
      <c r="E60" s="290">
        <v>1212.1199999999999</v>
      </c>
      <c r="F60" s="297">
        <v>303.02999999999997</v>
      </c>
      <c r="G60" s="290">
        <v>660</v>
      </c>
      <c r="H60" s="297">
        <v>136.36000000000001</v>
      </c>
      <c r="I60" s="298">
        <v>46171</v>
      </c>
      <c r="J60" s="50">
        <f>660/1.15</f>
        <v>573.91304347826087</v>
      </c>
      <c r="K60" s="47">
        <f t="shared" si="5"/>
        <v>0</v>
      </c>
      <c r="L60" s="5">
        <v>0.04</v>
      </c>
      <c r="M60" s="6">
        <f t="shared" si="6"/>
        <v>22.956521739130434</v>
      </c>
      <c r="O60" s="78"/>
    </row>
    <row r="61" spans="1:18" ht="15" customHeight="1" x14ac:dyDescent="0.3">
      <c r="A61" s="289"/>
      <c r="B61" s="236"/>
      <c r="C61" s="237"/>
      <c r="D61" s="263"/>
      <c r="E61" s="267"/>
      <c r="F61" s="267"/>
      <c r="G61" s="290"/>
      <c r="H61" s="267"/>
      <c r="I61" s="291"/>
      <c r="J61" s="50"/>
      <c r="K61" s="47"/>
      <c r="L61" s="5"/>
      <c r="M61" s="6"/>
      <c r="O61" s="78"/>
    </row>
    <row r="62" spans="1:18" ht="15" customHeight="1" x14ac:dyDescent="0.25">
      <c r="A62" s="235"/>
      <c r="B62" s="294"/>
      <c r="C62" s="237"/>
      <c r="D62" s="263"/>
      <c r="E62" s="295"/>
      <c r="F62" s="295"/>
      <c r="G62" s="258"/>
      <c r="H62" s="295"/>
      <c r="I62" s="296"/>
      <c r="J62" s="50"/>
      <c r="K62" s="47"/>
      <c r="L62" s="5"/>
      <c r="M62" s="6"/>
      <c r="O62" s="78"/>
    </row>
    <row r="63" spans="1:18" ht="15" customHeight="1" x14ac:dyDescent="0.25">
      <c r="A63" s="171"/>
      <c r="B63" s="160"/>
      <c r="C63" s="171"/>
      <c r="D63" s="201"/>
      <c r="E63" s="87"/>
      <c r="F63" s="87"/>
      <c r="G63" s="94"/>
      <c r="H63" s="87"/>
      <c r="I63" s="247"/>
      <c r="J63" s="50"/>
      <c r="K63" s="47"/>
      <c r="L63" s="5"/>
      <c r="M63" s="6"/>
      <c r="O63" s="78"/>
    </row>
    <row r="64" spans="1:18" ht="15" customHeight="1" x14ac:dyDescent="0.3">
      <c r="G64" s="16">
        <f>SUM(G8:G63)</f>
        <v>22835.250000000004</v>
      </c>
      <c r="J64" s="16">
        <f>SUM(J8:J63)</f>
        <v>20563.162173913046</v>
      </c>
      <c r="M64" s="16">
        <f>SUM(M8:M63)</f>
        <v>649.51544565217364</v>
      </c>
      <c r="O64" s="78"/>
    </row>
    <row r="65" spans="1:15" ht="15" customHeight="1" x14ac:dyDescent="0.25">
      <c r="G65" s="8"/>
      <c r="H65" s="8"/>
      <c r="O65" s="78"/>
    </row>
    <row r="66" spans="1:15" ht="15" customHeight="1" x14ac:dyDescent="0.25">
      <c r="A66" s="17" t="s">
        <v>19</v>
      </c>
      <c r="B66" s="18" t="s">
        <v>20</v>
      </c>
      <c r="C66" s="18" t="s">
        <v>21</v>
      </c>
      <c r="J66" s="8"/>
      <c r="O66" s="78"/>
    </row>
    <row r="67" spans="1:15" s="52" customFormat="1" ht="14.4" x14ac:dyDescent="0.3">
      <c r="A67" s="289" t="s">
        <v>104</v>
      </c>
      <c r="B67" s="235" t="s">
        <v>1699</v>
      </c>
      <c r="C67" s="237" t="s">
        <v>1719</v>
      </c>
      <c r="D67" s="291">
        <v>46108</v>
      </c>
      <c r="E67" s="290">
        <v>244.68</v>
      </c>
      <c r="F67" s="290">
        <v>36.700000000000003</v>
      </c>
      <c r="G67" s="289">
        <v>239.18</v>
      </c>
      <c r="H67" s="290">
        <v>31.2</v>
      </c>
      <c r="I67" s="298">
        <v>46177</v>
      </c>
      <c r="J67" s="50">
        <f>+E67-F67</f>
        <v>207.98000000000002</v>
      </c>
      <c r="K67" s="47">
        <f t="shared" ref="K67:K90" si="8">+I67-D67</f>
        <v>69</v>
      </c>
      <c r="L67" s="48">
        <v>0.03</v>
      </c>
      <c r="M67" s="49">
        <f t="shared" ref="M67:M90" si="9">+J67*L67</f>
        <v>6.2394000000000007</v>
      </c>
      <c r="N67" s="60"/>
      <c r="O67" s="78"/>
    </row>
    <row r="68" spans="1:15" s="52" customFormat="1" ht="14.4" x14ac:dyDescent="0.3">
      <c r="A68" s="289" t="s">
        <v>46</v>
      </c>
      <c r="B68" s="235" t="s">
        <v>1698</v>
      </c>
      <c r="C68" s="237" t="s">
        <v>1718</v>
      </c>
      <c r="D68" s="291">
        <v>46146</v>
      </c>
      <c r="E68" s="290">
        <v>360.24</v>
      </c>
      <c r="F68" s="290">
        <v>72.05</v>
      </c>
      <c r="G68" s="289">
        <v>325.66000000000003</v>
      </c>
      <c r="H68" s="290">
        <v>43.23</v>
      </c>
      <c r="I68" s="298">
        <v>46177</v>
      </c>
      <c r="J68" s="50">
        <f>+E68-F68</f>
        <v>288.19</v>
      </c>
      <c r="K68" s="47">
        <f t="shared" si="8"/>
        <v>31</v>
      </c>
      <c r="L68" s="48">
        <v>0.03</v>
      </c>
      <c r="M68" s="49">
        <f t="shared" si="9"/>
        <v>8.6456999999999997</v>
      </c>
      <c r="N68" s="60"/>
      <c r="O68" s="78"/>
    </row>
    <row r="69" spans="1:15" s="52" customFormat="1" ht="14.4" x14ac:dyDescent="0.3">
      <c r="A69" s="289" t="s">
        <v>42</v>
      </c>
      <c r="B69" s="235" t="s">
        <v>1700</v>
      </c>
      <c r="C69" s="237" t="s">
        <v>1720</v>
      </c>
      <c r="D69" s="291">
        <v>46098</v>
      </c>
      <c r="E69" s="290">
        <v>61.2</v>
      </c>
      <c r="F69" s="290">
        <v>9.18</v>
      </c>
      <c r="G69" s="289">
        <v>56.44</v>
      </c>
      <c r="H69" s="290">
        <v>7.8</v>
      </c>
      <c r="I69" s="298">
        <v>46189</v>
      </c>
      <c r="J69" s="50">
        <f>+E69-F69</f>
        <v>52.02</v>
      </c>
      <c r="K69" s="47">
        <f t="shared" si="8"/>
        <v>91</v>
      </c>
      <c r="L69" s="48">
        <v>0.03</v>
      </c>
      <c r="M69" s="49">
        <f t="shared" si="9"/>
        <v>1.5606</v>
      </c>
      <c r="N69" s="60"/>
      <c r="O69" s="78"/>
    </row>
    <row r="70" spans="1:15" s="52" customFormat="1" ht="14.4" x14ac:dyDescent="0.3">
      <c r="A70" s="289" t="s">
        <v>42</v>
      </c>
      <c r="B70" s="235" t="s">
        <v>1700</v>
      </c>
      <c r="C70" s="237" t="s">
        <v>1721</v>
      </c>
      <c r="D70" s="291">
        <v>46106</v>
      </c>
      <c r="E70" s="290">
        <v>151.19999999999999</v>
      </c>
      <c r="F70" s="290">
        <v>22.68</v>
      </c>
      <c r="G70" s="289">
        <v>139.44999999999999</v>
      </c>
      <c r="H70" s="290">
        <v>19.28</v>
      </c>
      <c r="I70" s="298">
        <v>46189</v>
      </c>
      <c r="J70" s="50">
        <f>+E70-F70</f>
        <v>128.51999999999998</v>
      </c>
      <c r="K70" s="47">
        <f t="shared" si="8"/>
        <v>83</v>
      </c>
      <c r="L70" s="48">
        <v>0.03</v>
      </c>
      <c r="M70" s="49">
        <f t="shared" si="9"/>
        <v>3.8555999999999995</v>
      </c>
      <c r="N70" s="60"/>
      <c r="O70" s="78"/>
    </row>
    <row r="71" spans="1:15" s="52" customFormat="1" ht="14.4" x14ac:dyDescent="0.3">
      <c r="A71" s="289" t="s">
        <v>93</v>
      </c>
      <c r="B71" s="235" t="s">
        <v>1692</v>
      </c>
      <c r="C71" s="237" t="s">
        <v>1712</v>
      </c>
      <c r="D71" s="310">
        <v>46118</v>
      </c>
      <c r="E71" s="290">
        <v>485.4</v>
      </c>
      <c r="F71" s="297">
        <v>72.81</v>
      </c>
      <c r="G71" s="290">
        <v>158.16</v>
      </c>
      <c r="H71" s="297">
        <v>61.89</v>
      </c>
      <c r="I71" s="311">
        <v>46188</v>
      </c>
      <c r="J71" s="50">
        <v>137.53</v>
      </c>
      <c r="K71" s="47">
        <f t="shared" ref="K71" si="10">+I71-D71</f>
        <v>70</v>
      </c>
      <c r="L71" s="48">
        <v>0.03</v>
      </c>
      <c r="M71" s="49">
        <f t="shared" ref="M71" si="11">+J71*L71</f>
        <v>4.1258999999999997</v>
      </c>
      <c r="N71" s="60"/>
      <c r="O71" s="78"/>
    </row>
    <row r="72" spans="1:15" s="52" customFormat="1" ht="14.4" x14ac:dyDescent="0.3">
      <c r="A72" s="289" t="s">
        <v>93</v>
      </c>
      <c r="B72" s="235" t="s">
        <v>1692</v>
      </c>
      <c r="C72" s="237" t="s">
        <v>1712</v>
      </c>
      <c r="D72" s="310">
        <v>46118</v>
      </c>
      <c r="E72" s="290">
        <v>485.4</v>
      </c>
      <c r="F72" s="297">
        <v>72.81</v>
      </c>
      <c r="G72" s="290">
        <v>158.16</v>
      </c>
      <c r="H72" s="297">
        <v>61.89</v>
      </c>
      <c r="I72" s="311">
        <v>46192</v>
      </c>
      <c r="J72" s="50">
        <v>137.53</v>
      </c>
      <c r="K72" s="47">
        <f t="shared" si="8"/>
        <v>74</v>
      </c>
      <c r="L72" s="48">
        <v>0.03</v>
      </c>
      <c r="M72" s="49">
        <f t="shared" si="9"/>
        <v>4.1258999999999997</v>
      </c>
      <c r="N72" s="60"/>
      <c r="O72" s="78"/>
    </row>
    <row r="73" spans="1:15" s="52" customFormat="1" ht="14.4" x14ac:dyDescent="0.3">
      <c r="A73" s="289" t="s">
        <v>46</v>
      </c>
      <c r="B73" s="235" t="s">
        <v>1687</v>
      </c>
      <c r="C73" s="237" t="s">
        <v>1702</v>
      </c>
      <c r="D73" s="310">
        <v>46161</v>
      </c>
      <c r="E73" s="290">
        <v>125.4</v>
      </c>
      <c r="F73" s="297">
        <v>25.08</v>
      </c>
      <c r="G73" s="290">
        <v>113.37</v>
      </c>
      <c r="H73" s="297">
        <v>15.05</v>
      </c>
      <c r="I73" s="298">
        <v>46192</v>
      </c>
      <c r="J73" s="50">
        <f>+E73-F73</f>
        <v>100.32000000000001</v>
      </c>
      <c r="K73" s="47">
        <f t="shared" si="8"/>
        <v>31</v>
      </c>
      <c r="L73" s="48">
        <v>0.03</v>
      </c>
      <c r="M73" s="49">
        <f t="shared" si="9"/>
        <v>3.0096000000000003</v>
      </c>
      <c r="N73" s="60"/>
      <c r="O73" s="78"/>
    </row>
    <row r="74" spans="1:15" s="52" customFormat="1" ht="14.4" x14ac:dyDescent="0.3">
      <c r="A74" s="289" t="s">
        <v>42</v>
      </c>
      <c r="B74" s="235" t="s">
        <v>1691</v>
      </c>
      <c r="C74" s="237" t="s">
        <v>1711</v>
      </c>
      <c r="D74" s="291">
        <v>46120</v>
      </c>
      <c r="E74" s="290">
        <v>110.88</v>
      </c>
      <c r="F74" s="297">
        <v>16.63</v>
      </c>
      <c r="G74" s="290">
        <v>102.26</v>
      </c>
      <c r="H74" s="297">
        <v>14.14</v>
      </c>
      <c r="I74" s="298">
        <v>46194</v>
      </c>
      <c r="J74" s="50">
        <f>+E74-F74</f>
        <v>94.25</v>
      </c>
      <c r="K74" s="47">
        <f t="shared" si="8"/>
        <v>74</v>
      </c>
      <c r="L74" s="48">
        <v>0.03</v>
      </c>
      <c r="M74" s="49">
        <f t="shared" si="9"/>
        <v>2.8274999999999997</v>
      </c>
      <c r="N74" s="60"/>
      <c r="O74" s="78"/>
    </row>
    <row r="75" spans="1:15" s="52" customFormat="1" ht="14.4" x14ac:dyDescent="0.3">
      <c r="A75" s="289" t="s">
        <v>42</v>
      </c>
      <c r="B75" s="235" t="s">
        <v>1691</v>
      </c>
      <c r="C75" s="237" t="s">
        <v>1710</v>
      </c>
      <c r="D75" s="291">
        <v>46122</v>
      </c>
      <c r="E75" s="290">
        <v>60.72</v>
      </c>
      <c r="F75" s="297">
        <v>9.11</v>
      </c>
      <c r="G75" s="290">
        <v>56</v>
      </c>
      <c r="H75" s="297">
        <v>7.74</v>
      </c>
      <c r="I75" s="298">
        <v>46194</v>
      </c>
      <c r="J75" s="50">
        <f>+E75-F75</f>
        <v>51.61</v>
      </c>
      <c r="K75" s="47">
        <f t="shared" si="8"/>
        <v>72</v>
      </c>
      <c r="L75" s="48">
        <v>0.03</v>
      </c>
      <c r="M75" s="49">
        <f t="shared" si="9"/>
        <v>1.5483</v>
      </c>
      <c r="N75" s="60"/>
      <c r="O75" s="78"/>
    </row>
    <row r="76" spans="1:15" s="52" customFormat="1" ht="14.4" x14ac:dyDescent="0.3">
      <c r="A76" s="289" t="s">
        <v>42</v>
      </c>
      <c r="B76" s="235" t="s">
        <v>1691</v>
      </c>
      <c r="C76" s="237" t="s">
        <v>1709</v>
      </c>
      <c r="D76" s="291">
        <v>46125</v>
      </c>
      <c r="E76" s="290">
        <v>121.44</v>
      </c>
      <c r="F76" s="297">
        <v>18.22</v>
      </c>
      <c r="G76" s="290">
        <v>112</v>
      </c>
      <c r="H76" s="297">
        <v>15.48</v>
      </c>
      <c r="I76" s="298">
        <v>46194</v>
      </c>
      <c r="J76" s="50">
        <f>+E76-F76</f>
        <v>103.22</v>
      </c>
      <c r="K76" s="47">
        <f t="shared" si="8"/>
        <v>69</v>
      </c>
      <c r="L76" s="48">
        <v>0.03</v>
      </c>
      <c r="M76" s="49">
        <f t="shared" si="9"/>
        <v>3.0966</v>
      </c>
      <c r="N76" s="60"/>
      <c r="O76" s="78"/>
    </row>
    <row r="77" spans="1:15" s="52" customFormat="1" ht="14.4" x14ac:dyDescent="0.3">
      <c r="A77" s="289" t="s">
        <v>93</v>
      </c>
      <c r="B77" s="235" t="s">
        <v>1693</v>
      </c>
      <c r="C77" s="237" t="s">
        <v>1712</v>
      </c>
      <c r="D77" s="310">
        <v>46118</v>
      </c>
      <c r="E77" s="290">
        <v>485.4</v>
      </c>
      <c r="F77" s="297">
        <v>72.81</v>
      </c>
      <c r="G77" s="290">
        <v>158.16</v>
      </c>
      <c r="H77" s="297">
        <v>61.89</v>
      </c>
      <c r="I77" s="311">
        <v>46199</v>
      </c>
      <c r="J77" s="50">
        <v>137.53</v>
      </c>
      <c r="K77" s="47">
        <f t="shared" si="8"/>
        <v>81</v>
      </c>
      <c r="L77" s="48">
        <v>0.03</v>
      </c>
      <c r="M77" s="49">
        <f t="shared" si="9"/>
        <v>4.1258999999999997</v>
      </c>
      <c r="N77" s="60"/>
      <c r="O77" s="78"/>
    </row>
    <row r="78" spans="1:15" s="52" customFormat="1" ht="14.4" x14ac:dyDescent="0.3">
      <c r="A78" s="289" t="s">
        <v>1037</v>
      </c>
      <c r="B78" s="235" t="s">
        <v>1697</v>
      </c>
      <c r="C78" s="237" t="s">
        <v>1717</v>
      </c>
      <c r="D78" s="291">
        <v>46062</v>
      </c>
      <c r="E78" s="290">
        <v>3660.56</v>
      </c>
      <c r="F78" s="297">
        <v>549.08000000000004</v>
      </c>
      <c r="G78" s="290">
        <v>1500</v>
      </c>
      <c r="H78" s="297">
        <v>466.72</v>
      </c>
      <c r="I78" s="298">
        <v>46200</v>
      </c>
      <c r="J78" s="50">
        <f>1500/1.15</f>
        <v>1304.3478260869567</v>
      </c>
      <c r="K78" s="47">
        <f t="shared" si="8"/>
        <v>138</v>
      </c>
      <c r="L78" s="48">
        <v>0.03</v>
      </c>
      <c r="M78" s="49">
        <f t="shared" si="9"/>
        <v>39.130434782608702</v>
      </c>
      <c r="N78" s="60"/>
      <c r="O78" s="78"/>
    </row>
    <row r="79" spans="1:15" s="52" customFormat="1" ht="14.4" x14ac:dyDescent="0.3">
      <c r="A79" s="289" t="s">
        <v>42</v>
      </c>
      <c r="B79" s="235" t="s">
        <v>1688</v>
      </c>
      <c r="C79" s="237" t="s">
        <v>1704</v>
      </c>
      <c r="D79" s="291">
        <v>46147</v>
      </c>
      <c r="E79" s="290">
        <v>121.44</v>
      </c>
      <c r="F79" s="297">
        <v>18.22</v>
      </c>
      <c r="G79" s="290">
        <v>112</v>
      </c>
      <c r="H79" s="297">
        <v>15.48</v>
      </c>
      <c r="I79" s="298">
        <v>46200</v>
      </c>
      <c r="J79" s="50">
        <f t="shared" ref="J79:J86" si="12">+E79-F79</f>
        <v>103.22</v>
      </c>
      <c r="K79" s="47">
        <f t="shared" si="8"/>
        <v>53</v>
      </c>
      <c r="L79" s="48">
        <v>0.03</v>
      </c>
      <c r="M79" s="49">
        <f t="shared" si="9"/>
        <v>3.0966</v>
      </c>
      <c r="N79" s="60"/>
      <c r="O79" s="78"/>
    </row>
    <row r="80" spans="1:15" s="52" customFormat="1" ht="14.4" x14ac:dyDescent="0.3">
      <c r="A80" s="289" t="s">
        <v>42</v>
      </c>
      <c r="B80" s="235" t="s">
        <v>1688</v>
      </c>
      <c r="C80" s="237" t="s">
        <v>1703</v>
      </c>
      <c r="D80" s="291">
        <v>46148</v>
      </c>
      <c r="E80" s="290">
        <v>81.599999999999994</v>
      </c>
      <c r="F80" s="297">
        <v>12.24</v>
      </c>
      <c r="G80" s="290">
        <v>75.25</v>
      </c>
      <c r="H80" s="297">
        <v>10.4</v>
      </c>
      <c r="I80" s="298">
        <v>46200</v>
      </c>
      <c r="J80" s="50">
        <f t="shared" si="12"/>
        <v>69.36</v>
      </c>
      <c r="K80" s="47">
        <f t="shared" si="8"/>
        <v>52</v>
      </c>
      <c r="L80" s="48">
        <v>0.03</v>
      </c>
      <c r="M80" s="49">
        <f t="shared" si="9"/>
        <v>2.0808</v>
      </c>
      <c r="N80" s="60"/>
      <c r="O80" s="78"/>
    </row>
    <row r="81" spans="1:18" s="52" customFormat="1" ht="14.4" x14ac:dyDescent="0.3">
      <c r="A81" s="289" t="s">
        <v>52</v>
      </c>
      <c r="B81" s="235" t="s">
        <v>1690</v>
      </c>
      <c r="C81" s="237" t="s">
        <v>1708</v>
      </c>
      <c r="D81" s="291">
        <v>46127</v>
      </c>
      <c r="E81" s="290">
        <v>255</v>
      </c>
      <c r="F81" s="297">
        <v>63.75</v>
      </c>
      <c r="G81" s="290">
        <v>207.5</v>
      </c>
      <c r="H81" s="297">
        <v>28.69</v>
      </c>
      <c r="I81" s="298">
        <v>46203</v>
      </c>
      <c r="J81" s="50">
        <f t="shared" si="12"/>
        <v>191.25</v>
      </c>
      <c r="K81" s="47">
        <f t="shared" si="8"/>
        <v>76</v>
      </c>
      <c r="L81" s="48">
        <v>0.03</v>
      </c>
      <c r="M81" s="49">
        <f t="shared" si="9"/>
        <v>5.7374999999999998</v>
      </c>
      <c r="N81" s="60"/>
      <c r="O81" s="78"/>
    </row>
    <row r="82" spans="1:18" s="52" customFormat="1" ht="14.4" x14ac:dyDescent="0.3">
      <c r="A82" s="289" t="s">
        <v>52</v>
      </c>
      <c r="B82" s="235" t="s">
        <v>1690</v>
      </c>
      <c r="C82" s="237" t="s">
        <v>1707</v>
      </c>
      <c r="D82" s="291">
        <v>46133</v>
      </c>
      <c r="E82" s="290">
        <v>306</v>
      </c>
      <c r="F82" s="297">
        <v>76.5</v>
      </c>
      <c r="G82" s="290">
        <v>249.01</v>
      </c>
      <c r="H82" s="297">
        <v>34.43</v>
      </c>
      <c r="I82" s="298">
        <v>46203</v>
      </c>
      <c r="J82" s="50">
        <f t="shared" si="12"/>
        <v>229.5</v>
      </c>
      <c r="K82" s="47">
        <f t="shared" si="8"/>
        <v>70</v>
      </c>
      <c r="L82" s="48">
        <v>0.03</v>
      </c>
      <c r="M82" s="49">
        <f t="shared" si="9"/>
        <v>6.8849999999999998</v>
      </c>
      <c r="N82" s="60"/>
      <c r="O82" s="78"/>
    </row>
    <row r="83" spans="1:18" s="52" customFormat="1" ht="14.4" x14ac:dyDescent="0.3">
      <c r="A83" s="289" t="s">
        <v>52</v>
      </c>
      <c r="B83" s="235" t="s">
        <v>1690</v>
      </c>
      <c r="C83" s="237" t="s">
        <v>1706</v>
      </c>
      <c r="D83" s="291">
        <v>46134</v>
      </c>
      <c r="E83" s="290">
        <v>426</v>
      </c>
      <c r="F83" s="297">
        <v>106.5</v>
      </c>
      <c r="G83" s="290">
        <v>346.66</v>
      </c>
      <c r="H83" s="297">
        <v>47.93</v>
      </c>
      <c r="I83" s="298">
        <v>46203</v>
      </c>
      <c r="J83" s="50">
        <f t="shared" si="12"/>
        <v>319.5</v>
      </c>
      <c r="K83" s="47">
        <f t="shared" si="8"/>
        <v>69</v>
      </c>
      <c r="L83" s="48">
        <v>0.03</v>
      </c>
      <c r="M83" s="49">
        <f t="shared" si="9"/>
        <v>9.5849999999999991</v>
      </c>
      <c r="N83" s="60"/>
      <c r="O83" s="78"/>
    </row>
    <row r="84" spans="1:18" s="52" customFormat="1" ht="14.4" x14ac:dyDescent="0.3">
      <c r="A84" s="289" t="s">
        <v>52</v>
      </c>
      <c r="B84" s="235" t="s">
        <v>1689</v>
      </c>
      <c r="C84" s="237" t="s">
        <v>1705</v>
      </c>
      <c r="D84" s="291">
        <v>46141</v>
      </c>
      <c r="E84" s="290">
        <v>408</v>
      </c>
      <c r="F84" s="297">
        <v>102</v>
      </c>
      <c r="G84" s="290">
        <v>332.01</v>
      </c>
      <c r="H84" s="297">
        <v>45.9</v>
      </c>
      <c r="I84" s="298">
        <v>46207</v>
      </c>
      <c r="J84" s="50">
        <f t="shared" si="12"/>
        <v>306</v>
      </c>
      <c r="K84" s="47">
        <f t="shared" si="8"/>
        <v>66</v>
      </c>
      <c r="L84" s="48">
        <v>0.03</v>
      </c>
      <c r="M84" s="49">
        <f t="shared" si="9"/>
        <v>9.18</v>
      </c>
      <c r="N84" s="60"/>
      <c r="O84" s="78"/>
    </row>
    <row r="85" spans="1:18" s="52" customFormat="1" ht="14.4" x14ac:dyDescent="0.3">
      <c r="A85" s="289" t="s">
        <v>42</v>
      </c>
      <c r="B85" s="235" t="s">
        <v>1687</v>
      </c>
      <c r="C85" s="237" t="s">
        <v>1701</v>
      </c>
      <c r="D85" s="310">
        <v>46170</v>
      </c>
      <c r="E85" s="290">
        <v>463.68</v>
      </c>
      <c r="F85" s="297">
        <v>69.55</v>
      </c>
      <c r="G85" s="290">
        <v>427.63</v>
      </c>
      <c r="H85" s="297">
        <v>59.12</v>
      </c>
      <c r="I85" s="311">
        <v>46220</v>
      </c>
      <c r="J85" s="50">
        <f t="shared" si="12"/>
        <v>394.13</v>
      </c>
      <c r="K85" s="47">
        <f t="shared" si="8"/>
        <v>50</v>
      </c>
      <c r="L85" s="48">
        <v>0.03</v>
      </c>
      <c r="M85" s="49">
        <f t="shared" si="9"/>
        <v>11.8239</v>
      </c>
      <c r="N85" s="60"/>
      <c r="O85" s="78"/>
    </row>
    <row r="86" spans="1:18" s="52" customFormat="1" ht="14.4" x14ac:dyDescent="0.3">
      <c r="A86" s="289" t="s">
        <v>1037</v>
      </c>
      <c r="B86" s="235" t="s">
        <v>1695</v>
      </c>
      <c r="C86" s="237" t="s">
        <v>1714</v>
      </c>
      <c r="D86" s="291">
        <v>46090</v>
      </c>
      <c r="E86" s="290">
        <v>1170</v>
      </c>
      <c r="F86" s="297">
        <v>175.5</v>
      </c>
      <c r="G86" s="290">
        <v>1079.04</v>
      </c>
      <c r="H86" s="297">
        <v>149.18</v>
      </c>
      <c r="I86" s="311">
        <v>46221</v>
      </c>
      <c r="J86" s="50">
        <f t="shared" si="12"/>
        <v>994.5</v>
      </c>
      <c r="K86" s="47">
        <f t="shared" si="8"/>
        <v>131</v>
      </c>
      <c r="L86" s="48">
        <v>0.03</v>
      </c>
      <c r="M86" s="49">
        <f t="shared" si="9"/>
        <v>29.834999999999997</v>
      </c>
      <c r="N86" s="60"/>
      <c r="O86" s="78"/>
    </row>
    <row r="87" spans="1:18" s="52" customFormat="1" ht="14.4" x14ac:dyDescent="0.3">
      <c r="A87" s="289" t="s">
        <v>1037</v>
      </c>
      <c r="B87" s="235" t="s">
        <v>1695</v>
      </c>
      <c r="C87" s="237" t="s">
        <v>1713</v>
      </c>
      <c r="D87" s="310">
        <v>46112</v>
      </c>
      <c r="E87" s="290">
        <v>2340</v>
      </c>
      <c r="F87" s="297">
        <v>397.8</v>
      </c>
      <c r="G87" s="290">
        <f>607.87-0.58</f>
        <v>607.29</v>
      </c>
      <c r="H87" s="297">
        <v>291.33</v>
      </c>
      <c r="I87" s="311">
        <v>46221</v>
      </c>
      <c r="J87" s="50">
        <v>559.71</v>
      </c>
      <c r="K87" s="47">
        <f t="shared" si="8"/>
        <v>109</v>
      </c>
      <c r="L87" s="48">
        <v>0.03</v>
      </c>
      <c r="M87" s="49">
        <f t="shared" si="9"/>
        <v>16.7913</v>
      </c>
      <c r="N87" s="60"/>
      <c r="O87" s="78"/>
      <c r="R87" s="299"/>
    </row>
    <row r="88" spans="1:18" s="52" customFormat="1" ht="14.4" x14ac:dyDescent="0.3">
      <c r="A88" s="289" t="s">
        <v>1037</v>
      </c>
      <c r="B88" s="235" t="s">
        <v>1694</v>
      </c>
      <c r="C88" s="237" t="s">
        <v>1713</v>
      </c>
      <c r="D88" s="310">
        <v>46112</v>
      </c>
      <c r="E88" s="290">
        <v>2340</v>
      </c>
      <c r="F88" s="297">
        <v>397.8</v>
      </c>
      <c r="G88" s="290">
        <v>1500</v>
      </c>
      <c r="H88" s="297">
        <v>291.33</v>
      </c>
      <c r="I88" s="311">
        <v>46229</v>
      </c>
      <c r="J88" s="50">
        <v>1382.49</v>
      </c>
      <c r="K88" s="47">
        <f t="shared" si="8"/>
        <v>117</v>
      </c>
      <c r="L88" s="48">
        <v>0.03</v>
      </c>
      <c r="M88" s="49">
        <f t="shared" si="9"/>
        <v>41.474699999999999</v>
      </c>
      <c r="N88" s="60"/>
      <c r="O88" s="78"/>
      <c r="R88" s="299"/>
    </row>
    <row r="89" spans="1:18" s="52" customFormat="1" ht="14.4" x14ac:dyDescent="0.3">
      <c r="A89" s="289" t="s">
        <v>1037</v>
      </c>
      <c r="B89" s="235" t="s">
        <v>1696</v>
      </c>
      <c r="C89" s="237" t="s">
        <v>1716</v>
      </c>
      <c r="D89" s="291">
        <v>46062</v>
      </c>
      <c r="E89" s="290">
        <v>685.08</v>
      </c>
      <c r="F89" s="297">
        <v>102.76</v>
      </c>
      <c r="G89" s="290">
        <v>633.28</v>
      </c>
      <c r="H89" s="297">
        <v>87.35</v>
      </c>
      <c r="I89" s="298">
        <v>46233</v>
      </c>
      <c r="J89" s="50">
        <f>+E89-F89</f>
        <v>582.32000000000005</v>
      </c>
      <c r="K89" s="47">
        <f t="shared" si="8"/>
        <v>171</v>
      </c>
      <c r="L89" s="48">
        <v>0.03</v>
      </c>
      <c r="M89" s="49">
        <f t="shared" si="9"/>
        <v>17.4696</v>
      </c>
      <c r="N89" s="60"/>
      <c r="O89" s="78"/>
    </row>
    <row r="90" spans="1:18" s="52" customFormat="1" ht="14.4" x14ac:dyDescent="0.3">
      <c r="A90" s="289" t="s">
        <v>1037</v>
      </c>
      <c r="B90" s="235" t="s">
        <v>1696</v>
      </c>
      <c r="C90" s="237" t="s">
        <v>1715</v>
      </c>
      <c r="D90" s="291">
        <v>46062</v>
      </c>
      <c r="E90" s="290">
        <v>999.72</v>
      </c>
      <c r="F90" s="297">
        <v>149.96</v>
      </c>
      <c r="G90" s="290">
        <v>866.72</v>
      </c>
      <c r="H90" s="297">
        <v>127.46</v>
      </c>
      <c r="I90" s="298">
        <v>46233</v>
      </c>
      <c r="J90" s="50">
        <f>+E90-F90</f>
        <v>849.76</v>
      </c>
      <c r="K90" s="47">
        <f t="shared" si="8"/>
        <v>171</v>
      </c>
      <c r="L90" s="48">
        <v>0.03</v>
      </c>
      <c r="M90" s="49">
        <f t="shared" si="9"/>
        <v>25.492799999999999</v>
      </c>
      <c r="N90" s="60"/>
      <c r="O90" s="78"/>
    </row>
    <row r="91" spans="1:18" s="52" customFormat="1" x14ac:dyDescent="0.25">
      <c r="A91" s="235"/>
      <c r="B91" s="235"/>
      <c r="C91" s="237"/>
      <c r="D91" s="263"/>
      <c r="E91" s="267"/>
      <c r="F91" s="267"/>
      <c r="G91" s="6"/>
      <c r="H91" s="267"/>
      <c r="I91" s="263"/>
      <c r="J91" s="50"/>
      <c r="K91" s="47"/>
      <c r="L91" s="48"/>
      <c r="M91" s="49"/>
      <c r="N91" s="230"/>
      <c r="O91" s="78"/>
    </row>
    <row r="92" spans="1:18" s="52" customFormat="1" ht="15.6" thickBot="1" x14ac:dyDescent="0.3">
      <c r="A92" s="101"/>
      <c r="B92" s="102"/>
      <c r="C92" s="101"/>
      <c r="D92" s="105"/>
      <c r="E92" s="92"/>
      <c r="F92" s="92"/>
      <c r="G92" s="90"/>
      <c r="H92" s="92"/>
      <c r="I92" s="248"/>
      <c r="J92" s="50"/>
      <c r="K92" s="47"/>
      <c r="L92" s="48"/>
      <c r="M92" s="49"/>
      <c r="N92" s="60"/>
      <c r="O92" s="78"/>
    </row>
    <row r="93" spans="1:18" ht="15" customHeight="1" thickBot="1" x14ac:dyDescent="0.35">
      <c r="A93" s="332" t="s">
        <v>29</v>
      </c>
      <c r="B93" s="332"/>
      <c r="C93" s="332"/>
      <c r="D93" s="332"/>
      <c r="E93" s="332"/>
      <c r="F93" s="332"/>
      <c r="G93" s="16">
        <f>SUM(G64:G92)</f>
        <v>32390.48</v>
      </c>
      <c r="J93" s="16">
        <f>SUM(J64:J92)</f>
        <v>29287.95</v>
      </c>
      <c r="L93" s="20"/>
      <c r="M93" s="21">
        <f>SUM(M64:M92)</f>
        <v>911.25908043478228</v>
      </c>
    </row>
    <row r="94" spans="1:18" ht="15" customHeight="1" x14ac:dyDescent="0.3">
      <c r="A94" s="22"/>
      <c r="G94" s="8"/>
    </row>
    <row r="95" spans="1:18" ht="15" customHeight="1" x14ac:dyDescent="0.3">
      <c r="A95" s="39"/>
      <c r="G95" s="8"/>
      <c r="J95" s="8"/>
    </row>
    <row r="96" spans="1:18" ht="15" customHeight="1" x14ac:dyDescent="0.3">
      <c r="A96" s="39"/>
      <c r="G96" s="8"/>
      <c r="J96" s="8"/>
    </row>
    <row r="97" spans="1:15" ht="15" customHeight="1" x14ac:dyDescent="0.3">
      <c r="A97" s="39"/>
      <c r="G97" s="8"/>
      <c r="J97" s="8"/>
    </row>
    <row r="98" spans="1:15" ht="15" customHeight="1" x14ac:dyDescent="0.3">
      <c r="A98" s="39"/>
      <c r="G98" s="8"/>
      <c r="J98" s="8"/>
      <c r="M98" s="8"/>
    </row>
    <row r="99" spans="1:15" ht="15" customHeight="1" x14ac:dyDescent="0.3">
      <c r="A99" s="39"/>
      <c r="G99" s="8"/>
      <c r="J99" s="8"/>
      <c r="M99" s="8"/>
    </row>
    <row r="100" spans="1:15" ht="15" customHeight="1" x14ac:dyDescent="0.25">
      <c r="A100" s="30" t="s">
        <v>0</v>
      </c>
      <c r="B100" s="30"/>
      <c r="C100" s="30"/>
      <c r="D100" s="30"/>
      <c r="E100" s="30"/>
      <c r="F100" s="30"/>
      <c r="G100" s="24"/>
      <c r="H100" s="25"/>
      <c r="I100" s="249"/>
      <c r="J100" s="26"/>
      <c r="K100" s="27"/>
      <c r="L100" s="28"/>
      <c r="M100" s="29"/>
    </row>
    <row r="101" spans="1:15" ht="15" customHeight="1" x14ac:dyDescent="0.25">
      <c r="A101" s="30" t="s">
        <v>1</v>
      </c>
      <c r="B101" s="30"/>
      <c r="C101" s="30"/>
      <c r="D101" s="30"/>
      <c r="E101" s="30"/>
      <c r="F101" s="30"/>
      <c r="G101" s="24"/>
      <c r="H101" s="25"/>
      <c r="I101" s="249"/>
      <c r="J101" s="27"/>
      <c r="K101" s="27"/>
      <c r="L101" s="28"/>
      <c r="M101" s="29"/>
    </row>
    <row r="102" spans="1:15" ht="15" customHeight="1" x14ac:dyDescent="0.25">
      <c r="A102" s="30"/>
      <c r="B102" s="30" t="s">
        <v>1629</v>
      </c>
      <c r="C102" s="30"/>
      <c r="D102" s="64"/>
      <c r="E102" s="30"/>
      <c r="F102" s="30"/>
      <c r="G102" s="24"/>
      <c r="H102" s="25"/>
      <c r="I102" s="249"/>
      <c r="J102" s="27"/>
      <c r="K102" s="27"/>
      <c r="L102" s="28"/>
      <c r="M102" s="29"/>
    </row>
    <row r="103" spans="1:15" ht="15" customHeight="1" thickBot="1" x14ac:dyDescent="0.3">
      <c r="A103" s="30"/>
      <c r="B103" s="30" t="s">
        <v>1130</v>
      </c>
      <c r="C103" s="30"/>
      <c r="D103" s="64"/>
      <c r="E103" s="30"/>
      <c r="F103" s="30"/>
      <c r="G103" s="32"/>
      <c r="H103" s="24"/>
      <c r="I103" s="250"/>
      <c r="J103" s="33"/>
      <c r="K103" s="27"/>
      <c r="L103" s="28"/>
      <c r="M103" s="29"/>
    </row>
    <row r="104" spans="1:15" ht="15" customHeight="1" x14ac:dyDescent="0.25">
      <c r="A104" s="34" t="s">
        <v>66</v>
      </c>
      <c r="B104" s="182"/>
      <c r="C104" s="33"/>
      <c r="D104" s="65"/>
      <c r="E104" s="33"/>
      <c r="F104" s="33"/>
      <c r="G104" s="35" t="s">
        <v>3</v>
      </c>
      <c r="H104" s="27"/>
      <c r="I104" s="249"/>
      <c r="J104" s="36" t="s">
        <v>4</v>
      </c>
      <c r="K104" s="56" t="s">
        <v>5</v>
      </c>
      <c r="L104" s="40" t="s">
        <v>6</v>
      </c>
      <c r="M104" s="36" t="s">
        <v>7</v>
      </c>
      <c r="O104" s="8"/>
    </row>
    <row r="105" spans="1:15" ht="15" customHeight="1" thickBot="1" x14ac:dyDescent="0.3">
      <c r="A105" s="11" t="s">
        <v>8</v>
      </c>
      <c r="B105" s="11" t="s">
        <v>9</v>
      </c>
      <c r="C105" s="11" t="s">
        <v>10</v>
      </c>
      <c r="D105" s="66" t="s">
        <v>11</v>
      </c>
      <c r="E105" s="11" t="s">
        <v>12</v>
      </c>
      <c r="F105" s="54" t="s">
        <v>50</v>
      </c>
      <c r="G105" s="12" t="s">
        <v>13</v>
      </c>
      <c r="H105" s="13" t="s">
        <v>14</v>
      </c>
      <c r="I105" s="251" t="s">
        <v>15</v>
      </c>
      <c r="J105" s="14" t="s">
        <v>16</v>
      </c>
      <c r="K105" s="57"/>
      <c r="L105" s="58" t="s">
        <v>17</v>
      </c>
      <c r="M105" s="14" t="s">
        <v>39</v>
      </c>
      <c r="O105" s="8"/>
    </row>
    <row r="106" spans="1:15" ht="15" customHeight="1" x14ac:dyDescent="0.3">
      <c r="A106" s="289" t="s">
        <v>1458</v>
      </c>
      <c r="B106" s="300" t="s">
        <v>27</v>
      </c>
      <c r="C106" s="237" t="s">
        <v>1631</v>
      </c>
      <c r="D106" s="291">
        <v>46146</v>
      </c>
      <c r="E106" s="290">
        <v>163.19999999999999</v>
      </c>
      <c r="F106" s="297">
        <v>0</v>
      </c>
      <c r="G106" s="290">
        <v>187.68</v>
      </c>
      <c r="H106" s="297">
        <v>24.48</v>
      </c>
      <c r="I106" s="298">
        <v>46146</v>
      </c>
      <c r="J106" s="50">
        <f>E106-F106</f>
        <v>163.19999999999999</v>
      </c>
      <c r="K106" s="47">
        <f>+I106-D106</f>
        <v>0</v>
      </c>
      <c r="L106" s="48">
        <v>0.04</v>
      </c>
      <c r="M106" s="49">
        <f>+J106*L106</f>
        <v>6.5279999999999996</v>
      </c>
      <c r="O106" s="78"/>
    </row>
    <row r="107" spans="1:15" ht="15" customHeight="1" x14ac:dyDescent="0.3">
      <c r="A107" s="289" t="s">
        <v>1263</v>
      </c>
      <c r="B107" s="300" t="s">
        <v>75</v>
      </c>
      <c r="C107" s="237" t="s">
        <v>1633</v>
      </c>
      <c r="D107" s="291">
        <v>46146</v>
      </c>
      <c r="E107" s="290">
        <v>192.72</v>
      </c>
      <c r="F107" s="297">
        <v>25.05</v>
      </c>
      <c r="G107" s="290">
        <v>50</v>
      </c>
      <c r="H107" s="297">
        <v>25.15</v>
      </c>
      <c r="I107" s="298">
        <v>46168</v>
      </c>
      <c r="J107" s="50">
        <f>50/1.15</f>
        <v>43.478260869565219</v>
      </c>
      <c r="K107" s="47">
        <f>+I107-D107</f>
        <v>22</v>
      </c>
      <c r="L107" s="48">
        <v>3.5000000000000003E-2</v>
      </c>
      <c r="M107" s="49">
        <f>+J107*L107</f>
        <v>1.5217391304347827</v>
      </c>
      <c r="O107" s="78"/>
    </row>
    <row r="108" spans="1:15" ht="15" customHeight="1" x14ac:dyDescent="0.3">
      <c r="A108" s="289" t="s">
        <v>1263</v>
      </c>
      <c r="B108" s="300" t="s">
        <v>75</v>
      </c>
      <c r="C108" s="237" t="s">
        <v>1633</v>
      </c>
      <c r="D108" s="291">
        <v>46146</v>
      </c>
      <c r="E108" s="290">
        <v>192.72</v>
      </c>
      <c r="F108" s="297">
        <v>25.05</v>
      </c>
      <c r="G108" s="290">
        <v>50</v>
      </c>
      <c r="H108" s="297">
        <v>25.15</v>
      </c>
      <c r="I108" s="298">
        <v>46162</v>
      </c>
      <c r="J108" s="50">
        <f>50/1.15</f>
        <v>43.478260869565219</v>
      </c>
      <c r="K108" s="47">
        <f>+I108-D108</f>
        <v>16</v>
      </c>
      <c r="L108" s="48">
        <v>3.5000000000000003E-2</v>
      </c>
      <c r="M108" s="49">
        <f>+J108*L108</f>
        <v>1.5217391304347827</v>
      </c>
      <c r="O108" s="78"/>
    </row>
    <row r="109" spans="1:15" ht="15" customHeight="1" x14ac:dyDescent="0.3">
      <c r="A109" s="289" t="s">
        <v>1249</v>
      </c>
      <c r="B109" s="300" t="s">
        <v>1250</v>
      </c>
      <c r="C109" s="237" t="s">
        <v>1634</v>
      </c>
      <c r="D109" s="291">
        <v>46154</v>
      </c>
      <c r="E109" s="290">
        <v>538.20000000000005</v>
      </c>
      <c r="F109" s="297">
        <v>107.64</v>
      </c>
      <c r="G109" s="290">
        <v>495.14</v>
      </c>
      <c r="H109" s="297">
        <v>64.58</v>
      </c>
      <c r="I109" s="298">
        <v>46155</v>
      </c>
      <c r="J109" s="50">
        <f>E109-F109</f>
        <v>430.56000000000006</v>
      </c>
      <c r="K109" s="47">
        <f>+I109-D109</f>
        <v>1</v>
      </c>
      <c r="L109" s="48">
        <v>0.04</v>
      </c>
      <c r="M109" s="49">
        <f>+J109*L109</f>
        <v>17.222400000000004</v>
      </c>
      <c r="O109" s="78"/>
    </row>
    <row r="110" spans="1:15" ht="15" customHeight="1" x14ac:dyDescent="0.3">
      <c r="A110" s="289" t="s">
        <v>1630</v>
      </c>
      <c r="B110" s="300" t="s">
        <v>18</v>
      </c>
      <c r="C110" s="237" t="s">
        <v>1632</v>
      </c>
      <c r="D110" s="291">
        <v>46157</v>
      </c>
      <c r="E110" s="290">
        <v>254.16</v>
      </c>
      <c r="F110" s="297">
        <v>38.119999999999997</v>
      </c>
      <c r="G110" s="290">
        <v>248.45</v>
      </c>
      <c r="H110" s="297">
        <v>32.409999999999997</v>
      </c>
      <c r="I110" s="298">
        <v>46160</v>
      </c>
      <c r="J110" s="50">
        <f>E110-F110</f>
        <v>216.04</v>
      </c>
      <c r="K110" s="47">
        <f>+I110-D110</f>
        <v>3</v>
      </c>
      <c r="L110" s="48">
        <v>3.5000000000000003E-2</v>
      </c>
      <c r="M110" s="49">
        <f>+J110*L110</f>
        <v>7.5614000000000008</v>
      </c>
      <c r="O110" s="78"/>
    </row>
    <row r="111" spans="1:15" ht="15" customHeight="1" x14ac:dyDescent="0.25">
      <c r="A111" s="171"/>
      <c r="B111" s="160"/>
      <c r="C111" s="171"/>
      <c r="D111" s="172"/>
      <c r="E111" s="87"/>
      <c r="F111" s="87"/>
      <c r="G111" s="94"/>
      <c r="H111" s="87"/>
      <c r="I111" s="247"/>
      <c r="J111" s="50"/>
      <c r="K111" s="47"/>
      <c r="L111" s="48"/>
      <c r="M111" s="49"/>
    </row>
    <row r="112" spans="1:15" ht="15" customHeight="1" x14ac:dyDescent="0.3">
      <c r="A112" s="42"/>
      <c r="B112" s="43"/>
      <c r="C112" s="43"/>
      <c r="D112" s="68"/>
      <c r="E112" s="44"/>
      <c r="F112" s="44"/>
      <c r="G112" s="45"/>
      <c r="H112" s="46"/>
      <c r="I112" s="260"/>
      <c r="J112" s="50"/>
      <c r="K112" s="47"/>
      <c r="L112" s="48"/>
      <c r="M112" s="49"/>
    </row>
    <row r="113" spans="1:15" ht="15" customHeight="1" x14ac:dyDescent="0.25">
      <c r="A113" s="213"/>
      <c r="B113" s="213"/>
      <c r="C113" s="213"/>
      <c r="D113" s="213"/>
      <c r="E113" s="213"/>
      <c r="F113" s="213"/>
      <c r="G113" s="75">
        <f>SUM(G106:G112)</f>
        <v>1031.27</v>
      </c>
      <c r="H113" s="80"/>
      <c r="I113" s="261"/>
      <c r="J113" s="75">
        <f>SUM(J106:J112)</f>
        <v>896.75652173913045</v>
      </c>
      <c r="K113" s="82"/>
      <c r="L113" s="82"/>
      <c r="M113" s="75">
        <f>SUM(M106:M112)</f>
        <v>34.355278260869568</v>
      </c>
    </row>
    <row r="114" spans="1:15" ht="15" customHeight="1" x14ac:dyDescent="0.25">
      <c r="A114" s="76"/>
      <c r="B114" s="76"/>
      <c r="C114" s="76"/>
      <c r="D114" s="77"/>
      <c r="E114" s="76"/>
      <c r="F114" s="76"/>
      <c r="G114" s="78"/>
      <c r="H114" s="52"/>
      <c r="I114" s="262"/>
      <c r="J114" s="52"/>
      <c r="K114" s="52"/>
      <c r="L114" s="52"/>
      <c r="M114" s="52"/>
    </row>
    <row r="115" spans="1:15" x14ac:dyDescent="0.25">
      <c r="A115" s="76"/>
      <c r="B115" s="76"/>
      <c r="C115" s="76"/>
      <c r="D115" s="77"/>
      <c r="E115" s="76"/>
      <c r="F115" s="76"/>
      <c r="G115" s="78"/>
      <c r="H115" s="52"/>
      <c r="I115" s="262"/>
      <c r="J115" s="78"/>
      <c r="K115" s="52"/>
      <c r="L115" s="52"/>
      <c r="M115" s="78"/>
    </row>
    <row r="116" spans="1:15" x14ac:dyDescent="0.25">
      <c r="A116" s="52" t="s">
        <v>19</v>
      </c>
      <c r="B116" s="76" t="s">
        <v>20</v>
      </c>
      <c r="C116" s="76" t="s">
        <v>21</v>
      </c>
      <c r="D116" s="79"/>
      <c r="E116" s="52"/>
      <c r="F116" s="52"/>
      <c r="G116" s="78"/>
      <c r="H116" s="52"/>
      <c r="I116" s="262"/>
      <c r="J116" s="52"/>
      <c r="K116" s="52"/>
      <c r="L116" s="52"/>
      <c r="M116" s="52"/>
    </row>
    <row r="117" spans="1:15" s="52" customFormat="1" ht="14.4" x14ac:dyDescent="0.3">
      <c r="A117" s="289" t="s">
        <v>1635</v>
      </c>
      <c r="B117" s="235" t="s">
        <v>1636</v>
      </c>
      <c r="C117" s="237" t="s">
        <v>1637</v>
      </c>
      <c r="D117" s="291">
        <v>46128</v>
      </c>
      <c r="E117" s="290">
        <v>855.36</v>
      </c>
      <c r="F117" s="297">
        <v>171.07</v>
      </c>
      <c r="G117" s="290">
        <v>393.47</v>
      </c>
      <c r="H117" s="297">
        <v>102.64</v>
      </c>
      <c r="I117" s="298">
        <v>46211</v>
      </c>
      <c r="J117" s="50">
        <f>393.47/1.15</f>
        <v>342.14782608695657</v>
      </c>
      <c r="K117" s="47">
        <f t="shared" ref="K117" si="13">+I117-D117</f>
        <v>83</v>
      </c>
      <c r="L117" s="48">
        <v>0.03</v>
      </c>
      <c r="M117" s="49">
        <f t="shared" ref="M117" si="14">+J117*L117</f>
        <v>10.264434782608697</v>
      </c>
      <c r="N117" s="60"/>
      <c r="O117" s="78"/>
    </row>
    <row r="118" spans="1:15" ht="15.6" thickBot="1" x14ac:dyDescent="0.3">
      <c r="A118" s="91"/>
      <c r="B118" s="102"/>
      <c r="C118" s="93"/>
      <c r="D118" s="88"/>
      <c r="E118" s="92"/>
      <c r="F118" s="92"/>
      <c r="G118" s="90"/>
      <c r="H118" s="92"/>
      <c r="I118" s="248"/>
      <c r="J118" s="50"/>
      <c r="K118" s="47"/>
      <c r="L118" s="48"/>
      <c r="M118" s="49"/>
    </row>
    <row r="119" spans="1:15" ht="16.2" thickBot="1" x14ac:dyDescent="0.35">
      <c r="A119" s="212" t="s">
        <v>29</v>
      </c>
      <c r="B119" s="212"/>
      <c r="C119" s="212"/>
      <c r="D119" s="212"/>
      <c r="E119" s="212"/>
      <c r="F119" s="212"/>
      <c r="G119" s="37">
        <f>SUM(G113:G118)</f>
        <v>1424.74</v>
      </c>
      <c r="I119" s="252"/>
      <c r="J119" s="37">
        <f>SUM(J113:J118)</f>
        <v>1238.9043478260869</v>
      </c>
      <c r="L119" s="20"/>
      <c r="M119" s="38">
        <f>SUM(M113:M118)</f>
        <v>44.619713043478264</v>
      </c>
    </row>
    <row r="120" spans="1:15" x14ac:dyDescent="0.25">
      <c r="A120" s="19"/>
      <c r="E120" s="19"/>
      <c r="F120" s="19"/>
      <c r="G120" s="8"/>
      <c r="I120" s="252"/>
    </row>
    <row r="122" spans="1:15" x14ac:dyDescent="0.25">
      <c r="J122" s="8"/>
    </row>
    <row r="123" spans="1:15" x14ac:dyDescent="0.25">
      <c r="J123" s="8"/>
    </row>
    <row r="124" spans="1:15" x14ac:dyDescent="0.25">
      <c r="J124" s="8">
        <f>(J93+J119)*2%</f>
        <v>610.53708695652176</v>
      </c>
      <c r="M124" s="8">
        <f>M119/12</f>
        <v>3.7183094202898554</v>
      </c>
      <c r="N124" s="59" t="s">
        <v>1504</v>
      </c>
    </row>
    <row r="125" spans="1:15" x14ac:dyDescent="0.25">
      <c r="J125" s="8">
        <f>J124/12</f>
        <v>50.878090579710147</v>
      </c>
      <c r="K125" s="7" t="s">
        <v>876</v>
      </c>
      <c r="M125" s="8">
        <f>M119/24</f>
        <v>1.8591547101449277</v>
      </c>
      <c r="N125" s="59" t="s">
        <v>1504</v>
      </c>
    </row>
    <row r="126" spans="1:15" x14ac:dyDescent="0.25">
      <c r="J126" s="8">
        <f>J124/24</f>
        <v>25.439045289855073</v>
      </c>
      <c r="K126" s="7" t="s">
        <v>876</v>
      </c>
    </row>
  </sheetData>
  <autoFilter ref="C1:C126" xr:uid="{4CE93478-1FFC-42A1-9CD3-2592C3F25A26}"/>
  <sortState xmlns:xlrd2="http://schemas.microsoft.com/office/spreadsheetml/2017/richdata2" ref="A67:T90">
    <sortCondition ref="I67:I90"/>
  </sortState>
  <mergeCells count="2">
    <mergeCell ref="A3:F3"/>
    <mergeCell ref="A93:F9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3198-53C6-4AB3-BAB5-93FFBCFFF717}">
  <dimension ref="A1:T94"/>
  <sheetViews>
    <sheetView topLeftCell="A33" workbookViewId="0">
      <selection activeCell="F27" sqref="F27"/>
    </sheetView>
  </sheetViews>
  <sheetFormatPr baseColWidth="10" defaultColWidth="11.44140625" defaultRowHeight="13.2" x14ac:dyDescent="0.25"/>
  <cols>
    <col min="1" max="1" width="31.5546875" style="7" customWidth="1"/>
    <col min="2" max="2" width="20.5546875" style="19" customWidth="1"/>
    <col min="3" max="3" width="18.5546875" style="19" customWidth="1"/>
    <col min="4" max="4" width="10.33203125" style="67" customWidth="1"/>
    <col min="5" max="5" width="11.6640625" style="7" customWidth="1"/>
    <col min="6" max="6" width="9.88671875" style="7" customWidth="1"/>
    <col min="7" max="7" width="11.88671875" style="7" customWidth="1"/>
    <col min="8" max="8" width="9.88671875" style="7" customWidth="1"/>
    <col min="9" max="9" width="10.6640625" style="67" customWidth="1"/>
    <col min="10" max="10" width="13.5546875" style="7" customWidth="1"/>
    <col min="11" max="11" width="7.33203125" style="7" customWidth="1"/>
    <col min="12" max="12" width="6.44140625" style="7" customWidth="1"/>
    <col min="13" max="13" width="10.109375" style="7" customWidth="1"/>
    <col min="14" max="14" width="9.6640625" style="59" customWidth="1"/>
    <col min="15" max="15" width="12.44140625" style="7" customWidth="1"/>
    <col min="16" max="16" width="8" style="7" customWidth="1"/>
    <col min="17" max="16384" width="11.44140625" style="7"/>
  </cols>
  <sheetData>
    <row r="1" spans="1:20" ht="15" customHeight="1" x14ac:dyDescent="0.25">
      <c r="B1" s="181"/>
      <c r="C1" s="181"/>
      <c r="G1" s="8"/>
    </row>
    <row r="2" spans="1:20" ht="15" customHeight="1" x14ac:dyDescent="0.25">
      <c r="A2" s="30"/>
      <c r="B2" s="30"/>
      <c r="C2" s="30"/>
      <c r="D2" s="30"/>
      <c r="E2" s="30"/>
      <c r="F2" s="30"/>
      <c r="G2" s="24"/>
      <c r="H2" s="24"/>
      <c r="I2" s="195"/>
      <c r="J2" s="26"/>
      <c r="K2" s="27"/>
      <c r="L2" s="28"/>
      <c r="M2" s="29"/>
    </row>
    <row r="3" spans="1:20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195"/>
      <c r="J3" s="27"/>
      <c r="K3" s="27"/>
      <c r="L3" s="28"/>
      <c r="M3" s="29"/>
    </row>
    <row r="4" spans="1:20" ht="15" customHeight="1" x14ac:dyDescent="0.25">
      <c r="A4" s="30"/>
      <c r="B4" s="30" t="s">
        <v>1722</v>
      </c>
      <c r="C4" s="30"/>
      <c r="D4" s="64"/>
      <c r="E4" s="30"/>
      <c r="F4" s="30"/>
      <c r="G4" s="24"/>
      <c r="H4" s="25"/>
      <c r="I4" s="195"/>
      <c r="J4" s="27"/>
      <c r="K4" s="27"/>
      <c r="L4" s="28"/>
      <c r="M4" s="29"/>
    </row>
    <row r="5" spans="1:20" ht="15" customHeight="1" thickBot="1" x14ac:dyDescent="0.3">
      <c r="A5" s="30"/>
      <c r="B5" s="30" t="s">
        <v>22</v>
      </c>
      <c r="C5" s="30"/>
      <c r="D5" s="64"/>
      <c r="E5" s="30"/>
      <c r="F5" s="30"/>
      <c r="G5" s="32"/>
      <c r="H5" s="24"/>
      <c r="I5" s="64"/>
      <c r="J5" s="33"/>
      <c r="K5" s="27"/>
      <c r="L5" s="28"/>
      <c r="M5" s="29"/>
    </row>
    <row r="6" spans="1:20" ht="15" customHeight="1" x14ac:dyDescent="0.25">
      <c r="A6" s="34"/>
      <c r="B6" s="182"/>
      <c r="C6" s="182"/>
      <c r="D6" s="195"/>
      <c r="E6" s="33"/>
      <c r="F6" s="33"/>
      <c r="G6" s="35" t="s">
        <v>3</v>
      </c>
      <c r="H6" s="27"/>
      <c r="I6" s="195"/>
      <c r="J6" s="36" t="s">
        <v>4</v>
      </c>
      <c r="K6" s="56" t="s">
        <v>5</v>
      </c>
      <c r="L6" s="40" t="s">
        <v>6</v>
      </c>
      <c r="M6" s="36" t="s">
        <v>7</v>
      </c>
    </row>
    <row r="7" spans="1:20" ht="15" customHeight="1" x14ac:dyDescent="0.25">
      <c r="A7" s="11" t="s">
        <v>8</v>
      </c>
      <c r="B7" s="11" t="s">
        <v>9</v>
      </c>
      <c r="C7" s="11" t="s">
        <v>10</v>
      </c>
      <c r="D7" s="66" t="s">
        <v>11</v>
      </c>
      <c r="E7" s="11" t="s">
        <v>12</v>
      </c>
      <c r="F7" s="54" t="s">
        <v>50</v>
      </c>
      <c r="G7" s="62" t="s">
        <v>13</v>
      </c>
      <c r="H7" s="13" t="s">
        <v>14</v>
      </c>
      <c r="I7" s="197" t="s">
        <v>15</v>
      </c>
      <c r="J7" s="14" t="s">
        <v>16</v>
      </c>
      <c r="K7" s="57"/>
      <c r="L7" s="58" t="s">
        <v>17</v>
      </c>
      <c r="M7" s="14" t="s">
        <v>39</v>
      </c>
    </row>
    <row r="8" spans="1:20" ht="15" customHeight="1" x14ac:dyDescent="0.3">
      <c r="A8" s="289" t="s">
        <v>226</v>
      </c>
      <c r="B8" s="300" t="s">
        <v>18</v>
      </c>
      <c r="C8" s="237" t="s">
        <v>1684</v>
      </c>
      <c r="D8" s="316">
        <v>46171</v>
      </c>
      <c r="E8" s="297">
        <v>1212.1199999999999</v>
      </c>
      <c r="F8" s="297">
        <v>303.02999999999997</v>
      </c>
      <c r="G8" s="290">
        <v>300</v>
      </c>
      <c r="H8" s="297">
        <v>136.36000000000001</v>
      </c>
      <c r="I8" s="291">
        <v>46174</v>
      </c>
      <c r="J8" s="50">
        <f>300/1.15</f>
        <v>260.86956521739131</v>
      </c>
      <c r="K8" s="47">
        <f t="shared" ref="K8:K47" si="0">+I8-D8</f>
        <v>3</v>
      </c>
      <c r="L8" s="5">
        <v>3.5000000000000003E-2</v>
      </c>
      <c r="M8" s="6">
        <f t="shared" ref="M8:M47" si="1">+J8*L8</f>
        <v>9.1304347826086971</v>
      </c>
      <c r="O8" s="78"/>
    </row>
    <row r="9" spans="1:20" ht="15" customHeight="1" x14ac:dyDescent="0.3">
      <c r="A9" s="289" t="s">
        <v>1037</v>
      </c>
      <c r="B9" s="236" t="s">
        <v>26</v>
      </c>
      <c r="C9" s="237" t="s">
        <v>1717</v>
      </c>
      <c r="D9" s="316">
        <v>46062</v>
      </c>
      <c r="E9" s="297">
        <v>3660.56</v>
      </c>
      <c r="F9" s="297">
        <v>549.08000000000004</v>
      </c>
      <c r="G9" s="290">
        <v>1415.19</v>
      </c>
      <c r="H9" s="297">
        <v>466.72</v>
      </c>
      <c r="I9" s="291">
        <v>46174</v>
      </c>
      <c r="J9" s="50">
        <f>1415.19/1.15</f>
        <v>1230.6000000000001</v>
      </c>
      <c r="K9" s="47">
        <f t="shared" si="0"/>
        <v>112</v>
      </c>
      <c r="L9" s="5">
        <v>0.03</v>
      </c>
      <c r="M9" s="6">
        <f t="shared" si="1"/>
        <v>36.917999999999999</v>
      </c>
      <c r="O9" s="78"/>
    </row>
    <row r="10" spans="1:20" ht="15" customHeight="1" x14ac:dyDescent="0.3">
      <c r="A10" s="289" t="s">
        <v>54</v>
      </c>
      <c r="B10" s="236" t="s">
        <v>32</v>
      </c>
      <c r="C10" s="237" t="s">
        <v>1754</v>
      </c>
      <c r="D10" s="316">
        <v>46175</v>
      </c>
      <c r="E10" s="297">
        <v>-63</v>
      </c>
      <c r="F10" s="297">
        <v>-10.71</v>
      </c>
      <c r="G10" s="290">
        <v>60.13</v>
      </c>
      <c r="H10" s="297">
        <v>-7.84</v>
      </c>
      <c r="I10" s="291">
        <v>46175</v>
      </c>
      <c r="J10" s="50">
        <f>+E10-F10</f>
        <v>-52.29</v>
      </c>
      <c r="K10" s="47">
        <f t="shared" si="0"/>
        <v>0</v>
      </c>
      <c r="L10" s="5">
        <v>0.03</v>
      </c>
      <c r="M10" s="6">
        <f t="shared" si="1"/>
        <v>-1.5687</v>
      </c>
      <c r="O10" s="78"/>
    </row>
    <row r="11" spans="1:20" ht="15" customHeight="1" x14ac:dyDescent="0.3">
      <c r="A11" s="289" t="s">
        <v>1469</v>
      </c>
      <c r="B11" s="300" t="s">
        <v>120</v>
      </c>
      <c r="C11" s="237" t="s">
        <v>1748</v>
      </c>
      <c r="D11" s="316">
        <v>46136</v>
      </c>
      <c r="E11" s="297">
        <v>515.88</v>
      </c>
      <c r="F11" s="297">
        <v>77.38</v>
      </c>
      <c r="G11" s="290">
        <v>504.27</v>
      </c>
      <c r="H11" s="297">
        <v>65.77</v>
      </c>
      <c r="I11" s="291">
        <v>46175</v>
      </c>
      <c r="J11" s="50">
        <f>+E11-F11</f>
        <v>438.5</v>
      </c>
      <c r="K11" s="47">
        <f t="shared" si="0"/>
        <v>39</v>
      </c>
      <c r="L11" s="5">
        <v>0.03</v>
      </c>
      <c r="M11" s="6">
        <f t="shared" si="1"/>
        <v>13.154999999999999</v>
      </c>
      <c r="O11" s="78"/>
    </row>
    <row r="12" spans="1:20" ht="15" customHeight="1" x14ac:dyDescent="0.3">
      <c r="A12" s="289" t="s">
        <v>38</v>
      </c>
      <c r="B12" s="300" t="s">
        <v>18</v>
      </c>
      <c r="C12" s="237" t="s">
        <v>1764</v>
      </c>
      <c r="D12" s="316">
        <v>46135</v>
      </c>
      <c r="E12" s="297">
        <v>1884.96</v>
      </c>
      <c r="F12" s="297">
        <v>471.24</v>
      </c>
      <c r="G12" s="290">
        <v>1536.75</v>
      </c>
      <c r="H12" s="297">
        <v>212.06</v>
      </c>
      <c r="I12" s="291">
        <v>46176</v>
      </c>
      <c r="J12" s="50">
        <f>+E12-F12</f>
        <v>1413.72</v>
      </c>
      <c r="K12" s="47">
        <f t="shared" si="0"/>
        <v>41</v>
      </c>
      <c r="L12" s="5">
        <v>0.03</v>
      </c>
      <c r="M12" s="6">
        <f t="shared" si="1"/>
        <v>42.4116</v>
      </c>
      <c r="O12" s="78"/>
    </row>
    <row r="13" spans="1:20" ht="15" customHeight="1" x14ac:dyDescent="0.3">
      <c r="A13" s="289" t="s">
        <v>78</v>
      </c>
      <c r="B13" s="300" t="s">
        <v>18</v>
      </c>
      <c r="C13" s="237" t="s">
        <v>1749</v>
      </c>
      <c r="D13" s="316">
        <v>46176</v>
      </c>
      <c r="E13" s="297">
        <v>61.2</v>
      </c>
      <c r="F13" s="297">
        <v>9.18</v>
      </c>
      <c r="G13" s="290">
        <v>55.94</v>
      </c>
      <c r="H13" s="297">
        <v>7.8</v>
      </c>
      <c r="I13" s="291">
        <v>46177</v>
      </c>
      <c r="J13" s="50">
        <f>+E13-F13</f>
        <v>52.02</v>
      </c>
      <c r="K13" s="47">
        <f t="shared" si="0"/>
        <v>1</v>
      </c>
      <c r="L13" s="5">
        <v>3.5000000000000003E-2</v>
      </c>
      <c r="M13" s="6">
        <f t="shared" si="1"/>
        <v>1.8207000000000002</v>
      </c>
      <c r="O13" s="78"/>
      <c r="S13" s="15"/>
      <c r="T13" s="8"/>
    </row>
    <row r="14" spans="1:20" ht="15" customHeight="1" x14ac:dyDescent="0.3">
      <c r="A14" s="289" t="s">
        <v>42</v>
      </c>
      <c r="B14" s="236" t="s">
        <v>18</v>
      </c>
      <c r="C14" s="237" t="s">
        <v>1750</v>
      </c>
      <c r="D14" s="316">
        <v>46175</v>
      </c>
      <c r="E14" s="297">
        <v>17.399999999999999</v>
      </c>
      <c r="F14" s="297">
        <v>2.61</v>
      </c>
      <c r="G14" s="290">
        <v>16.04</v>
      </c>
      <c r="H14" s="297">
        <v>2.2200000000000002</v>
      </c>
      <c r="I14" s="291">
        <v>46177</v>
      </c>
      <c r="J14" s="50">
        <f>+E14-F14</f>
        <v>14.79</v>
      </c>
      <c r="K14" s="47">
        <f t="shared" si="0"/>
        <v>2</v>
      </c>
      <c r="L14" s="5">
        <v>3.5000000000000003E-2</v>
      </c>
      <c r="M14" s="6">
        <f t="shared" si="1"/>
        <v>0.51765000000000005</v>
      </c>
      <c r="O14" s="78"/>
      <c r="S14" s="15"/>
    </row>
    <row r="15" spans="1:20" ht="15" customHeight="1" x14ac:dyDescent="0.3">
      <c r="A15" s="289" t="s">
        <v>226</v>
      </c>
      <c r="B15" s="300" t="s">
        <v>18</v>
      </c>
      <c r="C15" s="237" t="s">
        <v>1684</v>
      </c>
      <c r="D15" s="316">
        <v>46171</v>
      </c>
      <c r="E15" s="297">
        <v>1212.1199999999999</v>
      </c>
      <c r="F15" s="297">
        <v>303.02999999999997</v>
      </c>
      <c r="G15" s="290">
        <v>80</v>
      </c>
      <c r="H15" s="297">
        <v>136.36000000000001</v>
      </c>
      <c r="I15" s="291">
        <v>46177</v>
      </c>
      <c r="J15" s="50">
        <f>80/1.15</f>
        <v>69.565217391304358</v>
      </c>
      <c r="K15" s="47">
        <f t="shared" si="0"/>
        <v>6</v>
      </c>
      <c r="L15" s="5">
        <v>3.5000000000000003E-2</v>
      </c>
      <c r="M15" s="6">
        <f t="shared" si="1"/>
        <v>2.4347826086956528</v>
      </c>
      <c r="O15" s="78"/>
    </row>
    <row r="16" spans="1:20" ht="15" customHeight="1" x14ac:dyDescent="0.3">
      <c r="A16" s="289" t="s">
        <v>225</v>
      </c>
      <c r="B16" s="300" t="s">
        <v>229</v>
      </c>
      <c r="C16" s="237" t="s">
        <v>1736</v>
      </c>
      <c r="D16" s="316">
        <v>46169</v>
      </c>
      <c r="E16" s="297">
        <v>142.08000000000001</v>
      </c>
      <c r="F16" s="297">
        <v>21.31</v>
      </c>
      <c r="G16" s="290">
        <v>138.88999999999999</v>
      </c>
      <c r="H16" s="297">
        <v>18.12</v>
      </c>
      <c r="I16" s="291">
        <v>46177</v>
      </c>
      <c r="J16" s="50">
        <f t="shared" ref="J16:J28" si="2">+E16-F16</f>
        <v>120.77000000000001</v>
      </c>
      <c r="K16" s="47">
        <f t="shared" si="0"/>
        <v>8</v>
      </c>
      <c r="L16" s="5">
        <v>3.5000000000000003E-2</v>
      </c>
      <c r="M16" s="6">
        <f t="shared" si="1"/>
        <v>4.2269500000000004</v>
      </c>
      <c r="O16" s="78"/>
    </row>
    <row r="17" spans="1:18" ht="15" customHeight="1" x14ac:dyDescent="0.3">
      <c r="A17" s="289" t="s">
        <v>54</v>
      </c>
      <c r="B17" s="236" t="s">
        <v>32</v>
      </c>
      <c r="C17" s="237" t="s">
        <v>1754</v>
      </c>
      <c r="D17" s="316">
        <v>46140</v>
      </c>
      <c r="E17" s="297">
        <v>1127.6400000000001</v>
      </c>
      <c r="F17" s="297">
        <v>191.7</v>
      </c>
      <c r="G17" s="290">
        <v>955.36</v>
      </c>
      <c r="H17" s="297">
        <v>140.38999999999999</v>
      </c>
      <c r="I17" s="291">
        <v>46178</v>
      </c>
      <c r="J17" s="50">
        <f t="shared" si="2"/>
        <v>935.94</v>
      </c>
      <c r="K17" s="47">
        <f t="shared" si="0"/>
        <v>38</v>
      </c>
      <c r="L17" s="5">
        <v>0.03</v>
      </c>
      <c r="M17" s="6">
        <f t="shared" si="1"/>
        <v>28.078199999999999</v>
      </c>
      <c r="O17" s="78"/>
    </row>
    <row r="18" spans="1:18" ht="15" customHeight="1" x14ac:dyDescent="0.3">
      <c r="A18" s="289" t="s">
        <v>47</v>
      </c>
      <c r="B18" s="300" t="s">
        <v>18</v>
      </c>
      <c r="C18" s="237" t="s">
        <v>1734</v>
      </c>
      <c r="D18" s="316">
        <v>46129</v>
      </c>
      <c r="E18" s="297">
        <v>295.8</v>
      </c>
      <c r="F18" s="297">
        <v>59.16</v>
      </c>
      <c r="G18" s="290">
        <v>272.14</v>
      </c>
      <c r="H18" s="297">
        <v>35.5</v>
      </c>
      <c r="I18" s="291">
        <v>46178</v>
      </c>
      <c r="J18" s="50">
        <f t="shared" si="2"/>
        <v>236.64000000000001</v>
      </c>
      <c r="K18" s="47">
        <f t="shared" si="0"/>
        <v>49</v>
      </c>
      <c r="L18" s="5">
        <v>0.03</v>
      </c>
      <c r="M18" s="6">
        <f t="shared" si="1"/>
        <v>7.0992000000000006</v>
      </c>
      <c r="O18" s="78"/>
    </row>
    <row r="19" spans="1:18" ht="15" customHeight="1" x14ac:dyDescent="0.3">
      <c r="A19" s="289" t="s">
        <v>89</v>
      </c>
      <c r="B19" s="309" t="s">
        <v>18</v>
      </c>
      <c r="C19" s="237" t="s">
        <v>1753</v>
      </c>
      <c r="D19" s="316">
        <v>46127</v>
      </c>
      <c r="E19" s="297">
        <v>357.48</v>
      </c>
      <c r="F19" s="297">
        <v>71.5</v>
      </c>
      <c r="G19" s="290">
        <v>310.29000000000002</v>
      </c>
      <c r="H19" s="297">
        <v>42.9</v>
      </c>
      <c r="I19" s="291">
        <v>46178</v>
      </c>
      <c r="J19" s="50">
        <f t="shared" si="2"/>
        <v>285.98</v>
      </c>
      <c r="K19" s="47">
        <f t="shared" si="0"/>
        <v>51</v>
      </c>
      <c r="L19" s="5">
        <v>0.03</v>
      </c>
      <c r="M19" s="6">
        <f t="shared" si="1"/>
        <v>8.5793999999999997</v>
      </c>
      <c r="O19" s="78"/>
    </row>
    <row r="20" spans="1:18" ht="15" customHeight="1" x14ac:dyDescent="0.3">
      <c r="A20" s="289" t="s">
        <v>1087</v>
      </c>
      <c r="B20" s="300" t="s">
        <v>61</v>
      </c>
      <c r="C20" s="237" t="s">
        <v>1735</v>
      </c>
      <c r="D20" s="316">
        <v>46160</v>
      </c>
      <c r="E20" s="297">
        <v>242.64</v>
      </c>
      <c r="F20" s="297">
        <v>36.4</v>
      </c>
      <c r="G20" s="290">
        <v>237.18</v>
      </c>
      <c r="H20" s="297">
        <v>30.94</v>
      </c>
      <c r="I20" s="291">
        <v>46181</v>
      </c>
      <c r="J20" s="50">
        <f t="shared" si="2"/>
        <v>206.23999999999998</v>
      </c>
      <c r="K20" s="47">
        <f t="shared" si="0"/>
        <v>21</v>
      </c>
      <c r="L20" s="5">
        <v>3.5000000000000003E-2</v>
      </c>
      <c r="M20" s="6">
        <f t="shared" si="1"/>
        <v>7.2183999999999999</v>
      </c>
      <c r="O20" s="78"/>
    </row>
    <row r="21" spans="1:18" ht="15" customHeight="1" x14ac:dyDescent="0.3">
      <c r="A21" s="289" t="s">
        <v>80</v>
      </c>
      <c r="B21" s="300" t="s">
        <v>18</v>
      </c>
      <c r="C21" s="237" t="s">
        <v>1745</v>
      </c>
      <c r="D21" s="316">
        <v>46148</v>
      </c>
      <c r="E21" s="297">
        <v>816</v>
      </c>
      <c r="F21" s="297">
        <v>163.19999999999999</v>
      </c>
      <c r="G21" s="290">
        <v>708.28</v>
      </c>
      <c r="H21" s="297">
        <v>97.92</v>
      </c>
      <c r="I21" s="291">
        <v>46182</v>
      </c>
      <c r="J21" s="50">
        <f t="shared" si="2"/>
        <v>652.79999999999995</v>
      </c>
      <c r="K21" s="47">
        <f t="shared" si="0"/>
        <v>34</v>
      </c>
      <c r="L21" s="5">
        <v>0.03</v>
      </c>
      <c r="M21" s="6">
        <f t="shared" si="1"/>
        <v>19.584</v>
      </c>
      <c r="O21" s="78"/>
    </row>
    <row r="22" spans="1:18" ht="15" customHeight="1" x14ac:dyDescent="0.3">
      <c r="A22" s="289" t="s">
        <v>80</v>
      </c>
      <c r="B22" s="309" t="s">
        <v>18</v>
      </c>
      <c r="C22" s="237" t="s">
        <v>1744</v>
      </c>
      <c r="D22" s="316">
        <v>46140</v>
      </c>
      <c r="E22" s="297">
        <v>102</v>
      </c>
      <c r="F22" s="297">
        <v>20.399999999999999</v>
      </c>
      <c r="G22" s="290">
        <v>88.54</v>
      </c>
      <c r="H22" s="297">
        <v>12.24</v>
      </c>
      <c r="I22" s="291">
        <v>46182</v>
      </c>
      <c r="J22" s="50">
        <f t="shared" si="2"/>
        <v>81.599999999999994</v>
      </c>
      <c r="K22" s="47">
        <f t="shared" si="0"/>
        <v>42</v>
      </c>
      <c r="L22" s="5">
        <v>0.03</v>
      </c>
      <c r="M22" s="6">
        <f t="shared" si="1"/>
        <v>2.448</v>
      </c>
      <c r="O22" s="78"/>
    </row>
    <row r="23" spans="1:18" ht="15" customHeight="1" x14ac:dyDescent="0.3">
      <c r="A23" s="289" t="s">
        <v>80</v>
      </c>
      <c r="B23" s="300" t="s">
        <v>18</v>
      </c>
      <c r="C23" s="237" t="s">
        <v>1743</v>
      </c>
      <c r="D23" s="316">
        <v>46139</v>
      </c>
      <c r="E23" s="297">
        <v>510</v>
      </c>
      <c r="F23" s="297">
        <v>102</v>
      </c>
      <c r="G23" s="290">
        <v>442.68</v>
      </c>
      <c r="H23" s="297">
        <v>61.2</v>
      </c>
      <c r="I23" s="291">
        <v>46182</v>
      </c>
      <c r="J23" s="50">
        <f t="shared" si="2"/>
        <v>408</v>
      </c>
      <c r="K23" s="47">
        <f t="shared" si="0"/>
        <v>43</v>
      </c>
      <c r="L23" s="5">
        <v>0.03</v>
      </c>
      <c r="M23" s="6">
        <f t="shared" si="1"/>
        <v>12.24</v>
      </c>
      <c r="O23" s="78"/>
    </row>
    <row r="24" spans="1:18" ht="15" customHeight="1" x14ac:dyDescent="0.3">
      <c r="A24" s="289" t="s">
        <v>132</v>
      </c>
      <c r="B24" s="300" t="s">
        <v>18</v>
      </c>
      <c r="C24" s="237" t="s">
        <v>1752</v>
      </c>
      <c r="D24" s="316">
        <v>46122</v>
      </c>
      <c r="E24" s="297">
        <v>157.91999999999999</v>
      </c>
      <c r="F24" s="297">
        <v>23.69</v>
      </c>
      <c r="G24" s="290">
        <v>154.36000000000001</v>
      </c>
      <c r="H24" s="297">
        <v>20.13</v>
      </c>
      <c r="I24" s="291">
        <v>46182</v>
      </c>
      <c r="J24" s="50">
        <f t="shared" si="2"/>
        <v>134.22999999999999</v>
      </c>
      <c r="K24" s="47">
        <f t="shared" si="0"/>
        <v>60</v>
      </c>
      <c r="L24" s="5">
        <v>0.03</v>
      </c>
      <c r="M24" s="6">
        <f t="shared" si="1"/>
        <v>4.0268999999999995</v>
      </c>
      <c r="O24" s="78"/>
    </row>
    <row r="25" spans="1:18" ht="15" customHeight="1" x14ac:dyDescent="0.3">
      <c r="A25" s="289" t="s">
        <v>1732</v>
      </c>
      <c r="B25" s="300" t="s">
        <v>57</v>
      </c>
      <c r="C25" s="237" t="s">
        <v>1738</v>
      </c>
      <c r="D25" s="316">
        <v>46183</v>
      </c>
      <c r="E25" s="297">
        <v>326.04000000000002</v>
      </c>
      <c r="F25" s="297">
        <v>48.91</v>
      </c>
      <c r="G25" s="290">
        <v>318.7</v>
      </c>
      <c r="H25" s="297">
        <v>41.57</v>
      </c>
      <c r="I25" s="291">
        <v>46183</v>
      </c>
      <c r="J25" s="50">
        <f t="shared" si="2"/>
        <v>277.13</v>
      </c>
      <c r="K25" s="47">
        <f t="shared" si="0"/>
        <v>0</v>
      </c>
      <c r="L25" s="5">
        <v>0.04</v>
      </c>
      <c r="M25" s="6">
        <f t="shared" si="1"/>
        <v>11.0852</v>
      </c>
      <c r="O25" s="78"/>
    </row>
    <row r="26" spans="1:18" ht="15" customHeight="1" x14ac:dyDescent="0.3">
      <c r="A26" s="289" t="s">
        <v>1541</v>
      </c>
      <c r="B26" s="300" t="s">
        <v>18</v>
      </c>
      <c r="C26" s="237" t="s">
        <v>1739</v>
      </c>
      <c r="D26" s="316">
        <v>46183</v>
      </c>
      <c r="E26" s="297">
        <v>91.8</v>
      </c>
      <c r="F26" s="297">
        <v>13.77</v>
      </c>
      <c r="G26" s="290">
        <v>84.66</v>
      </c>
      <c r="H26" s="297">
        <v>11.7</v>
      </c>
      <c r="I26" s="291">
        <v>46183</v>
      </c>
      <c r="J26" s="50">
        <f t="shared" si="2"/>
        <v>78.03</v>
      </c>
      <c r="K26" s="47">
        <f t="shared" si="0"/>
        <v>0</v>
      </c>
      <c r="L26" s="5">
        <v>0.04</v>
      </c>
      <c r="M26" s="6">
        <f t="shared" si="1"/>
        <v>3.1212</v>
      </c>
      <c r="O26" s="78"/>
    </row>
    <row r="27" spans="1:18" ht="15" customHeight="1" x14ac:dyDescent="0.3">
      <c r="A27" s="289" t="s">
        <v>69</v>
      </c>
      <c r="B27" s="300" t="s">
        <v>64</v>
      </c>
      <c r="C27" s="237" t="s">
        <v>1737</v>
      </c>
      <c r="D27" s="316">
        <v>46175</v>
      </c>
      <c r="E27" s="297">
        <v>73.92</v>
      </c>
      <c r="F27" s="297">
        <v>11.09</v>
      </c>
      <c r="G27" s="290">
        <v>72.25</v>
      </c>
      <c r="H27" s="297">
        <v>9.42</v>
      </c>
      <c r="I27" s="291">
        <v>46183</v>
      </c>
      <c r="J27" s="50">
        <f t="shared" si="2"/>
        <v>62.83</v>
      </c>
      <c r="K27" s="47">
        <f t="shared" si="0"/>
        <v>8</v>
      </c>
      <c r="L27" s="5">
        <v>3.5000000000000003E-2</v>
      </c>
      <c r="M27" s="6">
        <f t="shared" si="1"/>
        <v>2.1990500000000002</v>
      </c>
      <c r="O27" s="78"/>
    </row>
    <row r="28" spans="1:18" ht="15" customHeight="1" x14ac:dyDescent="0.3">
      <c r="A28" s="289" t="s">
        <v>94</v>
      </c>
      <c r="B28" s="300" t="s">
        <v>18</v>
      </c>
      <c r="C28" s="237" t="s">
        <v>1751</v>
      </c>
      <c r="D28" s="316">
        <v>46150</v>
      </c>
      <c r="E28" s="297">
        <v>118.8</v>
      </c>
      <c r="F28" s="297">
        <v>17.82</v>
      </c>
      <c r="G28" s="290">
        <v>116.13</v>
      </c>
      <c r="H28" s="297">
        <v>15.15</v>
      </c>
      <c r="I28" s="291">
        <v>46183</v>
      </c>
      <c r="J28" s="50">
        <f t="shared" si="2"/>
        <v>100.97999999999999</v>
      </c>
      <c r="K28" s="47">
        <f t="shared" si="0"/>
        <v>33</v>
      </c>
      <c r="L28" s="5">
        <v>0.03</v>
      </c>
      <c r="M28" s="6">
        <f t="shared" si="1"/>
        <v>3.0293999999999994</v>
      </c>
      <c r="O28" s="78"/>
    </row>
    <row r="29" spans="1:18" ht="15" customHeight="1" x14ac:dyDescent="0.3">
      <c r="A29" s="289" t="s">
        <v>77</v>
      </c>
      <c r="B29" s="236" t="s">
        <v>1511</v>
      </c>
      <c r="C29" s="237" t="s">
        <v>1740</v>
      </c>
      <c r="D29" s="316">
        <v>46108</v>
      </c>
      <c r="E29" s="297">
        <v>655.8</v>
      </c>
      <c r="F29" s="297">
        <v>131.16</v>
      </c>
      <c r="G29" s="290">
        <v>200.24</v>
      </c>
      <c r="H29" s="297">
        <v>78.7</v>
      </c>
      <c r="I29" s="291">
        <v>46183</v>
      </c>
      <c r="J29" s="50">
        <f>200.24/1.15</f>
        <v>174.1217391304348</v>
      </c>
      <c r="K29" s="47">
        <f t="shared" si="0"/>
        <v>75</v>
      </c>
      <c r="L29" s="5">
        <v>0.03</v>
      </c>
      <c r="M29" s="6">
        <f t="shared" si="1"/>
        <v>5.2236521739130444</v>
      </c>
      <c r="O29" s="78"/>
    </row>
    <row r="30" spans="1:18" ht="15" customHeight="1" x14ac:dyDescent="0.3">
      <c r="A30" s="289" t="s">
        <v>55</v>
      </c>
      <c r="B30" s="293" t="s">
        <v>30</v>
      </c>
      <c r="C30" s="237" t="s">
        <v>1741</v>
      </c>
      <c r="D30" s="316">
        <v>46169</v>
      </c>
      <c r="E30" s="297">
        <v>137.88</v>
      </c>
      <c r="F30" s="297">
        <v>27.58</v>
      </c>
      <c r="G30" s="290">
        <v>126.85</v>
      </c>
      <c r="H30" s="297">
        <v>16.55</v>
      </c>
      <c r="I30" s="291">
        <v>46184</v>
      </c>
      <c r="J30" s="50">
        <f>+E30-F30</f>
        <v>110.3</v>
      </c>
      <c r="K30" s="47">
        <f t="shared" si="0"/>
        <v>15</v>
      </c>
      <c r="L30" s="5">
        <v>3.5000000000000003E-2</v>
      </c>
      <c r="M30" s="6">
        <f t="shared" si="1"/>
        <v>3.8605000000000005</v>
      </c>
      <c r="O30" s="78"/>
      <c r="R30" s="8"/>
    </row>
    <row r="31" spans="1:18" ht="15" customHeight="1" x14ac:dyDescent="0.3">
      <c r="A31" s="289" t="s">
        <v>69</v>
      </c>
      <c r="B31" s="300" t="s">
        <v>64</v>
      </c>
      <c r="C31" s="237" t="s">
        <v>1742</v>
      </c>
      <c r="D31" s="316">
        <v>46183</v>
      </c>
      <c r="E31" s="297">
        <v>114.24</v>
      </c>
      <c r="F31" s="297">
        <v>17.14</v>
      </c>
      <c r="G31" s="290">
        <v>111.67</v>
      </c>
      <c r="H31" s="297">
        <v>14.57</v>
      </c>
      <c r="I31" s="291">
        <v>46185</v>
      </c>
      <c r="J31" s="50">
        <f>+E31-F31</f>
        <v>97.1</v>
      </c>
      <c r="K31" s="47">
        <f t="shared" si="0"/>
        <v>2</v>
      </c>
      <c r="L31" s="5">
        <v>3.5000000000000003E-2</v>
      </c>
      <c r="M31" s="6">
        <f t="shared" si="1"/>
        <v>3.3985000000000003</v>
      </c>
      <c r="O31" s="78"/>
    </row>
    <row r="32" spans="1:18" ht="15" customHeight="1" x14ac:dyDescent="0.3">
      <c r="A32" s="289" t="s">
        <v>1733</v>
      </c>
      <c r="B32" s="300" t="s">
        <v>18</v>
      </c>
      <c r="C32" s="237" t="s">
        <v>1747</v>
      </c>
      <c r="D32" s="316">
        <v>46188</v>
      </c>
      <c r="E32" s="297">
        <v>81.599999999999994</v>
      </c>
      <c r="F32" s="297">
        <v>8.16</v>
      </c>
      <c r="G32" s="290">
        <v>84.46</v>
      </c>
      <c r="H32" s="297">
        <v>11.02</v>
      </c>
      <c r="I32" s="291">
        <v>46188</v>
      </c>
      <c r="J32" s="50">
        <f>+E32-F32</f>
        <v>73.44</v>
      </c>
      <c r="K32" s="47">
        <f t="shared" si="0"/>
        <v>0</v>
      </c>
      <c r="L32" s="5">
        <v>0.04</v>
      </c>
      <c r="M32" s="6">
        <f t="shared" si="1"/>
        <v>2.9375999999999998</v>
      </c>
      <c r="O32" s="78"/>
    </row>
    <row r="33" spans="1:15" ht="15" customHeight="1" x14ac:dyDescent="0.3">
      <c r="A33" s="289" t="s">
        <v>80</v>
      </c>
      <c r="B33" s="309" t="s">
        <v>18</v>
      </c>
      <c r="C33" s="237" t="s">
        <v>1746</v>
      </c>
      <c r="D33" s="316">
        <v>46154</v>
      </c>
      <c r="E33" s="297">
        <v>612</v>
      </c>
      <c r="F33" s="297">
        <v>122.4</v>
      </c>
      <c r="G33" s="290">
        <v>531.22</v>
      </c>
      <c r="H33" s="297">
        <v>73.44</v>
      </c>
      <c r="I33" s="291">
        <v>46188</v>
      </c>
      <c r="J33" s="50">
        <f>+E33-F33</f>
        <v>489.6</v>
      </c>
      <c r="K33" s="47">
        <f t="shared" si="0"/>
        <v>34</v>
      </c>
      <c r="L33" s="5">
        <v>0.03</v>
      </c>
      <c r="M33" s="6">
        <f t="shared" si="1"/>
        <v>14.688000000000001</v>
      </c>
      <c r="O33" s="78"/>
    </row>
    <row r="34" spans="1:15" ht="15" customHeight="1" x14ac:dyDescent="0.3">
      <c r="A34" s="289" t="s">
        <v>93</v>
      </c>
      <c r="B34" s="293" t="s">
        <v>95</v>
      </c>
      <c r="C34" s="237" t="s">
        <v>1712</v>
      </c>
      <c r="D34" s="316">
        <v>46118</v>
      </c>
      <c r="E34" s="297">
        <v>485.4</v>
      </c>
      <c r="F34" s="297">
        <v>72.81</v>
      </c>
      <c r="G34" s="290">
        <v>158.16</v>
      </c>
      <c r="H34" s="297">
        <v>61.89</v>
      </c>
      <c r="I34" s="291">
        <v>46188</v>
      </c>
      <c r="J34" s="50">
        <f>158.16/1.15</f>
        <v>137.53043478260869</v>
      </c>
      <c r="K34" s="47">
        <f t="shared" si="0"/>
        <v>70</v>
      </c>
      <c r="L34" s="5">
        <v>0.03</v>
      </c>
      <c r="M34" s="6">
        <f t="shared" si="1"/>
        <v>4.1259130434782607</v>
      </c>
      <c r="O34" s="78"/>
    </row>
    <row r="35" spans="1:15" ht="15" customHeight="1" x14ac:dyDescent="0.3">
      <c r="A35" s="289" t="s">
        <v>1468</v>
      </c>
      <c r="B35" s="309" t="s">
        <v>57</v>
      </c>
      <c r="C35" s="237" t="s">
        <v>1755</v>
      </c>
      <c r="D35" s="316">
        <v>46170</v>
      </c>
      <c r="E35" s="297">
        <v>11.88</v>
      </c>
      <c r="F35" s="297">
        <v>1.78</v>
      </c>
      <c r="G35" s="290">
        <v>11.61</v>
      </c>
      <c r="H35" s="297">
        <v>1.51</v>
      </c>
      <c r="I35" s="291">
        <v>46191</v>
      </c>
      <c r="J35" s="50">
        <f>+E35-F35</f>
        <v>10.100000000000001</v>
      </c>
      <c r="K35" s="47">
        <f t="shared" si="0"/>
        <v>21</v>
      </c>
      <c r="L35" s="5">
        <v>3.5000000000000003E-2</v>
      </c>
      <c r="M35" s="6">
        <f t="shared" si="1"/>
        <v>0.35350000000000009</v>
      </c>
      <c r="O35" s="78"/>
    </row>
    <row r="36" spans="1:15" ht="15" customHeight="1" x14ac:dyDescent="0.3">
      <c r="A36" s="289" t="s">
        <v>1468</v>
      </c>
      <c r="B36" s="300" t="s">
        <v>57</v>
      </c>
      <c r="C36" s="237" t="s">
        <v>1756</v>
      </c>
      <c r="D36" s="316">
        <v>46169</v>
      </c>
      <c r="E36" s="297">
        <v>164.04</v>
      </c>
      <c r="F36" s="297">
        <v>24.61</v>
      </c>
      <c r="G36" s="290">
        <v>160.35</v>
      </c>
      <c r="H36" s="297">
        <v>20.92</v>
      </c>
      <c r="I36" s="291">
        <v>46191</v>
      </c>
      <c r="J36" s="50">
        <f>+E36-F36</f>
        <v>139.43</v>
      </c>
      <c r="K36" s="47">
        <f t="shared" si="0"/>
        <v>22</v>
      </c>
      <c r="L36" s="5">
        <v>3.5000000000000003E-2</v>
      </c>
      <c r="M36" s="6">
        <f t="shared" si="1"/>
        <v>4.8800500000000007</v>
      </c>
      <c r="O36" s="78"/>
    </row>
    <row r="37" spans="1:15" ht="15" customHeight="1" x14ac:dyDescent="0.3">
      <c r="A37" s="289" t="s">
        <v>110</v>
      </c>
      <c r="B37" s="317" t="s">
        <v>95</v>
      </c>
      <c r="C37" s="237" t="s">
        <v>1762</v>
      </c>
      <c r="D37" s="316">
        <v>46169</v>
      </c>
      <c r="E37" s="297">
        <v>322.2</v>
      </c>
      <c r="F37" s="297">
        <v>48.33</v>
      </c>
      <c r="G37" s="290">
        <v>297.14999999999998</v>
      </c>
      <c r="H37" s="297">
        <v>41.08</v>
      </c>
      <c r="I37" s="291">
        <v>46192</v>
      </c>
      <c r="J37" s="50">
        <f>+E37-F37</f>
        <v>273.87</v>
      </c>
      <c r="K37" s="47">
        <f t="shared" si="0"/>
        <v>23</v>
      </c>
      <c r="L37" s="5">
        <v>3.5000000000000003E-2</v>
      </c>
      <c r="M37" s="6">
        <f t="shared" si="1"/>
        <v>9.5854500000000016</v>
      </c>
      <c r="O37" s="78"/>
    </row>
    <row r="38" spans="1:15" ht="15" customHeight="1" x14ac:dyDescent="0.3">
      <c r="A38" s="289" t="s">
        <v>93</v>
      </c>
      <c r="B38" s="236" t="s">
        <v>95</v>
      </c>
      <c r="C38" s="237" t="s">
        <v>1712</v>
      </c>
      <c r="D38" s="316">
        <v>46118</v>
      </c>
      <c r="E38" s="297">
        <v>485.4</v>
      </c>
      <c r="F38" s="297">
        <v>72.81</v>
      </c>
      <c r="G38" s="290">
        <v>158.16</v>
      </c>
      <c r="H38" s="297">
        <v>61.89</v>
      </c>
      <c r="I38" s="291">
        <v>46192</v>
      </c>
      <c r="J38" s="50">
        <f>158.16/1.15</f>
        <v>137.53043478260869</v>
      </c>
      <c r="K38" s="47">
        <f t="shared" si="0"/>
        <v>74</v>
      </c>
      <c r="L38" s="5">
        <v>0.03</v>
      </c>
      <c r="M38" s="6">
        <f t="shared" si="1"/>
        <v>4.1259130434782607</v>
      </c>
      <c r="O38" s="78"/>
    </row>
    <row r="39" spans="1:15" ht="15" customHeight="1" x14ac:dyDescent="0.3">
      <c r="A39" s="289" t="s">
        <v>110</v>
      </c>
      <c r="B39" s="236" t="s">
        <v>95</v>
      </c>
      <c r="C39" s="237" t="s">
        <v>1761</v>
      </c>
      <c r="D39" s="316">
        <v>46118</v>
      </c>
      <c r="E39" s="297">
        <v>891.24</v>
      </c>
      <c r="F39" s="297">
        <v>133.69</v>
      </c>
      <c r="G39" s="290">
        <v>821.94</v>
      </c>
      <c r="H39" s="297">
        <v>113.63</v>
      </c>
      <c r="I39" s="291">
        <v>46192</v>
      </c>
      <c r="J39" s="50">
        <f>+E39-F39</f>
        <v>757.55</v>
      </c>
      <c r="K39" s="47">
        <f t="shared" si="0"/>
        <v>74</v>
      </c>
      <c r="L39" s="5">
        <v>0.03</v>
      </c>
      <c r="M39" s="6">
        <f t="shared" si="1"/>
        <v>22.726499999999998</v>
      </c>
      <c r="O39" s="78"/>
    </row>
    <row r="40" spans="1:15" ht="15" customHeight="1" x14ac:dyDescent="0.3">
      <c r="A40" s="289" t="s">
        <v>129</v>
      </c>
      <c r="B40" s="236" t="s">
        <v>30</v>
      </c>
      <c r="C40" s="237" t="s">
        <v>1763</v>
      </c>
      <c r="D40" s="316">
        <v>46108</v>
      </c>
      <c r="E40" s="297">
        <v>162.12</v>
      </c>
      <c r="F40" s="297">
        <v>24.32</v>
      </c>
      <c r="G40" s="290">
        <v>158.47</v>
      </c>
      <c r="H40" s="297">
        <v>20.67</v>
      </c>
      <c r="I40" s="291">
        <v>46195</v>
      </c>
      <c r="J40" s="50">
        <f>+E40-F40</f>
        <v>137.80000000000001</v>
      </c>
      <c r="K40" s="47">
        <f t="shared" si="0"/>
        <v>87</v>
      </c>
      <c r="L40" s="5">
        <v>0.03</v>
      </c>
      <c r="M40" s="6">
        <f t="shared" si="1"/>
        <v>4.1340000000000003</v>
      </c>
      <c r="O40" s="78"/>
    </row>
    <row r="41" spans="1:15" ht="15" customHeight="1" x14ac:dyDescent="0.3">
      <c r="A41" s="289" t="s">
        <v>226</v>
      </c>
      <c r="B41" s="318" t="s">
        <v>18</v>
      </c>
      <c r="C41" s="237" t="s">
        <v>1684</v>
      </c>
      <c r="D41" s="316">
        <v>46171</v>
      </c>
      <c r="E41" s="297">
        <v>1212.1199999999999</v>
      </c>
      <c r="F41" s="297">
        <v>303.02999999999997</v>
      </c>
      <c r="G41" s="290">
        <v>5.45</v>
      </c>
      <c r="H41" s="297">
        <v>136.36000000000001</v>
      </c>
      <c r="I41" s="291">
        <v>46198</v>
      </c>
      <c r="J41" s="50">
        <f>5.45/1.15</f>
        <v>4.7391304347826093</v>
      </c>
      <c r="K41" s="47">
        <f t="shared" si="0"/>
        <v>27</v>
      </c>
      <c r="L41" s="5">
        <v>3.5000000000000003E-2</v>
      </c>
      <c r="M41" s="6">
        <f t="shared" si="1"/>
        <v>0.16586956521739135</v>
      </c>
      <c r="O41" s="78"/>
    </row>
    <row r="42" spans="1:15" ht="15" customHeight="1" x14ac:dyDescent="0.3">
      <c r="A42" s="289" t="s">
        <v>77</v>
      </c>
      <c r="B42" s="236" t="s">
        <v>1511</v>
      </c>
      <c r="C42" s="237" t="s">
        <v>1740</v>
      </c>
      <c r="D42" s="316">
        <v>46108</v>
      </c>
      <c r="E42" s="297">
        <v>655.8</v>
      </c>
      <c r="F42" s="297">
        <v>131.16</v>
      </c>
      <c r="G42" s="290">
        <v>200.24</v>
      </c>
      <c r="H42" s="297">
        <v>78.7</v>
      </c>
      <c r="I42" s="291">
        <v>46199</v>
      </c>
      <c r="J42" s="50">
        <f>200.24/1.15</f>
        <v>174.1217391304348</v>
      </c>
      <c r="K42" s="47">
        <f t="shared" si="0"/>
        <v>91</v>
      </c>
      <c r="L42" s="5">
        <v>0.03</v>
      </c>
      <c r="M42" s="6">
        <f t="shared" si="1"/>
        <v>5.2236521739130444</v>
      </c>
      <c r="O42" s="78"/>
    </row>
    <row r="43" spans="1:15" ht="15" customHeight="1" x14ac:dyDescent="0.3">
      <c r="A43" s="289" t="s">
        <v>93</v>
      </c>
      <c r="B43" s="236" t="s">
        <v>95</v>
      </c>
      <c r="C43" s="237" t="s">
        <v>1712</v>
      </c>
      <c r="D43" s="316">
        <v>46118</v>
      </c>
      <c r="E43" s="297">
        <v>485.4</v>
      </c>
      <c r="F43" s="297">
        <v>72.81</v>
      </c>
      <c r="G43" s="290">
        <v>158.16</v>
      </c>
      <c r="H43" s="297">
        <v>61.89</v>
      </c>
      <c r="I43" s="291">
        <v>46202</v>
      </c>
      <c r="J43" s="50">
        <f>158.16/1.15</f>
        <v>137.53043478260869</v>
      </c>
      <c r="K43" s="47">
        <f t="shared" si="0"/>
        <v>84</v>
      </c>
      <c r="L43" s="5">
        <v>0.03</v>
      </c>
      <c r="M43" s="6">
        <f t="shared" si="1"/>
        <v>4.1259130434782607</v>
      </c>
      <c r="O43" s="78"/>
    </row>
    <row r="44" spans="1:15" ht="15" customHeight="1" x14ac:dyDescent="0.3">
      <c r="A44" s="289" t="s">
        <v>90</v>
      </c>
      <c r="B44" s="236" t="s">
        <v>18</v>
      </c>
      <c r="C44" s="237" t="s">
        <v>1759</v>
      </c>
      <c r="D44" s="316">
        <v>46111</v>
      </c>
      <c r="E44" s="297">
        <v>40.799999999999997</v>
      </c>
      <c r="F44" s="297">
        <v>6.12</v>
      </c>
      <c r="G44" s="290">
        <v>39.880000000000003</v>
      </c>
      <c r="H44" s="297">
        <v>5.2</v>
      </c>
      <c r="I44" s="291">
        <v>46202</v>
      </c>
      <c r="J44" s="50">
        <f>+E44-F44</f>
        <v>34.68</v>
      </c>
      <c r="K44" s="47">
        <f t="shared" si="0"/>
        <v>91</v>
      </c>
      <c r="L44" s="5">
        <v>0.03</v>
      </c>
      <c r="M44" s="6">
        <f t="shared" si="1"/>
        <v>1.0404</v>
      </c>
      <c r="O44" s="78"/>
    </row>
    <row r="45" spans="1:15" ht="15" customHeight="1" x14ac:dyDescent="0.3">
      <c r="A45" s="289" t="s">
        <v>90</v>
      </c>
      <c r="B45" s="236" t="s">
        <v>18</v>
      </c>
      <c r="C45" s="237" t="s">
        <v>1758</v>
      </c>
      <c r="D45" s="316">
        <v>46108</v>
      </c>
      <c r="E45" s="297">
        <v>177</v>
      </c>
      <c r="F45" s="297">
        <v>26.55</v>
      </c>
      <c r="G45" s="290">
        <v>173.02</v>
      </c>
      <c r="H45" s="297">
        <v>22.57</v>
      </c>
      <c r="I45" s="291">
        <v>46202</v>
      </c>
      <c r="J45" s="50">
        <f>+E45-F45</f>
        <v>150.44999999999999</v>
      </c>
      <c r="K45" s="47">
        <f t="shared" si="0"/>
        <v>94</v>
      </c>
      <c r="L45" s="5">
        <v>0.03</v>
      </c>
      <c r="M45" s="6">
        <f t="shared" si="1"/>
        <v>4.5134999999999996</v>
      </c>
      <c r="O45" s="78"/>
    </row>
    <row r="46" spans="1:15" ht="15" customHeight="1" x14ac:dyDescent="0.3">
      <c r="A46" s="289" t="s">
        <v>79</v>
      </c>
      <c r="B46" s="236" t="s">
        <v>30</v>
      </c>
      <c r="C46" s="237" t="s">
        <v>1760</v>
      </c>
      <c r="D46" s="316">
        <v>46108</v>
      </c>
      <c r="E46" s="297">
        <v>629.69000000000005</v>
      </c>
      <c r="F46" s="297">
        <v>94.45</v>
      </c>
      <c r="G46" s="290">
        <v>580.75</v>
      </c>
      <c r="H46" s="297">
        <v>80.290000000000006</v>
      </c>
      <c r="I46" s="291">
        <v>46202</v>
      </c>
      <c r="J46" s="50">
        <f>+E46-F46</f>
        <v>535.24</v>
      </c>
      <c r="K46" s="47">
        <f t="shared" si="0"/>
        <v>94</v>
      </c>
      <c r="L46" s="5">
        <v>0.03</v>
      </c>
      <c r="M46" s="6">
        <f t="shared" si="1"/>
        <v>16.057199999999998</v>
      </c>
      <c r="O46" s="78"/>
    </row>
    <row r="47" spans="1:15" ht="15" customHeight="1" x14ac:dyDescent="0.3">
      <c r="A47" s="289" t="s">
        <v>115</v>
      </c>
      <c r="B47" s="236" t="s">
        <v>18</v>
      </c>
      <c r="C47" s="237" t="s">
        <v>1757</v>
      </c>
      <c r="D47" s="316">
        <v>46108</v>
      </c>
      <c r="E47" s="297">
        <v>2724.84</v>
      </c>
      <c r="F47" s="297">
        <v>544.97</v>
      </c>
      <c r="G47" s="290">
        <v>1815.16</v>
      </c>
      <c r="H47" s="297">
        <v>326.98</v>
      </c>
      <c r="I47" s="291">
        <v>46203</v>
      </c>
      <c r="J47" s="50">
        <f>+E47-F47</f>
        <v>2179.87</v>
      </c>
      <c r="K47" s="47">
        <f t="shared" si="0"/>
        <v>95</v>
      </c>
      <c r="L47" s="5">
        <v>0.03</v>
      </c>
      <c r="M47" s="6">
        <f t="shared" si="1"/>
        <v>65.39609999999999</v>
      </c>
      <c r="O47" s="78"/>
    </row>
    <row r="48" spans="1:15" ht="15" customHeight="1" x14ac:dyDescent="0.25">
      <c r="A48" s="171"/>
      <c r="B48" s="160"/>
      <c r="C48" s="171"/>
      <c r="D48" s="201"/>
      <c r="E48" s="87"/>
      <c r="F48" s="87"/>
      <c r="G48" s="94"/>
      <c r="H48" s="87"/>
      <c r="I48" s="106"/>
      <c r="J48" s="50"/>
      <c r="K48" s="47"/>
      <c r="L48" s="5"/>
      <c r="M48" s="6"/>
      <c r="O48" s="78"/>
    </row>
    <row r="49" spans="1:15" ht="15" customHeight="1" x14ac:dyDescent="0.3">
      <c r="G49" s="16">
        <f>SUM(G8:G48)</f>
        <v>13660.719999999998</v>
      </c>
      <c r="J49" s="16">
        <f>SUM(J8:J48)</f>
        <v>12763.948695652176</v>
      </c>
      <c r="M49" s="16">
        <f>SUM(M8:M48)</f>
        <v>394.3175804347826</v>
      </c>
      <c r="O49" s="78"/>
    </row>
    <row r="50" spans="1:15" ht="15" customHeight="1" x14ac:dyDescent="0.25">
      <c r="G50" s="8"/>
      <c r="H50" s="8"/>
      <c r="O50" s="78"/>
    </row>
    <row r="51" spans="1:15" ht="15" customHeight="1" x14ac:dyDescent="0.25">
      <c r="A51" s="17" t="s">
        <v>19</v>
      </c>
      <c r="B51" s="18" t="s">
        <v>20</v>
      </c>
      <c r="C51" s="18" t="s">
        <v>21</v>
      </c>
      <c r="J51" s="8"/>
      <c r="O51" s="78"/>
    </row>
    <row r="52" spans="1:15" s="52" customFormat="1" ht="14.4" x14ac:dyDescent="0.3">
      <c r="A52" s="289" t="s">
        <v>40</v>
      </c>
      <c r="B52" s="236" t="s">
        <v>1765</v>
      </c>
      <c r="C52" s="237" t="s">
        <v>1768</v>
      </c>
      <c r="D52" s="291">
        <v>46177</v>
      </c>
      <c r="E52" s="297">
        <v>1177.2</v>
      </c>
      <c r="F52" s="297">
        <v>294.3</v>
      </c>
      <c r="G52" s="290">
        <v>957.95</v>
      </c>
      <c r="H52" s="297">
        <v>132.44</v>
      </c>
      <c r="I52" s="291">
        <v>46209</v>
      </c>
      <c r="J52" s="50">
        <f>+E52-F52</f>
        <v>882.90000000000009</v>
      </c>
      <c r="K52" s="47">
        <f t="shared" ref="K52:K54" si="3">+I52-D52</f>
        <v>32</v>
      </c>
      <c r="L52" s="48">
        <v>0.03</v>
      </c>
      <c r="M52" s="49">
        <f t="shared" ref="M52:M54" si="4">+J52*L52</f>
        <v>26.487000000000002</v>
      </c>
      <c r="N52" s="60"/>
      <c r="O52" s="78"/>
    </row>
    <row r="53" spans="1:15" s="52" customFormat="1" ht="14.4" x14ac:dyDescent="0.3">
      <c r="A53" s="289" t="s">
        <v>1003</v>
      </c>
      <c r="B53" s="236" t="s">
        <v>1766</v>
      </c>
      <c r="C53" s="237" t="s">
        <v>1769</v>
      </c>
      <c r="D53" s="291">
        <v>46190</v>
      </c>
      <c r="E53" s="297">
        <v>105.6</v>
      </c>
      <c r="F53" s="297">
        <v>15.84</v>
      </c>
      <c r="G53" s="290">
        <v>103.22</v>
      </c>
      <c r="H53" s="297">
        <v>13.46</v>
      </c>
      <c r="I53" s="291">
        <v>46205</v>
      </c>
      <c r="J53" s="50">
        <f>+E53-F53</f>
        <v>89.759999999999991</v>
      </c>
      <c r="K53" s="47">
        <f t="shared" si="3"/>
        <v>15</v>
      </c>
      <c r="L53" s="48">
        <v>0.03</v>
      </c>
      <c r="M53" s="49">
        <f t="shared" si="4"/>
        <v>2.6927999999999996</v>
      </c>
      <c r="N53" s="60"/>
      <c r="O53" s="78"/>
    </row>
    <row r="54" spans="1:15" s="52" customFormat="1" ht="14.4" x14ac:dyDescent="0.3">
      <c r="A54" s="289" t="s">
        <v>102</v>
      </c>
      <c r="B54" s="236" t="s">
        <v>1767</v>
      </c>
      <c r="C54" s="237" t="s">
        <v>1770</v>
      </c>
      <c r="D54" s="291">
        <v>46177</v>
      </c>
      <c r="E54" s="297">
        <v>174</v>
      </c>
      <c r="F54" s="297">
        <v>26.1</v>
      </c>
      <c r="G54" s="290">
        <v>170.09</v>
      </c>
      <c r="H54" s="297">
        <v>22.19</v>
      </c>
      <c r="I54" s="291">
        <v>46226</v>
      </c>
      <c r="J54" s="50">
        <f>+E54-F54</f>
        <v>147.9</v>
      </c>
      <c r="K54" s="47">
        <f t="shared" si="3"/>
        <v>49</v>
      </c>
      <c r="L54" s="48">
        <v>0.03</v>
      </c>
      <c r="M54" s="49">
        <f t="shared" si="4"/>
        <v>4.4370000000000003</v>
      </c>
      <c r="N54" s="60"/>
      <c r="O54" s="78"/>
    </row>
    <row r="55" spans="1:15" s="52" customFormat="1" x14ac:dyDescent="0.25">
      <c r="A55" s="235"/>
      <c r="B55" s="236"/>
      <c r="C55" s="237"/>
      <c r="D55" s="263"/>
      <c r="E55" s="267"/>
      <c r="F55" s="267"/>
      <c r="G55" s="6"/>
      <c r="H55" s="267"/>
      <c r="I55" s="263"/>
      <c r="J55" s="50"/>
      <c r="K55" s="47"/>
      <c r="L55" s="48"/>
      <c r="M55" s="49"/>
      <c r="N55" s="230"/>
      <c r="O55" s="78"/>
    </row>
    <row r="56" spans="1:15" s="52" customFormat="1" ht="15.6" thickBot="1" x14ac:dyDescent="0.3">
      <c r="A56" s="101"/>
      <c r="B56" s="102"/>
      <c r="C56" s="101"/>
      <c r="D56" s="105"/>
      <c r="E56" s="92"/>
      <c r="F56" s="92"/>
      <c r="G56" s="90"/>
      <c r="H56" s="92"/>
      <c r="I56" s="105"/>
      <c r="J56" s="50"/>
      <c r="K56" s="47"/>
      <c r="L56" s="48"/>
      <c r="M56" s="49"/>
      <c r="N56" s="60"/>
      <c r="O56" s="78"/>
    </row>
    <row r="57" spans="1:15" ht="15" customHeight="1" thickBot="1" x14ac:dyDescent="0.35">
      <c r="A57" s="332" t="s">
        <v>29</v>
      </c>
      <c r="B57" s="332"/>
      <c r="C57" s="332"/>
      <c r="D57" s="332"/>
      <c r="E57" s="332"/>
      <c r="F57" s="332"/>
      <c r="G57" s="16">
        <f>SUM(G49:G56)</f>
        <v>14891.979999999998</v>
      </c>
      <c r="J57" s="16">
        <f>SUM(J49:J56)</f>
        <v>13884.508695652175</v>
      </c>
      <c r="L57" s="20"/>
      <c r="M57" s="21">
        <f>SUM(M49:M56)</f>
        <v>427.93438043478261</v>
      </c>
    </row>
    <row r="58" spans="1:15" ht="15" customHeight="1" x14ac:dyDescent="0.3">
      <c r="A58" s="22"/>
      <c r="G58" s="8"/>
    </row>
    <row r="59" spans="1:15" ht="15" customHeight="1" x14ac:dyDescent="0.3">
      <c r="A59" s="39"/>
      <c r="G59" s="8"/>
      <c r="J59" s="8"/>
    </row>
    <row r="60" spans="1:15" ht="15" customHeight="1" x14ac:dyDescent="0.3">
      <c r="A60" s="39"/>
      <c r="G60" s="8"/>
      <c r="J60" s="8"/>
    </row>
    <row r="61" spans="1:15" ht="15" customHeight="1" x14ac:dyDescent="0.3">
      <c r="A61" s="39"/>
      <c r="G61" s="8"/>
      <c r="J61" s="8"/>
    </row>
    <row r="62" spans="1:15" ht="15" customHeight="1" x14ac:dyDescent="0.3">
      <c r="A62" s="39"/>
      <c r="G62" s="8"/>
      <c r="J62" s="8"/>
      <c r="M62" s="8"/>
    </row>
    <row r="63" spans="1:15" ht="15" customHeight="1" x14ac:dyDescent="0.3">
      <c r="A63" s="39"/>
      <c r="G63" s="8"/>
      <c r="J63" s="8"/>
      <c r="M63" s="8"/>
    </row>
    <row r="64" spans="1:15" ht="15" customHeight="1" x14ac:dyDescent="0.25">
      <c r="A64" s="30" t="s">
        <v>0</v>
      </c>
      <c r="B64" s="30"/>
      <c r="C64" s="30"/>
      <c r="D64" s="30"/>
      <c r="E64" s="30"/>
      <c r="F64" s="30"/>
      <c r="G64" s="24"/>
      <c r="H64" s="25"/>
      <c r="I64" s="65"/>
      <c r="J64" s="26"/>
      <c r="K64" s="27"/>
      <c r="L64" s="28"/>
      <c r="M64" s="29"/>
    </row>
    <row r="65" spans="1:15" ht="15" customHeight="1" x14ac:dyDescent="0.25">
      <c r="A65" s="30" t="s">
        <v>1</v>
      </c>
      <c r="B65" s="30"/>
      <c r="C65" s="30"/>
      <c r="D65" s="30"/>
      <c r="E65" s="30"/>
      <c r="F65" s="30"/>
      <c r="G65" s="24"/>
      <c r="H65" s="25"/>
      <c r="I65" s="65"/>
      <c r="J65" s="27"/>
      <c r="K65" s="27"/>
      <c r="L65" s="28"/>
      <c r="M65" s="29"/>
    </row>
    <row r="66" spans="1:15" ht="15" customHeight="1" x14ac:dyDescent="0.25">
      <c r="A66" s="30"/>
      <c r="B66" s="30" t="s">
        <v>1722</v>
      </c>
      <c r="C66" s="30"/>
      <c r="D66" s="64"/>
      <c r="E66" s="30"/>
      <c r="F66" s="30"/>
      <c r="G66" s="24"/>
      <c r="H66" s="25"/>
      <c r="I66" s="65"/>
      <c r="J66" s="27"/>
      <c r="K66" s="27"/>
      <c r="L66" s="28"/>
      <c r="M66" s="29"/>
    </row>
    <row r="67" spans="1:15" ht="15" customHeight="1" thickBot="1" x14ac:dyDescent="0.3">
      <c r="A67" s="30"/>
      <c r="B67" s="30" t="s">
        <v>1130</v>
      </c>
      <c r="C67" s="30"/>
      <c r="D67" s="64"/>
      <c r="E67" s="30"/>
      <c r="F67" s="30"/>
      <c r="G67" s="32"/>
      <c r="H67" s="24"/>
      <c r="I67" s="69"/>
      <c r="J67" s="33"/>
      <c r="K67" s="27"/>
      <c r="L67" s="28"/>
      <c r="M67" s="29"/>
    </row>
    <row r="68" spans="1:15" ht="15" customHeight="1" x14ac:dyDescent="0.25">
      <c r="A68" s="34" t="s">
        <v>66</v>
      </c>
      <c r="B68" s="182"/>
      <c r="C68" s="33"/>
      <c r="D68" s="65"/>
      <c r="E68" s="33"/>
      <c r="F68" s="33"/>
      <c r="G68" s="35" t="s">
        <v>3</v>
      </c>
      <c r="H68" s="27"/>
      <c r="I68" s="65"/>
      <c r="J68" s="36" t="s">
        <v>4</v>
      </c>
      <c r="K68" s="56" t="s">
        <v>5</v>
      </c>
      <c r="L68" s="40" t="s">
        <v>6</v>
      </c>
      <c r="M68" s="36" t="s">
        <v>7</v>
      </c>
      <c r="O68" s="8"/>
    </row>
    <row r="69" spans="1:15" ht="15" customHeight="1" thickBot="1" x14ac:dyDescent="0.3">
      <c r="A69" s="11" t="s">
        <v>8</v>
      </c>
      <c r="B69" s="11" t="s">
        <v>9</v>
      </c>
      <c r="C69" s="11" t="s">
        <v>10</v>
      </c>
      <c r="D69" s="66" t="s">
        <v>11</v>
      </c>
      <c r="E69" s="11" t="s">
        <v>12</v>
      </c>
      <c r="F69" s="54" t="s">
        <v>50</v>
      </c>
      <c r="G69" s="12" t="s">
        <v>13</v>
      </c>
      <c r="H69" s="13" t="s">
        <v>14</v>
      </c>
      <c r="I69" s="70" t="s">
        <v>15</v>
      </c>
      <c r="J69" s="14" t="s">
        <v>16</v>
      </c>
      <c r="K69" s="57"/>
      <c r="L69" s="58" t="s">
        <v>17</v>
      </c>
      <c r="M69" s="14" t="s">
        <v>39</v>
      </c>
      <c r="O69" s="8"/>
    </row>
    <row r="70" spans="1:15" ht="15" customHeight="1" x14ac:dyDescent="0.3">
      <c r="A70" s="289" t="s">
        <v>1263</v>
      </c>
      <c r="B70" s="300" t="s">
        <v>75</v>
      </c>
      <c r="C70" s="237" t="s">
        <v>1633</v>
      </c>
      <c r="D70" s="316">
        <v>46146</v>
      </c>
      <c r="E70" s="297">
        <v>192.72</v>
      </c>
      <c r="F70" s="297">
        <v>25.05</v>
      </c>
      <c r="G70" s="290">
        <v>42.82</v>
      </c>
      <c r="H70" s="297">
        <v>25.15</v>
      </c>
      <c r="I70" s="291">
        <v>46174</v>
      </c>
      <c r="J70" s="50">
        <f>42.82/1.15</f>
        <v>37.234782608695653</v>
      </c>
      <c r="K70" s="47">
        <f t="shared" ref="K70:K77" si="5">+I70-D70</f>
        <v>28</v>
      </c>
      <c r="L70" s="48">
        <v>3.5000000000000003E-2</v>
      </c>
      <c r="M70" s="49">
        <f t="shared" ref="M70:M77" si="6">+J70*L70</f>
        <v>1.3032173913043479</v>
      </c>
      <c r="O70" s="78"/>
    </row>
    <row r="71" spans="1:15" ht="15" customHeight="1" x14ac:dyDescent="0.3">
      <c r="A71" s="289" t="s">
        <v>1263</v>
      </c>
      <c r="B71" s="300" t="s">
        <v>75</v>
      </c>
      <c r="C71" s="237" t="s">
        <v>1633</v>
      </c>
      <c r="D71" s="316">
        <v>46146</v>
      </c>
      <c r="E71" s="297">
        <v>192.72</v>
      </c>
      <c r="F71" s="297">
        <v>25.05</v>
      </c>
      <c r="G71" s="290">
        <v>50</v>
      </c>
      <c r="H71" s="297">
        <v>25.15</v>
      </c>
      <c r="I71" s="291">
        <v>46174</v>
      </c>
      <c r="J71" s="50">
        <f>50/1.15</f>
        <v>43.478260869565219</v>
      </c>
      <c r="K71" s="47">
        <f t="shared" si="5"/>
        <v>28</v>
      </c>
      <c r="L71" s="48">
        <v>3.5000000000000003E-2</v>
      </c>
      <c r="M71" s="49">
        <f t="shared" si="6"/>
        <v>1.5217391304347827</v>
      </c>
      <c r="O71" s="78"/>
    </row>
    <row r="72" spans="1:15" ht="15" customHeight="1" x14ac:dyDescent="0.3">
      <c r="A72" s="289" t="s">
        <v>1249</v>
      </c>
      <c r="B72" s="300" t="s">
        <v>1250</v>
      </c>
      <c r="C72" s="237" t="s">
        <v>1726</v>
      </c>
      <c r="D72" s="316">
        <v>46176</v>
      </c>
      <c r="E72" s="297">
        <v>351</v>
      </c>
      <c r="F72" s="297">
        <v>70.2</v>
      </c>
      <c r="G72" s="290">
        <v>322.92</v>
      </c>
      <c r="H72" s="297">
        <v>42.12</v>
      </c>
      <c r="I72" s="291">
        <v>46176</v>
      </c>
      <c r="J72" s="50">
        <f t="shared" ref="J72:J77" si="7">E72-F72</f>
        <v>280.8</v>
      </c>
      <c r="K72" s="47">
        <f t="shared" si="5"/>
        <v>0</v>
      </c>
      <c r="L72" s="48">
        <v>0.04</v>
      </c>
      <c r="M72" s="49">
        <f t="shared" si="6"/>
        <v>11.232000000000001</v>
      </c>
      <c r="O72" s="78"/>
    </row>
    <row r="73" spans="1:15" ht="15" customHeight="1" x14ac:dyDescent="0.3">
      <c r="A73" s="289" t="s">
        <v>1723</v>
      </c>
      <c r="B73" s="300" t="s">
        <v>75</v>
      </c>
      <c r="C73" s="237" t="s">
        <v>1728</v>
      </c>
      <c r="D73" s="316">
        <v>46146</v>
      </c>
      <c r="E73" s="297">
        <v>154.44</v>
      </c>
      <c r="F73" s="297">
        <v>20.079999999999998</v>
      </c>
      <c r="G73" s="290">
        <v>154.51</v>
      </c>
      <c r="H73" s="297">
        <v>20.149999999999999</v>
      </c>
      <c r="I73" s="291">
        <v>46185</v>
      </c>
      <c r="J73" s="50">
        <f t="shared" si="7"/>
        <v>134.36000000000001</v>
      </c>
      <c r="K73" s="47">
        <f t="shared" si="5"/>
        <v>39</v>
      </c>
      <c r="L73" s="48">
        <v>0.03</v>
      </c>
      <c r="M73" s="49">
        <f t="shared" si="6"/>
        <v>4.0308000000000002</v>
      </c>
      <c r="O73" s="78"/>
    </row>
    <row r="74" spans="1:15" ht="15" customHeight="1" x14ac:dyDescent="0.3">
      <c r="A74" s="289" t="s">
        <v>1724</v>
      </c>
      <c r="B74" s="300" t="s">
        <v>1191</v>
      </c>
      <c r="C74" s="237" t="s">
        <v>1729</v>
      </c>
      <c r="D74" s="316">
        <v>46169</v>
      </c>
      <c r="E74" s="297">
        <v>188.16</v>
      </c>
      <c r="F74" s="297">
        <v>28.22</v>
      </c>
      <c r="G74" s="290">
        <v>183.93</v>
      </c>
      <c r="H74" s="297">
        <v>23.99</v>
      </c>
      <c r="I74" s="291">
        <v>46185</v>
      </c>
      <c r="J74" s="50">
        <f t="shared" si="7"/>
        <v>159.94</v>
      </c>
      <c r="K74" s="47">
        <f t="shared" si="5"/>
        <v>16</v>
      </c>
      <c r="L74" s="48">
        <v>3.5000000000000003E-2</v>
      </c>
      <c r="M74" s="49">
        <f t="shared" si="6"/>
        <v>5.5979000000000001</v>
      </c>
      <c r="O74" s="78"/>
    </row>
    <row r="75" spans="1:15" ht="15" customHeight="1" x14ac:dyDescent="0.3">
      <c r="A75" s="289" t="s">
        <v>1635</v>
      </c>
      <c r="B75" s="300" t="s">
        <v>1727</v>
      </c>
      <c r="C75" s="237" t="s">
        <v>1637</v>
      </c>
      <c r="D75" s="316">
        <v>46128</v>
      </c>
      <c r="E75" s="297">
        <v>855.36</v>
      </c>
      <c r="F75" s="297">
        <v>171.07</v>
      </c>
      <c r="G75" s="290">
        <v>393.47</v>
      </c>
      <c r="H75" s="297">
        <v>102.64</v>
      </c>
      <c r="I75" s="291">
        <v>46188</v>
      </c>
      <c r="J75" s="50">
        <f>393.47/1.15</f>
        <v>342.14782608695657</v>
      </c>
      <c r="K75" s="47">
        <f t="shared" si="5"/>
        <v>60</v>
      </c>
      <c r="L75" s="48">
        <v>0.03</v>
      </c>
      <c r="M75" s="49">
        <f t="shared" si="6"/>
        <v>10.264434782608697</v>
      </c>
      <c r="O75" s="78"/>
    </row>
    <row r="76" spans="1:15" ht="15" customHeight="1" x14ac:dyDescent="0.3">
      <c r="A76" s="289" t="s">
        <v>1725</v>
      </c>
      <c r="B76" s="300" t="s">
        <v>1727</v>
      </c>
      <c r="C76" s="237" t="s">
        <v>1731</v>
      </c>
      <c r="D76" s="316">
        <v>46185</v>
      </c>
      <c r="E76" s="297">
        <v>164.16</v>
      </c>
      <c r="F76" s="297">
        <v>21.34</v>
      </c>
      <c r="G76" s="290">
        <v>164.24</v>
      </c>
      <c r="H76" s="297">
        <v>21.42</v>
      </c>
      <c r="I76" s="291">
        <v>46188</v>
      </c>
      <c r="J76" s="50">
        <f t="shared" si="7"/>
        <v>142.82</v>
      </c>
      <c r="K76" s="47">
        <f t="shared" si="5"/>
        <v>3</v>
      </c>
      <c r="L76" s="48">
        <v>0.04</v>
      </c>
      <c r="M76" s="49">
        <f t="shared" si="6"/>
        <v>5.7127999999999997</v>
      </c>
      <c r="O76" s="78"/>
    </row>
    <row r="77" spans="1:15" ht="15" customHeight="1" x14ac:dyDescent="0.3">
      <c r="A77" s="289" t="s">
        <v>1254</v>
      </c>
      <c r="B77" s="236" t="s">
        <v>1255</v>
      </c>
      <c r="C77" s="237" t="s">
        <v>1730</v>
      </c>
      <c r="D77" s="316">
        <v>46140</v>
      </c>
      <c r="E77" s="297">
        <v>476.4</v>
      </c>
      <c r="F77" s="297">
        <v>95.28</v>
      </c>
      <c r="G77" s="290">
        <v>413.52</v>
      </c>
      <c r="H77" s="297">
        <v>57.17</v>
      </c>
      <c r="I77" s="291">
        <v>46191</v>
      </c>
      <c r="J77" s="50">
        <f t="shared" si="7"/>
        <v>381.12</v>
      </c>
      <c r="K77" s="47">
        <f t="shared" si="5"/>
        <v>51</v>
      </c>
      <c r="L77" s="48">
        <v>0.03</v>
      </c>
      <c r="M77" s="49">
        <f t="shared" si="6"/>
        <v>11.4336</v>
      </c>
      <c r="O77" s="78"/>
    </row>
    <row r="78" spans="1:15" ht="15" customHeight="1" x14ac:dyDescent="0.3">
      <c r="A78" s="289"/>
      <c r="B78" s="312"/>
      <c r="C78" s="237"/>
      <c r="D78" s="291"/>
      <c r="E78" s="313"/>
      <c r="F78" s="314"/>
      <c r="G78" s="313"/>
      <c r="H78" s="314"/>
      <c r="I78" s="315"/>
      <c r="J78" s="50"/>
      <c r="K78" s="47"/>
      <c r="L78" s="48"/>
      <c r="M78" s="49"/>
      <c r="O78" s="78"/>
    </row>
    <row r="79" spans="1:15" ht="15" customHeight="1" x14ac:dyDescent="0.25">
      <c r="A79" s="171"/>
      <c r="B79" s="160"/>
      <c r="C79" s="171"/>
      <c r="D79" s="172"/>
      <c r="E79" s="87"/>
      <c r="F79" s="87"/>
      <c r="G79" s="94"/>
      <c r="H79" s="87"/>
      <c r="I79" s="106"/>
      <c r="J79" s="50"/>
      <c r="K79" s="47"/>
      <c r="L79" s="48"/>
      <c r="M79" s="49"/>
    </row>
    <row r="80" spans="1:15" ht="15" customHeight="1" x14ac:dyDescent="0.3">
      <c r="A80" s="42"/>
      <c r="B80" s="43"/>
      <c r="C80" s="43"/>
      <c r="D80" s="68"/>
      <c r="E80" s="44"/>
      <c r="F80" s="44"/>
      <c r="G80" s="45"/>
      <c r="H80" s="46"/>
      <c r="I80" s="72"/>
      <c r="J80" s="50"/>
      <c r="K80" s="47"/>
      <c r="L80" s="48"/>
      <c r="M80" s="49"/>
    </row>
    <row r="81" spans="1:16" ht="15" customHeight="1" x14ac:dyDescent="0.25">
      <c r="A81" s="213"/>
      <c r="B81" s="213"/>
      <c r="C81" s="213"/>
      <c r="D81" s="213"/>
      <c r="E81" s="213"/>
      <c r="F81" s="213"/>
      <c r="G81" s="75">
        <f>SUM(G70:G80)</f>
        <v>1725.41</v>
      </c>
      <c r="H81" s="80"/>
      <c r="I81" s="81"/>
      <c r="J81" s="75">
        <f>SUM(J70:J80)</f>
        <v>1521.9008695652174</v>
      </c>
      <c r="K81" s="82"/>
      <c r="L81" s="82"/>
      <c r="M81" s="75">
        <f>SUM(M70:M80)</f>
        <v>51.096491304347829</v>
      </c>
      <c r="O81" s="7">
        <v>70.27</v>
      </c>
    </row>
    <row r="82" spans="1:16" ht="15" customHeight="1" x14ac:dyDescent="0.25">
      <c r="A82" s="76"/>
      <c r="B82" s="76"/>
      <c r="C82" s="76"/>
      <c r="D82" s="77"/>
      <c r="E82" s="76"/>
      <c r="F82" s="76"/>
      <c r="G82" s="78"/>
      <c r="H82" s="52"/>
      <c r="I82" s="79"/>
      <c r="J82" s="52"/>
      <c r="K82" s="52"/>
      <c r="L82" s="52"/>
      <c r="M82" s="52"/>
      <c r="O82" s="185">
        <f>O81-M81</f>
        <v>19.173508695652167</v>
      </c>
      <c r="P82" s="7" t="s">
        <v>1887</v>
      </c>
    </row>
    <row r="83" spans="1:16" x14ac:dyDescent="0.25">
      <c r="A83" s="76"/>
      <c r="B83" s="76"/>
      <c r="C83" s="76"/>
      <c r="D83" s="77"/>
      <c r="E83" s="76"/>
      <c r="F83" s="76"/>
      <c r="G83" s="78"/>
      <c r="H83" s="52"/>
      <c r="I83" s="79"/>
      <c r="J83" s="78"/>
      <c r="K83" s="52"/>
      <c r="L83" s="52"/>
      <c r="M83" s="78"/>
    </row>
    <row r="84" spans="1:16" x14ac:dyDescent="0.25">
      <c r="A84" s="52" t="s">
        <v>19</v>
      </c>
      <c r="B84" s="76" t="s">
        <v>20</v>
      </c>
      <c r="C84" s="76" t="s">
        <v>21</v>
      </c>
      <c r="D84" s="79"/>
      <c r="E84" s="52"/>
      <c r="F84" s="52"/>
      <c r="G84" s="78"/>
      <c r="H84" s="52"/>
      <c r="I84" s="79"/>
      <c r="J84" s="52"/>
      <c r="K84" s="52"/>
      <c r="L84" s="52"/>
      <c r="M84" s="52"/>
    </row>
    <row r="85" spans="1:16" s="52" customFormat="1" ht="14.4" x14ac:dyDescent="0.3">
      <c r="A85" s="289"/>
      <c r="B85" s="236"/>
      <c r="C85" s="237"/>
      <c r="D85" s="291"/>
      <c r="E85" s="290"/>
      <c r="F85" s="297"/>
      <c r="G85" s="290"/>
      <c r="H85" s="297"/>
      <c r="I85" s="291"/>
      <c r="J85" s="50"/>
      <c r="K85" s="47"/>
      <c r="L85" s="48"/>
      <c r="M85" s="49"/>
      <c r="N85" s="60"/>
    </row>
    <row r="86" spans="1:16" ht="15.6" thickBot="1" x14ac:dyDescent="0.3">
      <c r="A86" s="91"/>
      <c r="B86" s="102"/>
      <c r="C86" s="93"/>
      <c r="D86" s="88"/>
      <c r="E86" s="92"/>
      <c r="F86" s="92"/>
      <c r="G86" s="90"/>
      <c r="H86" s="92"/>
      <c r="I86" s="105"/>
      <c r="J86" s="50"/>
      <c r="K86" s="47"/>
      <c r="L86" s="48"/>
      <c r="M86" s="49"/>
    </row>
    <row r="87" spans="1:16" ht="16.2" thickBot="1" x14ac:dyDescent="0.35">
      <c r="A87" s="212" t="s">
        <v>29</v>
      </c>
      <c r="B87" s="212"/>
      <c r="C87" s="212"/>
      <c r="D87" s="212"/>
      <c r="E87" s="212"/>
      <c r="F87" s="212"/>
      <c r="G87" s="37">
        <f>SUM(G81:G86)</f>
        <v>1725.41</v>
      </c>
      <c r="I87" s="63"/>
      <c r="J87" s="37">
        <f>SUM(J81:J86)</f>
        <v>1521.9008695652174</v>
      </c>
      <c r="L87" s="20"/>
      <c r="M87" s="38">
        <f>SUM(M81:M86)</f>
        <v>51.096491304347829</v>
      </c>
    </row>
    <row r="88" spans="1:16" x14ac:dyDescent="0.25">
      <c r="A88" s="19"/>
      <c r="E88" s="19"/>
      <c r="F88" s="19"/>
      <c r="G88" s="8"/>
      <c r="I88" s="63"/>
    </row>
    <row r="90" spans="1:16" x14ac:dyDescent="0.25">
      <c r="J90" s="8"/>
    </row>
    <row r="91" spans="1:16" x14ac:dyDescent="0.25">
      <c r="J91" s="8"/>
    </row>
    <row r="92" spans="1:16" x14ac:dyDescent="0.25">
      <c r="J92" s="8">
        <f>(J57+J87)*2%</f>
        <v>308.12819130434787</v>
      </c>
      <c r="M92" s="8">
        <f>M87/12</f>
        <v>4.2580409420289858</v>
      </c>
      <c r="N92" s="59" t="s">
        <v>1504</v>
      </c>
    </row>
    <row r="93" spans="1:16" x14ac:dyDescent="0.25">
      <c r="J93" s="8">
        <f>J92/12</f>
        <v>25.677349275362321</v>
      </c>
      <c r="K93" s="7" t="s">
        <v>876</v>
      </c>
      <c r="M93" s="8">
        <f>M87/24</f>
        <v>2.1290204710144929</v>
      </c>
      <c r="N93" s="59" t="s">
        <v>1504</v>
      </c>
    </row>
    <row r="94" spans="1:16" x14ac:dyDescent="0.25">
      <c r="J94" s="8">
        <f>J92/24</f>
        <v>12.83867463768116</v>
      </c>
      <c r="K94" s="7" t="s">
        <v>876</v>
      </c>
    </row>
  </sheetData>
  <autoFilter ref="C1:C94" xr:uid="{F22F3198-53C6-4AB3-BAB5-93FFBCFFF717}"/>
  <sortState xmlns:xlrd2="http://schemas.microsoft.com/office/spreadsheetml/2017/richdata2" ref="A8:T47">
    <sortCondition ref="I8:I47"/>
  </sortState>
  <mergeCells count="2">
    <mergeCell ref="A3:F3"/>
    <mergeCell ref="A57:F57"/>
  </mergeCells>
  <pageMargins left="0.39370078740157483" right="0" top="0.39370078740157483" bottom="0" header="0" footer="0"/>
  <pageSetup paperSize="9" scale="80" orientation="landscape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642CF-4125-414B-B854-419763D7EBE6}">
  <dimension ref="A1:T92"/>
  <sheetViews>
    <sheetView topLeftCell="A4" workbookViewId="0">
      <selection activeCell="D52" sqref="D52"/>
    </sheetView>
  </sheetViews>
  <sheetFormatPr baseColWidth="10" defaultColWidth="11.44140625" defaultRowHeight="13.2" x14ac:dyDescent="0.25"/>
  <cols>
    <col min="1" max="1" width="31.5546875" style="7" customWidth="1"/>
    <col min="2" max="2" width="20.5546875" style="19" customWidth="1"/>
    <col min="3" max="3" width="18.5546875" style="19" customWidth="1"/>
    <col min="4" max="4" width="10.88671875" style="67" customWidth="1"/>
    <col min="5" max="5" width="11.6640625" style="7" customWidth="1"/>
    <col min="6" max="6" width="9" style="7" customWidth="1"/>
    <col min="7" max="7" width="11.44140625" style="7" customWidth="1"/>
    <col min="8" max="8" width="9.88671875" style="7" customWidth="1"/>
    <col min="9" max="9" width="13" style="67" customWidth="1"/>
    <col min="10" max="10" width="11.5546875" style="7" customWidth="1"/>
    <col min="11" max="11" width="7.33203125" style="7" customWidth="1"/>
    <col min="12" max="12" width="6.44140625" style="7" customWidth="1"/>
    <col min="13" max="13" width="8.88671875" style="7" customWidth="1"/>
    <col min="14" max="14" width="9.6640625" style="59" customWidth="1"/>
    <col min="15" max="15" width="12.44140625" style="8" customWidth="1"/>
    <col min="16" max="16" width="8" style="7" customWidth="1"/>
    <col min="17" max="16384" width="11.44140625" style="7"/>
  </cols>
  <sheetData>
    <row r="1" spans="1:20" ht="15" customHeight="1" x14ac:dyDescent="0.25">
      <c r="B1" s="181"/>
      <c r="C1" s="181"/>
      <c r="G1" s="8"/>
    </row>
    <row r="2" spans="1:20" ht="15" customHeight="1" x14ac:dyDescent="0.25">
      <c r="A2" s="30"/>
      <c r="B2" s="30"/>
      <c r="C2" s="30"/>
      <c r="D2" s="30"/>
      <c r="E2" s="30"/>
      <c r="F2" s="30"/>
      <c r="G2" s="24"/>
      <c r="H2" s="24"/>
      <c r="I2" s="195"/>
      <c r="J2" s="26"/>
      <c r="K2" s="27"/>
      <c r="L2" s="28"/>
      <c r="M2" s="29"/>
    </row>
    <row r="3" spans="1:20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195"/>
      <c r="J3" s="27"/>
      <c r="K3" s="27"/>
      <c r="L3" s="28"/>
      <c r="M3" s="29"/>
    </row>
    <row r="4" spans="1:20" ht="15" customHeight="1" x14ac:dyDescent="0.25">
      <c r="A4" s="30"/>
      <c r="B4" s="30" t="s">
        <v>1771</v>
      </c>
      <c r="C4" s="30"/>
      <c r="D4" s="64"/>
      <c r="E4" s="30"/>
      <c r="F4" s="30"/>
      <c r="G4" s="24"/>
      <c r="H4" s="25"/>
      <c r="I4" s="195"/>
      <c r="J4" s="27"/>
      <c r="K4" s="27"/>
      <c r="L4" s="28"/>
      <c r="M4" s="29"/>
    </row>
    <row r="5" spans="1:20" ht="15" customHeight="1" thickBot="1" x14ac:dyDescent="0.3">
      <c r="A5" s="30"/>
      <c r="B5" s="30" t="s">
        <v>22</v>
      </c>
      <c r="C5" s="30"/>
      <c r="D5" s="64"/>
      <c r="E5" s="30"/>
      <c r="F5" s="30"/>
      <c r="G5" s="32"/>
      <c r="H5" s="24"/>
      <c r="I5" s="64"/>
      <c r="J5" s="33"/>
      <c r="K5" s="27"/>
      <c r="L5" s="28"/>
      <c r="M5" s="29"/>
    </row>
    <row r="6" spans="1:20" ht="15" customHeight="1" x14ac:dyDescent="0.25">
      <c r="A6" s="34"/>
      <c r="B6" s="182"/>
      <c r="C6" s="182"/>
      <c r="D6" s="195"/>
      <c r="E6" s="33"/>
      <c r="F6" s="33"/>
      <c r="G6" s="35" t="s">
        <v>3</v>
      </c>
      <c r="H6" s="27"/>
      <c r="I6" s="195"/>
      <c r="J6" s="36" t="s">
        <v>4</v>
      </c>
      <c r="K6" s="56" t="s">
        <v>5</v>
      </c>
      <c r="L6" s="40" t="s">
        <v>6</v>
      </c>
      <c r="M6" s="36" t="s">
        <v>7</v>
      </c>
    </row>
    <row r="7" spans="1:20" s="327" customFormat="1" ht="15" customHeight="1" x14ac:dyDescent="0.25">
      <c r="A7" s="319" t="s">
        <v>8</v>
      </c>
      <c r="B7" s="319" t="s">
        <v>9</v>
      </c>
      <c r="C7" s="319" t="s">
        <v>10</v>
      </c>
      <c r="D7" s="197" t="s">
        <v>11</v>
      </c>
      <c r="E7" s="319" t="s">
        <v>12</v>
      </c>
      <c r="F7" s="320" t="s">
        <v>50</v>
      </c>
      <c r="G7" s="321" t="s">
        <v>13</v>
      </c>
      <c r="H7" s="322" t="s">
        <v>14</v>
      </c>
      <c r="I7" s="197" t="s">
        <v>15</v>
      </c>
      <c r="J7" s="323" t="s">
        <v>16</v>
      </c>
      <c r="K7" s="324"/>
      <c r="L7" s="325" t="s">
        <v>17</v>
      </c>
      <c r="M7" s="323" t="s">
        <v>39</v>
      </c>
      <c r="N7" s="326"/>
      <c r="O7" s="329"/>
    </row>
    <row r="8" spans="1:20" ht="15" customHeight="1" x14ac:dyDescent="0.3">
      <c r="A8" s="289" t="s">
        <v>99</v>
      </c>
      <c r="B8" s="300" t="s">
        <v>120</v>
      </c>
      <c r="C8" s="237" t="s">
        <v>1807</v>
      </c>
      <c r="D8" s="291">
        <v>46030</v>
      </c>
      <c r="E8" s="290">
        <v>926.64</v>
      </c>
      <c r="F8" s="290">
        <v>139</v>
      </c>
      <c r="G8" s="290">
        <v>892.01</v>
      </c>
      <c r="H8" s="290">
        <v>118.15</v>
      </c>
      <c r="I8" s="291">
        <v>46213</v>
      </c>
      <c r="J8" s="50">
        <f>+E8-F8</f>
        <v>787.64</v>
      </c>
      <c r="K8" s="47">
        <f t="shared" ref="K8:K38" si="0">+I8-D8</f>
        <v>183</v>
      </c>
      <c r="L8" s="5">
        <v>0.03</v>
      </c>
      <c r="M8" s="6">
        <f t="shared" ref="M8:M38" si="1">+J8*L8</f>
        <v>23.629199999999997</v>
      </c>
      <c r="O8" s="78"/>
    </row>
    <row r="9" spans="1:20" ht="15" customHeight="1" x14ac:dyDescent="0.3">
      <c r="A9" s="289" t="s">
        <v>1042</v>
      </c>
      <c r="B9" s="300" t="s">
        <v>18</v>
      </c>
      <c r="C9" s="237" t="s">
        <v>1818</v>
      </c>
      <c r="D9" s="291">
        <v>46106</v>
      </c>
      <c r="E9" s="290">
        <v>5768.76</v>
      </c>
      <c r="F9" s="290">
        <v>1153.75</v>
      </c>
      <c r="G9" s="290">
        <v>5007.28</v>
      </c>
      <c r="H9" s="290">
        <v>692.25</v>
      </c>
      <c r="I9" s="291">
        <v>46216</v>
      </c>
      <c r="J9" s="50">
        <f>+E9-F9</f>
        <v>4615.01</v>
      </c>
      <c r="K9" s="47">
        <f t="shared" si="0"/>
        <v>110</v>
      </c>
      <c r="L9" s="5">
        <v>0.03</v>
      </c>
      <c r="M9" s="6">
        <f t="shared" si="1"/>
        <v>138.4503</v>
      </c>
      <c r="O9" s="78"/>
    </row>
    <row r="10" spans="1:20" ht="15" customHeight="1" x14ac:dyDescent="0.3">
      <c r="A10" s="289" t="s">
        <v>1042</v>
      </c>
      <c r="B10" s="300" t="s">
        <v>18</v>
      </c>
      <c r="C10" s="237" t="s">
        <v>1819</v>
      </c>
      <c r="D10" s="291">
        <v>46106</v>
      </c>
      <c r="E10" s="290">
        <v>4121.3999999999996</v>
      </c>
      <c r="F10" s="290">
        <v>824.28</v>
      </c>
      <c r="G10" s="290">
        <v>3577.38</v>
      </c>
      <c r="H10" s="290">
        <v>494.57</v>
      </c>
      <c r="I10" s="291">
        <v>46216</v>
      </c>
      <c r="J10" s="50">
        <f>+E10-F10</f>
        <v>3297.12</v>
      </c>
      <c r="K10" s="47">
        <f t="shared" si="0"/>
        <v>110</v>
      </c>
      <c r="L10" s="5">
        <v>0.03</v>
      </c>
      <c r="M10" s="6">
        <f t="shared" si="1"/>
        <v>98.913599999999988</v>
      </c>
      <c r="O10" s="78"/>
    </row>
    <row r="11" spans="1:20" ht="15" customHeight="1" x14ac:dyDescent="0.3">
      <c r="A11" s="289" t="s">
        <v>1042</v>
      </c>
      <c r="B11" s="300" t="s">
        <v>18</v>
      </c>
      <c r="C11" s="237" t="s">
        <v>1820</v>
      </c>
      <c r="D11" s="291">
        <v>46106</v>
      </c>
      <c r="E11" s="290">
        <v>1422</v>
      </c>
      <c r="F11" s="290">
        <v>355.5</v>
      </c>
      <c r="G11" s="290">
        <v>1157.1600000000001</v>
      </c>
      <c r="H11" s="290">
        <v>159.97999999999999</v>
      </c>
      <c r="I11" s="291">
        <v>46216</v>
      </c>
      <c r="J11" s="50">
        <f>+E11-F11</f>
        <v>1066.5</v>
      </c>
      <c r="K11" s="47">
        <f t="shared" si="0"/>
        <v>110</v>
      </c>
      <c r="L11" s="5">
        <v>0.03</v>
      </c>
      <c r="M11" s="6">
        <f t="shared" si="1"/>
        <v>31.994999999999997</v>
      </c>
      <c r="O11" s="78"/>
    </row>
    <row r="12" spans="1:20" ht="15" customHeight="1" x14ac:dyDescent="0.3">
      <c r="A12" s="289" t="s">
        <v>77</v>
      </c>
      <c r="B12" s="236" t="s">
        <v>1511</v>
      </c>
      <c r="C12" s="237" t="s">
        <v>1740</v>
      </c>
      <c r="D12" s="291">
        <v>46108</v>
      </c>
      <c r="E12" s="290">
        <v>655.8</v>
      </c>
      <c r="F12" s="290">
        <v>131.16</v>
      </c>
      <c r="G12" s="290">
        <v>168.76</v>
      </c>
      <c r="H12" s="290">
        <v>78.7</v>
      </c>
      <c r="I12" s="291">
        <v>46220</v>
      </c>
      <c r="J12" s="50">
        <f>168.76/1.15</f>
        <v>146.74782608695654</v>
      </c>
      <c r="K12" s="47">
        <f t="shared" si="0"/>
        <v>112</v>
      </c>
      <c r="L12" s="5">
        <v>0.03</v>
      </c>
      <c r="M12" s="6">
        <f t="shared" si="1"/>
        <v>4.4024347826086956</v>
      </c>
      <c r="O12" s="78"/>
    </row>
    <row r="13" spans="1:20" ht="15" customHeight="1" x14ac:dyDescent="0.3">
      <c r="A13" s="289" t="s">
        <v>1132</v>
      </c>
      <c r="B13" s="236" t="s">
        <v>1528</v>
      </c>
      <c r="C13" s="237" t="s">
        <v>1799</v>
      </c>
      <c r="D13" s="291">
        <v>46112</v>
      </c>
      <c r="E13" s="290">
        <v>270.24</v>
      </c>
      <c r="F13" s="290">
        <v>40.54</v>
      </c>
      <c r="G13" s="290">
        <v>264.16000000000003</v>
      </c>
      <c r="H13" s="290">
        <v>34.46</v>
      </c>
      <c r="I13" s="291">
        <v>46232</v>
      </c>
      <c r="J13" s="50">
        <f>+E13-F13</f>
        <v>229.70000000000002</v>
      </c>
      <c r="K13" s="47">
        <f t="shared" si="0"/>
        <v>120</v>
      </c>
      <c r="L13" s="5">
        <v>0.03</v>
      </c>
      <c r="M13" s="6">
        <f t="shared" si="1"/>
        <v>6.891</v>
      </c>
      <c r="O13" s="78"/>
    </row>
    <row r="14" spans="1:20" ht="15" customHeight="1" x14ac:dyDescent="0.3">
      <c r="A14" s="289" t="s">
        <v>1132</v>
      </c>
      <c r="B14" s="236" t="s">
        <v>1528</v>
      </c>
      <c r="C14" s="237" t="s">
        <v>1800</v>
      </c>
      <c r="D14" s="291">
        <v>46112</v>
      </c>
      <c r="E14" s="290">
        <v>219.24</v>
      </c>
      <c r="F14" s="290">
        <v>32.89</v>
      </c>
      <c r="G14" s="290">
        <v>214.3</v>
      </c>
      <c r="H14" s="290">
        <v>27.95</v>
      </c>
      <c r="I14" s="291">
        <v>46232</v>
      </c>
      <c r="J14" s="50">
        <f>+E14-F14</f>
        <v>186.35000000000002</v>
      </c>
      <c r="K14" s="47">
        <f t="shared" si="0"/>
        <v>120</v>
      </c>
      <c r="L14" s="5">
        <v>0.03</v>
      </c>
      <c r="M14" s="6">
        <f t="shared" si="1"/>
        <v>5.5905000000000005</v>
      </c>
      <c r="O14" s="78"/>
      <c r="S14" s="15"/>
      <c r="T14" s="8"/>
    </row>
    <row r="15" spans="1:20" ht="15" customHeight="1" x14ac:dyDescent="0.3">
      <c r="A15" s="289" t="s">
        <v>1133</v>
      </c>
      <c r="B15" s="300" t="s">
        <v>1528</v>
      </c>
      <c r="C15" s="237" t="s">
        <v>1801</v>
      </c>
      <c r="D15" s="291">
        <v>46118</v>
      </c>
      <c r="E15" s="290">
        <v>244.68</v>
      </c>
      <c r="F15" s="290">
        <v>36.700000000000003</v>
      </c>
      <c r="G15" s="290">
        <v>225.66</v>
      </c>
      <c r="H15" s="290">
        <v>31.2</v>
      </c>
      <c r="I15" s="291">
        <v>46232</v>
      </c>
      <c r="J15" s="50">
        <f>+E15-F15</f>
        <v>207.98000000000002</v>
      </c>
      <c r="K15" s="47">
        <f t="shared" si="0"/>
        <v>114</v>
      </c>
      <c r="L15" s="5">
        <v>0.03</v>
      </c>
      <c r="M15" s="6">
        <f t="shared" si="1"/>
        <v>6.2394000000000007</v>
      </c>
      <c r="O15" s="78"/>
      <c r="S15" s="15"/>
    </row>
    <row r="16" spans="1:20" ht="15" customHeight="1" x14ac:dyDescent="0.3">
      <c r="A16" s="289" t="s">
        <v>34</v>
      </c>
      <c r="B16" s="300" t="s">
        <v>18</v>
      </c>
      <c r="C16" s="237" t="s">
        <v>1815</v>
      </c>
      <c r="D16" s="291">
        <v>46134</v>
      </c>
      <c r="E16" s="290">
        <v>305.27999999999997</v>
      </c>
      <c r="F16" s="290">
        <v>45.79</v>
      </c>
      <c r="G16" s="290">
        <v>281.54000000000002</v>
      </c>
      <c r="H16" s="290">
        <v>38.92</v>
      </c>
      <c r="I16" s="291">
        <v>46213</v>
      </c>
      <c r="J16" s="50">
        <f>+E16-F16</f>
        <v>259.48999999999995</v>
      </c>
      <c r="K16" s="47">
        <f t="shared" si="0"/>
        <v>79</v>
      </c>
      <c r="L16" s="5">
        <v>0.03</v>
      </c>
      <c r="M16" s="6">
        <f t="shared" si="1"/>
        <v>7.7846999999999982</v>
      </c>
      <c r="O16" s="78"/>
      <c r="R16" s="8"/>
    </row>
    <row r="17" spans="1:15" ht="15" customHeight="1" x14ac:dyDescent="0.3">
      <c r="A17" s="289" t="s">
        <v>82</v>
      </c>
      <c r="B17" s="300" t="s">
        <v>83</v>
      </c>
      <c r="C17" s="237" t="s">
        <v>1790</v>
      </c>
      <c r="D17" s="291">
        <v>46136</v>
      </c>
      <c r="E17" s="290">
        <v>493.92</v>
      </c>
      <c r="F17" s="290">
        <v>74.09</v>
      </c>
      <c r="G17" s="290">
        <v>227.76</v>
      </c>
      <c r="H17" s="290">
        <v>62.97</v>
      </c>
      <c r="I17" s="291">
        <v>46225</v>
      </c>
      <c r="J17" s="50">
        <f>227.76/1.15</f>
        <v>198.05217391304348</v>
      </c>
      <c r="K17" s="47">
        <f t="shared" si="0"/>
        <v>89</v>
      </c>
      <c r="L17" s="5">
        <v>0.03</v>
      </c>
      <c r="M17" s="6">
        <f t="shared" si="1"/>
        <v>5.9415652173913038</v>
      </c>
      <c r="O17" s="78"/>
    </row>
    <row r="18" spans="1:15" ht="15" customHeight="1" x14ac:dyDescent="0.3">
      <c r="A18" s="289" t="s">
        <v>1086</v>
      </c>
      <c r="B18" s="300" t="s">
        <v>123</v>
      </c>
      <c r="C18" s="237" t="s">
        <v>1808</v>
      </c>
      <c r="D18" s="291">
        <v>46136</v>
      </c>
      <c r="E18" s="290">
        <v>425.76</v>
      </c>
      <c r="F18" s="290">
        <v>63.86</v>
      </c>
      <c r="G18" s="290">
        <v>60</v>
      </c>
      <c r="H18" s="290">
        <v>54.28</v>
      </c>
      <c r="I18" s="291">
        <v>46212</v>
      </c>
      <c r="J18" s="50">
        <f>60/1.15</f>
        <v>52.173913043478265</v>
      </c>
      <c r="K18" s="47">
        <f t="shared" si="0"/>
        <v>76</v>
      </c>
      <c r="L18" s="5">
        <v>0.03</v>
      </c>
      <c r="M18" s="6">
        <f t="shared" si="1"/>
        <v>1.5652173913043479</v>
      </c>
      <c r="O18" s="78"/>
    </row>
    <row r="19" spans="1:15" ht="15" customHeight="1" x14ac:dyDescent="0.3">
      <c r="A19" s="289" t="s">
        <v>1086</v>
      </c>
      <c r="B19" s="300" t="s">
        <v>123</v>
      </c>
      <c r="C19" s="237" t="s">
        <v>1808</v>
      </c>
      <c r="D19" s="291">
        <v>46136</v>
      </c>
      <c r="E19" s="290">
        <v>425.76</v>
      </c>
      <c r="F19" s="290">
        <v>63.86</v>
      </c>
      <c r="G19" s="290">
        <v>356.18</v>
      </c>
      <c r="H19" s="290">
        <v>54.28</v>
      </c>
      <c r="I19" s="291">
        <v>46213</v>
      </c>
      <c r="J19" s="50">
        <f>356.18/1.15</f>
        <v>309.7217391304348</v>
      </c>
      <c r="K19" s="47">
        <f t="shared" si="0"/>
        <v>77</v>
      </c>
      <c r="L19" s="5">
        <v>0.03</v>
      </c>
      <c r="M19" s="6">
        <f t="shared" si="1"/>
        <v>9.2916521739130431</v>
      </c>
      <c r="O19" s="78"/>
    </row>
    <row r="20" spans="1:15" ht="15" customHeight="1" x14ac:dyDescent="0.3">
      <c r="A20" s="289" t="s">
        <v>96</v>
      </c>
      <c r="B20" s="300" t="s">
        <v>26</v>
      </c>
      <c r="C20" s="237" t="s">
        <v>1809</v>
      </c>
      <c r="D20" s="291">
        <v>46139</v>
      </c>
      <c r="E20" s="290">
        <v>381.3</v>
      </c>
      <c r="F20" s="290">
        <v>57.2</v>
      </c>
      <c r="G20" s="290">
        <v>372.73</v>
      </c>
      <c r="H20" s="290">
        <v>48.62</v>
      </c>
      <c r="I20" s="291">
        <v>46223</v>
      </c>
      <c r="J20" s="50">
        <f>+E20-F20</f>
        <v>324.10000000000002</v>
      </c>
      <c r="K20" s="47">
        <f t="shared" si="0"/>
        <v>84</v>
      </c>
      <c r="L20" s="5">
        <v>0.03</v>
      </c>
      <c r="M20" s="6">
        <f t="shared" si="1"/>
        <v>9.7230000000000008</v>
      </c>
      <c r="O20" s="78"/>
    </row>
    <row r="21" spans="1:15" ht="15" customHeight="1" x14ac:dyDescent="0.3">
      <c r="A21" s="289" t="s">
        <v>117</v>
      </c>
      <c r="B21" s="300" t="s">
        <v>26</v>
      </c>
      <c r="C21" s="237" t="s">
        <v>1822</v>
      </c>
      <c r="D21" s="291">
        <v>46139</v>
      </c>
      <c r="E21" s="290">
        <v>214.98</v>
      </c>
      <c r="F21" s="290">
        <v>32.25</v>
      </c>
      <c r="G21" s="290">
        <v>100</v>
      </c>
      <c r="H21" s="290">
        <v>27.41</v>
      </c>
      <c r="I21" s="291">
        <v>46213</v>
      </c>
      <c r="J21" s="50">
        <f>100/1.15</f>
        <v>86.956521739130437</v>
      </c>
      <c r="K21" s="47">
        <f t="shared" si="0"/>
        <v>74</v>
      </c>
      <c r="L21" s="5">
        <v>0.03</v>
      </c>
      <c r="M21" s="6">
        <f t="shared" si="1"/>
        <v>2.6086956521739131</v>
      </c>
      <c r="O21" s="78"/>
    </row>
    <row r="22" spans="1:15" ht="15" customHeight="1" x14ac:dyDescent="0.3">
      <c r="A22" s="289" t="s">
        <v>81</v>
      </c>
      <c r="B22" s="300" t="s">
        <v>26</v>
      </c>
      <c r="C22" s="237" t="s">
        <v>1825</v>
      </c>
      <c r="D22" s="291">
        <v>46146</v>
      </c>
      <c r="E22" s="290">
        <v>204</v>
      </c>
      <c r="F22" s="290">
        <v>30.6</v>
      </c>
      <c r="G22" s="290">
        <v>199.41</v>
      </c>
      <c r="H22" s="290">
        <v>26.01</v>
      </c>
      <c r="I22" s="291">
        <v>46218</v>
      </c>
      <c r="J22" s="50">
        <f t="shared" ref="J22:J38" si="2">+E22-F22</f>
        <v>173.4</v>
      </c>
      <c r="K22" s="47">
        <f t="shared" si="0"/>
        <v>72</v>
      </c>
      <c r="L22" s="5">
        <v>0.03</v>
      </c>
      <c r="M22" s="6">
        <f t="shared" si="1"/>
        <v>5.202</v>
      </c>
      <c r="O22" s="78"/>
    </row>
    <row r="23" spans="1:15" ht="15" customHeight="1" x14ac:dyDescent="0.3">
      <c r="A23" s="289" t="s">
        <v>89</v>
      </c>
      <c r="B23" s="300" t="s">
        <v>18</v>
      </c>
      <c r="C23" s="237" t="s">
        <v>1811</v>
      </c>
      <c r="D23" s="291">
        <v>46156</v>
      </c>
      <c r="E23" s="290">
        <v>312.12</v>
      </c>
      <c r="F23" s="290">
        <v>62.42</v>
      </c>
      <c r="G23" s="290">
        <v>270.92</v>
      </c>
      <c r="H23" s="290">
        <v>37.450000000000003</v>
      </c>
      <c r="I23" s="291">
        <v>46212</v>
      </c>
      <c r="J23" s="50">
        <f t="shared" si="2"/>
        <v>249.7</v>
      </c>
      <c r="K23" s="47">
        <f t="shared" si="0"/>
        <v>56</v>
      </c>
      <c r="L23" s="5">
        <v>0.03</v>
      </c>
      <c r="M23" s="6">
        <f t="shared" si="1"/>
        <v>7.4909999999999997</v>
      </c>
      <c r="O23" s="78"/>
    </row>
    <row r="24" spans="1:15" ht="15" customHeight="1" x14ac:dyDescent="0.3">
      <c r="A24" s="289" t="s">
        <v>89</v>
      </c>
      <c r="B24" s="300" t="s">
        <v>18</v>
      </c>
      <c r="C24" s="237" t="s">
        <v>1812</v>
      </c>
      <c r="D24" s="291">
        <v>46156</v>
      </c>
      <c r="E24" s="290">
        <v>168.24</v>
      </c>
      <c r="F24" s="290">
        <v>33.65</v>
      </c>
      <c r="G24" s="290">
        <v>146.03</v>
      </c>
      <c r="H24" s="290">
        <v>20.190000000000001</v>
      </c>
      <c r="I24" s="291">
        <v>46212</v>
      </c>
      <c r="J24" s="50">
        <f t="shared" si="2"/>
        <v>134.59</v>
      </c>
      <c r="K24" s="47">
        <f t="shared" si="0"/>
        <v>56</v>
      </c>
      <c r="L24" s="5">
        <v>0.03</v>
      </c>
      <c r="M24" s="6">
        <f t="shared" si="1"/>
        <v>4.0377000000000001</v>
      </c>
      <c r="O24" s="78"/>
    </row>
    <row r="25" spans="1:15" ht="15" customHeight="1" x14ac:dyDescent="0.3">
      <c r="A25" s="289" t="s">
        <v>38</v>
      </c>
      <c r="B25" s="300" t="s">
        <v>18</v>
      </c>
      <c r="C25" s="237" t="s">
        <v>1816</v>
      </c>
      <c r="D25" s="291">
        <v>46156</v>
      </c>
      <c r="E25" s="290">
        <v>184.8</v>
      </c>
      <c r="F25" s="290">
        <v>40.659999999999997</v>
      </c>
      <c r="G25" s="290">
        <v>156.38999999999999</v>
      </c>
      <c r="H25" s="290">
        <v>21.62</v>
      </c>
      <c r="I25" s="291">
        <v>46213</v>
      </c>
      <c r="J25" s="50">
        <f t="shared" si="2"/>
        <v>144.14000000000001</v>
      </c>
      <c r="K25" s="47">
        <f t="shared" si="0"/>
        <v>57</v>
      </c>
      <c r="L25" s="5">
        <v>0.03</v>
      </c>
      <c r="M25" s="6">
        <f t="shared" si="1"/>
        <v>4.3242000000000003</v>
      </c>
      <c r="O25" s="78"/>
    </row>
    <row r="26" spans="1:15" ht="15" customHeight="1" x14ac:dyDescent="0.3">
      <c r="A26" s="289" t="s">
        <v>847</v>
      </c>
      <c r="B26" s="300" t="s">
        <v>18</v>
      </c>
      <c r="C26" s="237" t="s">
        <v>1802</v>
      </c>
      <c r="D26" s="291">
        <v>46163</v>
      </c>
      <c r="E26" s="290">
        <v>63.6</v>
      </c>
      <c r="F26" s="290">
        <v>9.5399999999999991</v>
      </c>
      <c r="G26" s="290">
        <v>58.66</v>
      </c>
      <c r="H26" s="290">
        <v>8.11</v>
      </c>
      <c r="I26" s="291">
        <v>46233</v>
      </c>
      <c r="J26" s="50">
        <f t="shared" si="2"/>
        <v>54.06</v>
      </c>
      <c r="K26" s="47">
        <f t="shared" si="0"/>
        <v>70</v>
      </c>
      <c r="L26" s="5">
        <v>0.03</v>
      </c>
      <c r="M26" s="6">
        <f t="shared" si="1"/>
        <v>1.6217999999999999</v>
      </c>
      <c r="O26" s="78"/>
    </row>
    <row r="27" spans="1:15" ht="15" customHeight="1" x14ac:dyDescent="0.3">
      <c r="A27" s="289" t="s">
        <v>56</v>
      </c>
      <c r="B27" s="300" t="s">
        <v>57</v>
      </c>
      <c r="C27" s="237" t="s">
        <v>1796</v>
      </c>
      <c r="D27" s="291">
        <v>46169</v>
      </c>
      <c r="E27" s="290">
        <v>147.47999999999999</v>
      </c>
      <c r="F27" s="290">
        <v>22.12</v>
      </c>
      <c r="G27" s="290">
        <v>144.16</v>
      </c>
      <c r="H27" s="290">
        <v>18.8</v>
      </c>
      <c r="I27" s="291">
        <v>46219</v>
      </c>
      <c r="J27" s="50">
        <f t="shared" si="2"/>
        <v>125.35999999999999</v>
      </c>
      <c r="K27" s="47">
        <f t="shared" si="0"/>
        <v>50</v>
      </c>
      <c r="L27" s="5">
        <v>0.03</v>
      </c>
      <c r="M27" s="6">
        <f t="shared" si="1"/>
        <v>3.7607999999999993</v>
      </c>
      <c r="O27" s="78"/>
    </row>
    <row r="28" spans="1:15" ht="15" customHeight="1" x14ac:dyDescent="0.3">
      <c r="A28" s="289" t="s">
        <v>54</v>
      </c>
      <c r="B28" s="236" t="s">
        <v>32</v>
      </c>
      <c r="C28" s="237" t="s">
        <v>1810</v>
      </c>
      <c r="D28" s="291">
        <v>46170</v>
      </c>
      <c r="E28" s="290">
        <v>426.36</v>
      </c>
      <c r="F28" s="290">
        <v>72.48</v>
      </c>
      <c r="G28" s="290">
        <v>383.96</v>
      </c>
      <c r="H28" s="290">
        <v>53.08</v>
      </c>
      <c r="I28" s="291">
        <v>46210</v>
      </c>
      <c r="J28" s="50">
        <f t="shared" si="2"/>
        <v>353.88</v>
      </c>
      <c r="K28" s="47">
        <f t="shared" si="0"/>
        <v>40</v>
      </c>
      <c r="L28" s="5">
        <v>0.03</v>
      </c>
      <c r="M28" s="6">
        <f t="shared" si="1"/>
        <v>10.616399999999999</v>
      </c>
      <c r="O28" s="78"/>
    </row>
    <row r="29" spans="1:15" ht="15" customHeight="1" x14ac:dyDescent="0.3">
      <c r="A29" s="289" t="s">
        <v>118</v>
      </c>
      <c r="B29" s="300" t="s">
        <v>120</v>
      </c>
      <c r="C29" s="237" t="s">
        <v>1805</v>
      </c>
      <c r="D29" s="291">
        <v>46170</v>
      </c>
      <c r="E29" s="290">
        <v>194.04</v>
      </c>
      <c r="F29" s="290">
        <v>29.11</v>
      </c>
      <c r="G29" s="290">
        <v>178.95</v>
      </c>
      <c r="H29" s="290">
        <v>24.74</v>
      </c>
      <c r="I29" s="291">
        <v>46226</v>
      </c>
      <c r="J29" s="50">
        <f t="shared" si="2"/>
        <v>164.93</v>
      </c>
      <c r="K29" s="47">
        <f t="shared" si="0"/>
        <v>56</v>
      </c>
      <c r="L29" s="5">
        <v>0.03</v>
      </c>
      <c r="M29" s="6">
        <f t="shared" si="1"/>
        <v>4.9478999999999997</v>
      </c>
      <c r="O29" s="78"/>
    </row>
    <row r="30" spans="1:15" ht="15" customHeight="1" x14ac:dyDescent="0.3">
      <c r="A30" s="289" t="s">
        <v>292</v>
      </c>
      <c r="B30" s="300" t="s">
        <v>229</v>
      </c>
      <c r="C30" s="237" t="s">
        <v>1806</v>
      </c>
      <c r="D30" s="291">
        <v>46174</v>
      </c>
      <c r="E30" s="290">
        <v>376.44</v>
      </c>
      <c r="F30" s="290">
        <v>75.290000000000006</v>
      </c>
      <c r="G30" s="290">
        <v>326.75</v>
      </c>
      <c r="H30" s="290">
        <v>45.17</v>
      </c>
      <c r="I30" s="291">
        <v>46205</v>
      </c>
      <c r="J30" s="50">
        <f t="shared" si="2"/>
        <v>301.14999999999998</v>
      </c>
      <c r="K30" s="47">
        <f t="shared" si="0"/>
        <v>31</v>
      </c>
      <c r="L30" s="5">
        <v>0.03</v>
      </c>
      <c r="M30" s="6">
        <f t="shared" si="1"/>
        <v>9.0344999999999995</v>
      </c>
      <c r="O30" s="78"/>
    </row>
    <row r="31" spans="1:15" ht="15" customHeight="1" x14ac:dyDescent="0.3">
      <c r="A31" s="289" t="s">
        <v>52</v>
      </c>
      <c r="B31" s="236" t="s">
        <v>18</v>
      </c>
      <c r="C31" s="237" t="s">
        <v>1823</v>
      </c>
      <c r="D31" s="291">
        <v>46175</v>
      </c>
      <c r="E31" s="290">
        <v>93.6</v>
      </c>
      <c r="F31" s="290">
        <v>14.04</v>
      </c>
      <c r="G31" s="290">
        <v>86.32</v>
      </c>
      <c r="H31" s="290">
        <v>11.93</v>
      </c>
      <c r="I31" s="291">
        <v>46230</v>
      </c>
      <c r="J31" s="50">
        <f t="shared" si="2"/>
        <v>79.56</v>
      </c>
      <c r="K31" s="47">
        <f t="shared" si="0"/>
        <v>55</v>
      </c>
      <c r="L31" s="5">
        <v>0.03</v>
      </c>
      <c r="M31" s="6">
        <f t="shared" si="1"/>
        <v>2.3868</v>
      </c>
      <c r="O31" s="78"/>
    </row>
    <row r="32" spans="1:15" ht="15" customHeight="1" x14ac:dyDescent="0.3">
      <c r="A32" s="289" t="s">
        <v>89</v>
      </c>
      <c r="B32" s="300" t="s">
        <v>18</v>
      </c>
      <c r="C32" s="237" t="s">
        <v>1813</v>
      </c>
      <c r="D32" s="291">
        <v>46176</v>
      </c>
      <c r="E32" s="290">
        <v>205.56</v>
      </c>
      <c r="F32" s="290">
        <v>41.11</v>
      </c>
      <c r="G32" s="290">
        <v>178.43</v>
      </c>
      <c r="H32" s="290">
        <v>24.67</v>
      </c>
      <c r="I32" s="291">
        <v>46212</v>
      </c>
      <c r="J32" s="50">
        <f t="shared" si="2"/>
        <v>164.45</v>
      </c>
      <c r="K32" s="47">
        <f t="shared" si="0"/>
        <v>36</v>
      </c>
      <c r="L32" s="5">
        <v>0.03</v>
      </c>
      <c r="M32" s="6">
        <f t="shared" si="1"/>
        <v>4.9334999999999996</v>
      </c>
      <c r="O32" s="78"/>
    </row>
    <row r="33" spans="1:15" ht="15" customHeight="1" x14ac:dyDescent="0.3">
      <c r="A33" s="289" t="s">
        <v>52</v>
      </c>
      <c r="B33" s="236" t="s">
        <v>18</v>
      </c>
      <c r="C33" s="237" t="s">
        <v>1824</v>
      </c>
      <c r="D33" s="291">
        <v>46182</v>
      </c>
      <c r="E33" s="290">
        <v>223.92</v>
      </c>
      <c r="F33" s="290">
        <v>55.98</v>
      </c>
      <c r="G33" s="290">
        <v>182.21</v>
      </c>
      <c r="H33" s="290">
        <v>25.19</v>
      </c>
      <c r="I33" s="291">
        <v>46230</v>
      </c>
      <c r="J33" s="50">
        <f t="shared" si="2"/>
        <v>167.94</v>
      </c>
      <c r="K33" s="47">
        <f t="shared" si="0"/>
        <v>48</v>
      </c>
      <c r="L33" s="5">
        <v>0.03</v>
      </c>
      <c r="M33" s="6">
        <f t="shared" si="1"/>
        <v>5.0381999999999998</v>
      </c>
      <c r="O33" s="78"/>
    </row>
    <row r="34" spans="1:15" ht="15" customHeight="1" x14ac:dyDescent="0.3">
      <c r="A34" s="289" t="s">
        <v>38</v>
      </c>
      <c r="B34" s="300" t="s">
        <v>18</v>
      </c>
      <c r="C34" s="237" t="s">
        <v>1817</v>
      </c>
      <c r="D34" s="291">
        <v>46182</v>
      </c>
      <c r="E34" s="290">
        <v>204</v>
      </c>
      <c r="F34" s="290">
        <v>44.88</v>
      </c>
      <c r="G34" s="290">
        <v>172.65</v>
      </c>
      <c r="H34" s="290">
        <v>23.87</v>
      </c>
      <c r="I34" s="291">
        <v>46213</v>
      </c>
      <c r="J34" s="50">
        <f t="shared" si="2"/>
        <v>159.12</v>
      </c>
      <c r="K34" s="47">
        <f t="shared" si="0"/>
        <v>31</v>
      </c>
      <c r="L34" s="5">
        <v>0.03</v>
      </c>
      <c r="M34" s="6">
        <f t="shared" si="1"/>
        <v>4.7736000000000001</v>
      </c>
      <c r="O34" s="78"/>
    </row>
    <row r="35" spans="1:15" ht="15" customHeight="1" x14ac:dyDescent="0.3">
      <c r="A35" s="289" t="s">
        <v>35</v>
      </c>
      <c r="B35" s="300" t="s">
        <v>18</v>
      </c>
      <c r="C35" s="237" t="s">
        <v>1821</v>
      </c>
      <c r="D35" s="291">
        <v>46182</v>
      </c>
      <c r="E35" s="290">
        <v>117</v>
      </c>
      <c r="F35" s="290">
        <v>17.55</v>
      </c>
      <c r="G35" s="290">
        <v>114.37</v>
      </c>
      <c r="H35" s="290">
        <v>14.92</v>
      </c>
      <c r="I35" s="291">
        <v>46213</v>
      </c>
      <c r="J35" s="50">
        <f t="shared" si="2"/>
        <v>99.45</v>
      </c>
      <c r="K35" s="47">
        <f t="shared" si="0"/>
        <v>31</v>
      </c>
      <c r="L35" s="5">
        <v>0.03</v>
      </c>
      <c r="M35" s="6">
        <f t="shared" si="1"/>
        <v>2.9834999999999998</v>
      </c>
      <c r="O35" s="78"/>
    </row>
    <row r="36" spans="1:15" ht="15" customHeight="1" x14ac:dyDescent="0.3">
      <c r="A36" s="289" t="s">
        <v>80</v>
      </c>
      <c r="B36" s="300" t="s">
        <v>18</v>
      </c>
      <c r="C36" s="237" t="s">
        <v>1797</v>
      </c>
      <c r="D36" s="291">
        <v>46184</v>
      </c>
      <c r="E36" s="290">
        <v>612</v>
      </c>
      <c r="F36" s="290">
        <v>122.4</v>
      </c>
      <c r="G36" s="290">
        <v>531.22</v>
      </c>
      <c r="H36" s="290">
        <v>73.44</v>
      </c>
      <c r="I36" s="291">
        <v>46218</v>
      </c>
      <c r="J36" s="50">
        <f t="shared" si="2"/>
        <v>489.6</v>
      </c>
      <c r="K36" s="47">
        <f t="shared" si="0"/>
        <v>34</v>
      </c>
      <c r="L36" s="5">
        <v>0.03</v>
      </c>
      <c r="M36" s="6">
        <f t="shared" si="1"/>
        <v>14.688000000000001</v>
      </c>
      <c r="O36" s="78"/>
    </row>
    <row r="37" spans="1:15" ht="15" customHeight="1" x14ac:dyDescent="0.3">
      <c r="A37" s="289" t="s">
        <v>25</v>
      </c>
      <c r="B37" s="300" t="s">
        <v>30</v>
      </c>
      <c r="C37" s="237" t="s">
        <v>1814</v>
      </c>
      <c r="D37" s="291">
        <v>46204</v>
      </c>
      <c r="E37" s="290">
        <v>7808.88</v>
      </c>
      <c r="F37" s="290">
        <v>1952.22</v>
      </c>
      <c r="G37" s="290">
        <v>5872.48</v>
      </c>
      <c r="H37" s="290">
        <v>878.5</v>
      </c>
      <c r="I37" s="291">
        <v>46210</v>
      </c>
      <c r="J37" s="50">
        <f t="shared" si="2"/>
        <v>5856.66</v>
      </c>
      <c r="K37" s="47">
        <f t="shared" si="0"/>
        <v>6</v>
      </c>
      <c r="L37" s="5">
        <v>0.04</v>
      </c>
      <c r="M37" s="6">
        <f t="shared" si="1"/>
        <v>234.2664</v>
      </c>
      <c r="O37" s="78"/>
    </row>
    <row r="38" spans="1:15" ht="15" customHeight="1" x14ac:dyDescent="0.3">
      <c r="A38" s="289" t="s">
        <v>1541</v>
      </c>
      <c r="B38" s="300" t="s">
        <v>18</v>
      </c>
      <c r="C38" s="237" t="s">
        <v>1798</v>
      </c>
      <c r="D38" s="291">
        <v>46224</v>
      </c>
      <c r="E38" s="290">
        <v>297.5</v>
      </c>
      <c r="F38" s="290">
        <v>44.63</v>
      </c>
      <c r="G38" s="290">
        <v>274.37</v>
      </c>
      <c r="H38" s="290">
        <v>37.93</v>
      </c>
      <c r="I38" s="291">
        <v>46224</v>
      </c>
      <c r="J38" s="50">
        <f t="shared" si="2"/>
        <v>252.87</v>
      </c>
      <c r="K38" s="47">
        <f t="shared" si="0"/>
        <v>0</v>
      </c>
      <c r="L38" s="5">
        <v>0.04</v>
      </c>
      <c r="M38" s="6">
        <f t="shared" si="1"/>
        <v>10.114800000000001</v>
      </c>
      <c r="O38" s="78"/>
    </row>
    <row r="39" spans="1:15" ht="15" customHeight="1" x14ac:dyDescent="0.3">
      <c r="A39" s="289"/>
      <c r="B39" s="236"/>
      <c r="C39" s="237"/>
      <c r="D39" s="316"/>
      <c r="E39" s="297"/>
      <c r="F39" s="297"/>
      <c r="G39" s="290"/>
      <c r="H39" s="297"/>
      <c r="I39" s="291"/>
      <c r="J39" s="50"/>
      <c r="K39" s="47"/>
      <c r="L39" s="5"/>
      <c r="M39" s="6"/>
      <c r="O39" s="78"/>
    </row>
    <row r="40" spans="1:15" ht="15" customHeight="1" x14ac:dyDescent="0.25">
      <c r="A40" s="171"/>
      <c r="B40" s="160"/>
      <c r="C40" s="171"/>
      <c r="D40" s="201"/>
      <c r="E40" s="87"/>
      <c r="F40" s="87"/>
      <c r="G40" s="94"/>
      <c r="H40" s="87"/>
      <c r="I40" s="106"/>
      <c r="J40" s="50"/>
      <c r="K40" s="47"/>
      <c r="L40" s="5"/>
      <c r="M40" s="6"/>
      <c r="O40" s="78"/>
    </row>
    <row r="41" spans="1:15" ht="15" customHeight="1" x14ac:dyDescent="0.3">
      <c r="G41" s="16">
        <f>SUM(G8:G40)</f>
        <v>22182.199999999997</v>
      </c>
      <c r="J41" s="16">
        <f>SUM(J8:J40)</f>
        <v>20738.402173913044</v>
      </c>
      <c r="M41" s="16">
        <f>SUM(M8:M40)</f>
        <v>683.24736521739123</v>
      </c>
      <c r="O41" s="78"/>
    </row>
    <row r="42" spans="1:15" ht="15" customHeight="1" x14ac:dyDescent="0.25">
      <c r="G42" s="8"/>
      <c r="H42" s="8"/>
      <c r="O42" s="78"/>
    </row>
    <row r="43" spans="1:15" ht="15" customHeight="1" x14ac:dyDescent="0.25">
      <c r="A43" s="17" t="s">
        <v>19</v>
      </c>
      <c r="B43" s="18" t="s">
        <v>20</v>
      </c>
      <c r="C43" s="18" t="s">
        <v>21</v>
      </c>
      <c r="J43" s="8"/>
      <c r="O43" s="78"/>
    </row>
    <row r="44" spans="1:15" s="52" customFormat="1" ht="14.4" x14ac:dyDescent="0.3">
      <c r="A44" s="289" t="s">
        <v>46</v>
      </c>
      <c r="B44" s="330" t="s">
        <v>1781</v>
      </c>
      <c r="C44" s="237" t="s">
        <v>1788</v>
      </c>
      <c r="D44" s="291">
        <v>46223</v>
      </c>
      <c r="E44" s="290">
        <v>602.04</v>
      </c>
      <c r="F44" s="290">
        <v>120.41</v>
      </c>
      <c r="G44" s="290">
        <v>544.24</v>
      </c>
      <c r="H44" s="290">
        <v>72.239999999999995</v>
      </c>
      <c r="I44" s="291">
        <v>46254</v>
      </c>
      <c r="J44" s="50">
        <f t="shared" ref="J44:J53" si="3">+E44-F44</f>
        <v>481.63</v>
      </c>
      <c r="K44" s="47">
        <f t="shared" ref="K44:K46" si="4">+I44-D44</f>
        <v>31</v>
      </c>
      <c r="L44" s="48">
        <v>0.03</v>
      </c>
      <c r="M44" s="49">
        <f t="shared" ref="M44:M46" si="5">+J44*L44</f>
        <v>14.4489</v>
      </c>
      <c r="N44" s="60"/>
      <c r="O44" s="78"/>
    </row>
    <row r="45" spans="1:15" s="52" customFormat="1" ht="14.4" x14ac:dyDescent="0.3">
      <c r="A45" s="289" t="s">
        <v>1037</v>
      </c>
      <c r="B45" s="330" t="s">
        <v>1782</v>
      </c>
      <c r="C45" s="237" t="s">
        <v>1789</v>
      </c>
      <c r="D45" s="291">
        <v>46146</v>
      </c>
      <c r="E45" s="290">
        <v>744.6</v>
      </c>
      <c r="F45" s="290">
        <v>111.69</v>
      </c>
      <c r="G45" s="290">
        <v>686.71</v>
      </c>
      <c r="H45" s="290">
        <v>94.94</v>
      </c>
      <c r="I45" s="291">
        <v>46283</v>
      </c>
      <c r="J45" s="50">
        <f t="shared" si="3"/>
        <v>632.91000000000008</v>
      </c>
      <c r="K45" s="47">
        <f t="shared" si="4"/>
        <v>137</v>
      </c>
      <c r="L45" s="48">
        <v>0.03</v>
      </c>
      <c r="M45" s="49">
        <f t="shared" si="5"/>
        <v>18.987300000000001</v>
      </c>
      <c r="N45" s="60"/>
      <c r="O45" s="78"/>
    </row>
    <row r="46" spans="1:15" s="52" customFormat="1" ht="14.4" x14ac:dyDescent="0.3">
      <c r="A46" s="289" t="s">
        <v>82</v>
      </c>
      <c r="B46" s="330" t="s">
        <v>1783</v>
      </c>
      <c r="C46" s="237" t="s">
        <v>1790</v>
      </c>
      <c r="D46" s="291">
        <v>46136</v>
      </c>
      <c r="E46" s="290">
        <v>493.92</v>
      </c>
      <c r="F46" s="290">
        <v>74.09</v>
      </c>
      <c r="G46" s="290">
        <v>227.75</v>
      </c>
      <c r="H46" s="290">
        <v>62.97</v>
      </c>
      <c r="I46" s="291">
        <v>46256</v>
      </c>
      <c r="J46" s="50">
        <f>227.75/1.15</f>
        <v>198.04347826086959</v>
      </c>
      <c r="K46" s="47">
        <f t="shared" si="4"/>
        <v>120</v>
      </c>
      <c r="L46" s="48">
        <v>0.03</v>
      </c>
      <c r="M46" s="49">
        <f t="shared" si="5"/>
        <v>5.9413043478260876</v>
      </c>
      <c r="N46" s="60"/>
      <c r="O46" s="78"/>
    </row>
    <row r="47" spans="1:15" s="52" customFormat="1" ht="14.4" x14ac:dyDescent="0.3">
      <c r="A47" s="289" t="s">
        <v>99</v>
      </c>
      <c r="B47" s="330" t="s">
        <v>1784</v>
      </c>
      <c r="C47" s="237" t="s">
        <v>1791</v>
      </c>
      <c r="D47" s="291">
        <v>46160</v>
      </c>
      <c r="E47" s="290">
        <v>1479.84</v>
      </c>
      <c r="F47" s="290">
        <v>221.98</v>
      </c>
      <c r="G47" s="290">
        <v>1421.38</v>
      </c>
      <c r="H47" s="290">
        <v>188.68</v>
      </c>
      <c r="I47" s="291">
        <v>46295</v>
      </c>
      <c r="J47" s="50">
        <f t="shared" si="3"/>
        <v>1257.8599999999999</v>
      </c>
      <c r="K47" s="47">
        <f t="shared" ref="K47:K53" si="6">+I47-D47</f>
        <v>135</v>
      </c>
      <c r="L47" s="48">
        <v>0.03</v>
      </c>
      <c r="M47" s="49">
        <f t="shared" ref="M47:M53" si="7">+J47*L47</f>
        <v>37.735799999999998</v>
      </c>
      <c r="N47" s="60"/>
      <c r="O47" s="78"/>
    </row>
    <row r="48" spans="1:15" ht="15" customHeight="1" x14ac:dyDescent="0.3">
      <c r="A48" s="289" t="s">
        <v>115</v>
      </c>
      <c r="B48" s="330" t="s">
        <v>1826</v>
      </c>
      <c r="C48" s="237" t="s">
        <v>1804</v>
      </c>
      <c r="D48" s="291">
        <v>46140</v>
      </c>
      <c r="E48" s="290">
        <v>938.4</v>
      </c>
      <c r="F48" s="290">
        <v>187.68</v>
      </c>
      <c r="G48" s="290">
        <v>814.54</v>
      </c>
      <c r="H48" s="290">
        <v>112.61</v>
      </c>
      <c r="I48" s="291">
        <v>46237</v>
      </c>
      <c r="J48" s="50">
        <f>+E48-F48</f>
        <v>750.72</v>
      </c>
      <c r="K48" s="47">
        <f>+I48-D48</f>
        <v>97</v>
      </c>
      <c r="L48" s="5">
        <v>0.03</v>
      </c>
      <c r="M48" s="6">
        <f>+J48*L48</f>
        <v>22.521599999999999</v>
      </c>
      <c r="O48" s="78"/>
    </row>
    <row r="49" spans="1:15" ht="15" customHeight="1" x14ac:dyDescent="0.3">
      <c r="A49" s="289" t="s">
        <v>115</v>
      </c>
      <c r="B49" s="330" t="s">
        <v>1826</v>
      </c>
      <c r="C49" s="237" t="s">
        <v>1803</v>
      </c>
      <c r="D49" s="291">
        <v>46132</v>
      </c>
      <c r="E49" s="290">
        <v>1141.8</v>
      </c>
      <c r="F49" s="290">
        <v>228.36</v>
      </c>
      <c r="G49" s="290">
        <v>991.08</v>
      </c>
      <c r="H49" s="290">
        <v>137.02000000000001</v>
      </c>
      <c r="I49" s="291">
        <v>46237</v>
      </c>
      <c r="J49" s="50">
        <f>+E49-F49</f>
        <v>913.43999999999994</v>
      </c>
      <c r="K49" s="47">
        <f>+I49-D49</f>
        <v>105</v>
      </c>
      <c r="L49" s="5">
        <v>0.03</v>
      </c>
      <c r="M49" s="6">
        <f>+J49*L49</f>
        <v>27.403199999999998</v>
      </c>
      <c r="O49" s="78"/>
    </row>
    <row r="50" spans="1:15" s="52" customFormat="1" ht="14.4" x14ac:dyDescent="0.3">
      <c r="A50" s="289" t="s">
        <v>40</v>
      </c>
      <c r="B50" s="330" t="s">
        <v>1785</v>
      </c>
      <c r="C50" s="237" t="s">
        <v>1792</v>
      </c>
      <c r="D50" s="291">
        <v>46212</v>
      </c>
      <c r="E50" s="290">
        <v>594</v>
      </c>
      <c r="F50" s="290">
        <v>148.5</v>
      </c>
      <c r="G50" s="290">
        <v>483.37</v>
      </c>
      <c r="H50" s="290">
        <v>66.83</v>
      </c>
      <c r="I50" s="291">
        <v>46242</v>
      </c>
      <c r="J50" s="50">
        <f t="shared" si="3"/>
        <v>445.5</v>
      </c>
      <c r="K50" s="47">
        <f t="shared" si="6"/>
        <v>30</v>
      </c>
      <c r="L50" s="48">
        <v>0.03</v>
      </c>
      <c r="M50" s="49">
        <f t="shared" si="7"/>
        <v>13.365</v>
      </c>
      <c r="N50" s="60"/>
      <c r="O50" s="78"/>
    </row>
    <row r="51" spans="1:15" s="52" customFormat="1" ht="14.4" x14ac:dyDescent="0.3">
      <c r="A51" s="289" t="s">
        <v>52</v>
      </c>
      <c r="B51" s="330" t="s">
        <v>1786</v>
      </c>
      <c r="C51" s="237" t="s">
        <v>1793</v>
      </c>
      <c r="D51" s="291">
        <v>46191</v>
      </c>
      <c r="E51" s="290">
        <v>448.8</v>
      </c>
      <c r="F51" s="290">
        <v>112.2</v>
      </c>
      <c r="G51" s="290">
        <v>365.21</v>
      </c>
      <c r="H51" s="290">
        <v>50.49</v>
      </c>
      <c r="I51" s="291">
        <v>46243</v>
      </c>
      <c r="J51" s="50">
        <f t="shared" si="3"/>
        <v>336.6</v>
      </c>
      <c r="K51" s="47">
        <f t="shared" si="6"/>
        <v>52</v>
      </c>
      <c r="L51" s="48">
        <v>0.03</v>
      </c>
      <c r="M51" s="49">
        <f t="shared" si="7"/>
        <v>10.098000000000001</v>
      </c>
      <c r="N51" s="60"/>
      <c r="O51" s="78"/>
    </row>
    <row r="52" spans="1:15" s="52" customFormat="1" ht="14.4" x14ac:dyDescent="0.3">
      <c r="A52" s="289" t="s">
        <v>52</v>
      </c>
      <c r="B52" s="330" t="s">
        <v>1786</v>
      </c>
      <c r="C52" s="237" t="s">
        <v>1794</v>
      </c>
      <c r="D52" s="291">
        <v>46195</v>
      </c>
      <c r="E52" s="290">
        <v>144.6</v>
      </c>
      <c r="F52" s="290">
        <v>36.15</v>
      </c>
      <c r="G52" s="290">
        <v>117.67</v>
      </c>
      <c r="H52" s="290">
        <v>16.27</v>
      </c>
      <c r="I52" s="291">
        <v>46243</v>
      </c>
      <c r="J52" s="50">
        <f t="shared" si="3"/>
        <v>108.44999999999999</v>
      </c>
      <c r="K52" s="47">
        <f t="shared" si="6"/>
        <v>48</v>
      </c>
      <c r="L52" s="48">
        <v>0.03</v>
      </c>
      <c r="M52" s="49">
        <f t="shared" si="7"/>
        <v>3.2534999999999994</v>
      </c>
      <c r="N52" s="60"/>
      <c r="O52" s="78"/>
    </row>
    <row r="53" spans="1:15" s="52" customFormat="1" ht="14.4" x14ac:dyDescent="0.3">
      <c r="A53" s="289" t="s">
        <v>38</v>
      </c>
      <c r="B53" s="330" t="s">
        <v>1787</v>
      </c>
      <c r="C53" s="237" t="s">
        <v>1795</v>
      </c>
      <c r="D53" s="291">
        <v>46218</v>
      </c>
      <c r="E53" s="290">
        <v>1312.08</v>
      </c>
      <c r="F53" s="290">
        <v>328.02</v>
      </c>
      <c r="G53" s="290">
        <v>1067.71</v>
      </c>
      <c r="H53" s="290">
        <v>147.61000000000001</v>
      </c>
      <c r="I53" s="291">
        <v>46250</v>
      </c>
      <c r="J53" s="50">
        <f t="shared" si="3"/>
        <v>984.06</v>
      </c>
      <c r="K53" s="47">
        <f t="shared" si="6"/>
        <v>32</v>
      </c>
      <c r="L53" s="48">
        <v>0.03</v>
      </c>
      <c r="M53" s="49">
        <f t="shared" si="7"/>
        <v>29.521799999999999</v>
      </c>
      <c r="N53" s="60"/>
      <c r="O53" s="78"/>
    </row>
    <row r="54" spans="1:15" s="52" customFormat="1" x14ac:dyDescent="0.25">
      <c r="A54" s="235"/>
      <c r="B54" s="236"/>
      <c r="C54" s="237"/>
      <c r="D54" s="263"/>
      <c r="E54" s="267"/>
      <c r="F54" s="267"/>
      <c r="G54" s="6"/>
      <c r="H54" s="267"/>
      <c r="I54" s="263"/>
      <c r="J54" s="50"/>
      <c r="K54" s="47"/>
      <c r="L54" s="48"/>
      <c r="M54" s="49"/>
      <c r="N54" s="230"/>
      <c r="O54" s="78"/>
    </row>
    <row r="55" spans="1:15" s="52" customFormat="1" ht="15.6" thickBot="1" x14ac:dyDescent="0.3">
      <c r="A55" s="101"/>
      <c r="B55" s="102"/>
      <c r="C55" s="101"/>
      <c r="D55" s="105"/>
      <c r="E55" s="92"/>
      <c r="F55" s="92"/>
      <c r="G55" s="90"/>
      <c r="H55" s="92"/>
      <c r="I55" s="105"/>
      <c r="J55" s="50"/>
      <c r="K55" s="47"/>
      <c r="L55" s="48"/>
      <c r="M55" s="49"/>
      <c r="N55" s="60"/>
      <c r="O55" s="78"/>
    </row>
    <row r="56" spans="1:15" ht="15" customHeight="1" thickBot="1" x14ac:dyDescent="0.35">
      <c r="A56" s="332" t="s">
        <v>29</v>
      </c>
      <c r="B56" s="332"/>
      <c r="C56" s="332"/>
      <c r="D56" s="332"/>
      <c r="E56" s="332"/>
      <c r="F56" s="332"/>
      <c r="G56" s="16">
        <f>SUM(G41:G55)</f>
        <v>28901.859999999997</v>
      </c>
      <c r="J56" s="16">
        <f>SUM(J41:J55)</f>
        <v>26847.615652173914</v>
      </c>
      <c r="L56" s="20"/>
      <c r="M56" s="21">
        <f>SUM(M41:M55)</f>
        <v>866.52376956521732</v>
      </c>
    </row>
    <row r="57" spans="1:15" ht="15" customHeight="1" x14ac:dyDescent="0.3">
      <c r="A57" s="22"/>
      <c r="G57" s="8"/>
    </row>
    <row r="58" spans="1:15" ht="15" customHeight="1" x14ac:dyDescent="0.3">
      <c r="A58" s="39"/>
      <c r="G58" s="8"/>
      <c r="J58" s="8"/>
    </row>
    <row r="59" spans="1:15" ht="15" customHeight="1" x14ac:dyDescent="0.3">
      <c r="A59" s="39"/>
      <c r="G59" s="8"/>
      <c r="J59" s="8"/>
    </row>
    <row r="60" spans="1:15" ht="15" customHeight="1" x14ac:dyDescent="0.3">
      <c r="A60" s="39"/>
      <c r="G60" s="8"/>
      <c r="J60" s="8"/>
    </row>
    <row r="61" spans="1:15" ht="15" customHeight="1" x14ac:dyDescent="0.3">
      <c r="A61" s="39"/>
      <c r="G61" s="8"/>
      <c r="J61" s="8"/>
      <c r="M61" s="8"/>
    </row>
    <row r="62" spans="1:15" ht="15" customHeight="1" x14ac:dyDescent="0.3">
      <c r="A62" s="39"/>
      <c r="G62" s="8"/>
      <c r="J62" s="8"/>
      <c r="M62" s="8"/>
    </row>
    <row r="63" spans="1:15" ht="15" customHeight="1" x14ac:dyDescent="0.25">
      <c r="A63" s="331" t="s">
        <v>0</v>
      </c>
      <c r="B63" s="331"/>
      <c r="C63" s="331"/>
      <c r="D63" s="331"/>
      <c r="E63" s="331"/>
      <c r="F63" s="331"/>
      <c r="G63" s="24"/>
      <c r="H63" s="25"/>
      <c r="I63" s="65"/>
      <c r="J63" s="26"/>
      <c r="K63" s="27"/>
      <c r="L63" s="28"/>
      <c r="M63" s="29"/>
    </row>
    <row r="64" spans="1:15" ht="15" customHeight="1" x14ac:dyDescent="0.25">
      <c r="A64" s="331" t="s">
        <v>1</v>
      </c>
      <c r="B64" s="331"/>
      <c r="C64" s="331"/>
      <c r="D64" s="331"/>
      <c r="E64" s="331"/>
      <c r="F64" s="331"/>
      <c r="G64" s="24"/>
      <c r="H64" s="25"/>
      <c r="I64" s="65"/>
      <c r="J64" s="27"/>
      <c r="K64" s="27"/>
      <c r="L64" s="28"/>
      <c r="M64" s="29"/>
    </row>
    <row r="65" spans="1:15" ht="15" customHeight="1" x14ac:dyDescent="0.25">
      <c r="A65" s="331" t="s">
        <v>1771</v>
      </c>
      <c r="B65" s="331"/>
      <c r="C65" s="331"/>
      <c r="D65" s="331"/>
      <c r="E65" s="331"/>
      <c r="F65" s="331"/>
      <c r="G65" s="24"/>
      <c r="H65" s="25"/>
      <c r="I65" s="65"/>
      <c r="J65" s="27"/>
      <c r="K65" s="27"/>
      <c r="L65" s="28"/>
      <c r="M65" s="29"/>
    </row>
    <row r="66" spans="1:15" ht="15" customHeight="1" thickBot="1" x14ac:dyDescent="0.3">
      <c r="A66" s="331" t="s">
        <v>1130</v>
      </c>
      <c r="B66" s="331"/>
      <c r="C66" s="331"/>
      <c r="D66" s="331"/>
      <c r="E66" s="331"/>
      <c r="F66" s="331"/>
      <c r="G66" s="32"/>
      <c r="H66" s="24"/>
      <c r="I66" s="69"/>
      <c r="J66" s="33"/>
      <c r="K66" s="27"/>
      <c r="L66" s="28"/>
      <c r="M66" s="29"/>
    </row>
    <row r="67" spans="1:15" ht="15" customHeight="1" x14ac:dyDescent="0.25">
      <c r="A67" s="34" t="s">
        <v>66</v>
      </c>
      <c r="B67" s="182"/>
      <c r="C67" s="33"/>
      <c r="D67" s="65"/>
      <c r="E67" s="33"/>
      <c r="F67" s="33"/>
      <c r="G67" s="35" t="s">
        <v>3</v>
      </c>
      <c r="H67" s="27"/>
      <c r="I67" s="65"/>
      <c r="J67" s="36" t="s">
        <v>4</v>
      </c>
      <c r="K67" s="56" t="s">
        <v>5</v>
      </c>
      <c r="L67" s="40" t="s">
        <v>6</v>
      </c>
      <c r="M67" s="36" t="s">
        <v>7</v>
      </c>
    </row>
    <row r="68" spans="1:15" s="327" customFormat="1" ht="15" customHeight="1" thickBot="1" x14ac:dyDescent="0.3">
      <c r="A68" s="319" t="s">
        <v>8</v>
      </c>
      <c r="B68" s="319" t="s">
        <v>9</v>
      </c>
      <c r="C68" s="319" t="s">
        <v>10</v>
      </c>
      <c r="D68" s="197" t="s">
        <v>11</v>
      </c>
      <c r="E68" s="319" t="s">
        <v>12</v>
      </c>
      <c r="F68" s="320" t="s">
        <v>50</v>
      </c>
      <c r="G68" s="328" t="s">
        <v>13</v>
      </c>
      <c r="H68" s="322" t="s">
        <v>14</v>
      </c>
      <c r="I68" s="70" t="s">
        <v>15</v>
      </c>
      <c r="J68" s="323" t="s">
        <v>16</v>
      </c>
      <c r="K68" s="324"/>
      <c r="L68" s="325" t="s">
        <v>17</v>
      </c>
      <c r="M68" s="323" t="s">
        <v>39</v>
      </c>
      <c r="N68" s="326"/>
      <c r="O68" s="329"/>
    </row>
    <row r="69" spans="1:15" ht="15" customHeight="1" x14ac:dyDescent="0.3">
      <c r="A69" s="289" t="s">
        <v>85</v>
      </c>
      <c r="B69" s="300" t="s">
        <v>1452</v>
      </c>
      <c r="C69" s="237" t="s">
        <v>1780</v>
      </c>
      <c r="D69" s="291">
        <v>46119</v>
      </c>
      <c r="E69" s="290">
        <v>249.48</v>
      </c>
      <c r="F69" s="290">
        <v>37.42</v>
      </c>
      <c r="G69" s="289">
        <v>230.08</v>
      </c>
      <c r="H69" s="290">
        <v>31.81</v>
      </c>
      <c r="I69" s="291">
        <v>46212</v>
      </c>
      <c r="J69" s="50">
        <f t="shared" ref="J69:J76" si="8">E69-F69</f>
        <v>212.06</v>
      </c>
      <c r="K69" s="47">
        <f t="shared" ref="K69:K76" si="9">+I69-D69</f>
        <v>93</v>
      </c>
      <c r="L69" s="48">
        <v>0.03</v>
      </c>
      <c r="M69" s="49">
        <f t="shared" ref="M69:M76" si="10">+J69*L69</f>
        <v>6.3617999999999997</v>
      </c>
      <c r="O69" s="78"/>
    </row>
    <row r="70" spans="1:15" ht="15" customHeight="1" x14ac:dyDescent="0.3">
      <c r="A70" s="289" t="s">
        <v>1180</v>
      </c>
      <c r="B70" s="300" t="s">
        <v>1191</v>
      </c>
      <c r="C70" s="237" t="s">
        <v>1775</v>
      </c>
      <c r="D70" s="291">
        <v>46150</v>
      </c>
      <c r="E70" s="290">
        <v>244.92</v>
      </c>
      <c r="F70" s="290">
        <v>31.84</v>
      </c>
      <c r="G70" s="290">
        <v>245.04</v>
      </c>
      <c r="H70" s="290">
        <v>31.96</v>
      </c>
      <c r="I70" s="291">
        <v>46219</v>
      </c>
      <c r="J70" s="50">
        <f t="shared" si="8"/>
        <v>213.07999999999998</v>
      </c>
      <c r="K70" s="47">
        <f t="shared" si="9"/>
        <v>69</v>
      </c>
      <c r="L70" s="48">
        <v>0.03</v>
      </c>
      <c r="M70" s="49">
        <f t="shared" si="10"/>
        <v>6.3923999999999994</v>
      </c>
      <c r="O70" s="78"/>
    </row>
    <row r="71" spans="1:15" ht="15" customHeight="1" x14ac:dyDescent="0.3">
      <c r="A71" s="289" t="s">
        <v>85</v>
      </c>
      <c r="B71" s="300" t="s">
        <v>1452</v>
      </c>
      <c r="C71" s="237" t="s">
        <v>1777</v>
      </c>
      <c r="D71" s="291">
        <v>46154</v>
      </c>
      <c r="E71" s="290">
        <v>225.72</v>
      </c>
      <c r="F71" s="290">
        <v>33.86</v>
      </c>
      <c r="G71" s="290">
        <v>208.16</v>
      </c>
      <c r="H71" s="290">
        <v>28.78</v>
      </c>
      <c r="I71" s="291">
        <v>46223</v>
      </c>
      <c r="J71" s="50">
        <f t="shared" si="8"/>
        <v>191.86</v>
      </c>
      <c r="K71" s="47">
        <f t="shared" si="9"/>
        <v>69</v>
      </c>
      <c r="L71" s="48">
        <v>0.03</v>
      </c>
      <c r="M71" s="49">
        <f t="shared" si="10"/>
        <v>5.7557999999999998</v>
      </c>
      <c r="O71" s="78"/>
    </row>
    <row r="72" spans="1:15" ht="15" customHeight="1" x14ac:dyDescent="0.3">
      <c r="A72" s="289" t="s">
        <v>105</v>
      </c>
      <c r="B72" s="300" t="s">
        <v>108</v>
      </c>
      <c r="C72" s="237" t="s">
        <v>1778</v>
      </c>
      <c r="D72" s="291">
        <v>46162</v>
      </c>
      <c r="E72" s="290">
        <v>129.24</v>
      </c>
      <c r="F72" s="290">
        <v>19.39</v>
      </c>
      <c r="G72" s="290">
        <v>126.33</v>
      </c>
      <c r="H72" s="290">
        <v>16.48</v>
      </c>
      <c r="I72" s="291">
        <v>46224</v>
      </c>
      <c r="J72" s="50">
        <f t="shared" si="8"/>
        <v>109.85000000000001</v>
      </c>
      <c r="K72" s="47">
        <f t="shared" si="9"/>
        <v>62</v>
      </c>
      <c r="L72" s="48">
        <v>0.03</v>
      </c>
      <c r="M72" s="49">
        <f t="shared" si="10"/>
        <v>3.2955000000000001</v>
      </c>
      <c r="O72" s="78"/>
    </row>
    <row r="73" spans="1:15" ht="15" customHeight="1" x14ac:dyDescent="0.3">
      <c r="A73" s="289" t="s">
        <v>1772</v>
      </c>
      <c r="B73" s="300" t="s">
        <v>75</v>
      </c>
      <c r="C73" s="237" t="s">
        <v>1776</v>
      </c>
      <c r="D73" s="291">
        <v>46189</v>
      </c>
      <c r="E73" s="290">
        <v>427.2</v>
      </c>
      <c r="F73" s="290">
        <v>64.08</v>
      </c>
      <c r="G73" s="290">
        <v>393.99</v>
      </c>
      <c r="H73" s="290">
        <v>54.47</v>
      </c>
      <c r="I73" s="291">
        <v>46219</v>
      </c>
      <c r="J73" s="50">
        <f t="shared" si="8"/>
        <v>363.12</v>
      </c>
      <c r="K73" s="47">
        <f t="shared" si="9"/>
        <v>30</v>
      </c>
      <c r="L73" s="48">
        <v>3.5000000000000003E-2</v>
      </c>
      <c r="M73" s="49">
        <f t="shared" si="10"/>
        <v>12.709200000000001</v>
      </c>
      <c r="O73" s="78"/>
    </row>
    <row r="74" spans="1:15" ht="15" customHeight="1" x14ac:dyDescent="0.3">
      <c r="A74" s="289" t="s">
        <v>1724</v>
      </c>
      <c r="B74" s="300" t="s">
        <v>1191</v>
      </c>
      <c r="C74" s="237" t="s">
        <v>1779</v>
      </c>
      <c r="D74" s="291">
        <v>46192</v>
      </c>
      <c r="E74" s="290">
        <v>153</v>
      </c>
      <c r="F74" s="290">
        <v>22.95</v>
      </c>
      <c r="G74" s="290">
        <v>149.56</v>
      </c>
      <c r="H74" s="290">
        <v>19.510000000000002</v>
      </c>
      <c r="I74" s="291">
        <v>46230</v>
      </c>
      <c r="J74" s="50">
        <f t="shared" si="8"/>
        <v>130.05000000000001</v>
      </c>
      <c r="K74" s="47">
        <f t="shared" si="9"/>
        <v>38</v>
      </c>
      <c r="L74" s="48">
        <v>0.03</v>
      </c>
      <c r="M74" s="49">
        <f t="shared" si="10"/>
        <v>3.9015000000000004</v>
      </c>
      <c r="O74" s="78"/>
    </row>
    <row r="75" spans="1:15" ht="15" customHeight="1" x14ac:dyDescent="0.3">
      <c r="A75" s="289" t="s">
        <v>1458</v>
      </c>
      <c r="B75" s="300" t="s">
        <v>27</v>
      </c>
      <c r="C75" s="237" t="s">
        <v>1773</v>
      </c>
      <c r="D75" s="291">
        <v>46206</v>
      </c>
      <c r="E75" s="290">
        <v>122.4</v>
      </c>
      <c r="F75" s="290">
        <v>0</v>
      </c>
      <c r="G75" s="290">
        <v>140.76</v>
      </c>
      <c r="H75" s="290">
        <v>18.36</v>
      </c>
      <c r="I75" s="291">
        <v>46206</v>
      </c>
      <c r="J75" s="50">
        <f t="shared" si="8"/>
        <v>122.4</v>
      </c>
      <c r="K75" s="47">
        <f t="shared" si="9"/>
        <v>0</v>
      </c>
      <c r="L75" s="48">
        <v>0.04</v>
      </c>
      <c r="M75" s="49">
        <f t="shared" si="10"/>
        <v>4.8959999999999999</v>
      </c>
      <c r="O75" s="78"/>
    </row>
    <row r="76" spans="1:15" ht="15" customHeight="1" x14ac:dyDescent="0.3">
      <c r="A76" s="289" t="s">
        <v>1323</v>
      </c>
      <c r="B76" s="300" t="s">
        <v>27</v>
      </c>
      <c r="C76" s="237" t="s">
        <v>1774</v>
      </c>
      <c r="D76" s="291">
        <v>46209</v>
      </c>
      <c r="E76" s="290">
        <v>386.76</v>
      </c>
      <c r="F76" s="290">
        <v>77.349999999999994</v>
      </c>
      <c r="G76" s="290">
        <v>355.82</v>
      </c>
      <c r="H76" s="290">
        <v>46.41</v>
      </c>
      <c r="I76" s="291">
        <v>46210</v>
      </c>
      <c r="J76" s="50">
        <f t="shared" si="8"/>
        <v>309.40999999999997</v>
      </c>
      <c r="K76" s="47">
        <f t="shared" si="9"/>
        <v>1</v>
      </c>
      <c r="L76" s="48">
        <v>3.5000000000000003E-2</v>
      </c>
      <c r="M76" s="49">
        <f t="shared" si="10"/>
        <v>10.82935</v>
      </c>
      <c r="O76" s="78"/>
    </row>
    <row r="77" spans="1:15" ht="15" customHeight="1" x14ac:dyDescent="0.3">
      <c r="A77" s="289"/>
      <c r="B77" s="312"/>
      <c r="C77" s="237"/>
      <c r="D77" s="291"/>
      <c r="E77" s="313"/>
      <c r="F77" s="314"/>
      <c r="G77" s="313"/>
      <c r="H77" s="314"/>
      <c r="I77" s="315"/>
      <c r="J77" s="50"/>
      <c r="K77" s="47"/>
      <c r="L77" s="48"/>
      <c r="M77" s="49"/>
      <c r="O77" s="78"/>
    </row>
    <row r="78" spans="1:15" ht="15" customHeight="1" x14ac:dyDescent="0.3">
      <c r="A78" s="42"/>
      <c r="B78" s="43"/>
      <c r="C78" s="43"/>
      <c r="D78" s="68"/>
      <c r="E78" s="44"/>
      <c r="F78" s="44"/>
      <c r="G78" s="45"/>
      <c r="H78" s="46"/>
      <c r="I78" s="72"/>
      <c r="J78" s="50"/>
      <c r="K78" s="47"/>
      <c r="L78" s="48"/>
      <c r="M78" s="49"/>
    </row>
    <row r="79" spans="1:15" ht="15" customHeight="1" x14ac:dyDescent="0.3">
      <c r="A79" s="213"/>
      <c r="B79" s="213"/>
      <c r="C79" s="213"/>
      <c r="D79" s="213"/>
      <c r="E79" s="213"/>
      <c r="F79" s="213"/>
      <c r="G79" s="16">
        <f>SUM(G69:G78)</f>
        <v>1849.7399999999998</v>
      </c>
      <c r="H79" s="80"/>
      <c r="I79" s="81"/>
      <c r="J79" s="75">
        <f>SUM(J69:J78)</f>
        <v>1651.83</v>
      </c>
      <c r="K79" s="82"/>
      <c r="L79" s="82"/>
      <c r="M79" s="75">
        <f>SUM(M69:M78)</f>
        <v>54.141549999999995</v>
      </c>
    </row>
    <row r="80" spans="1:15" ht="15" customHeight="1" x14ac:dyDescent="0.25">
      <c r="A80" s="76"/>
      <c r="B80" s="76"/>
      <c r="C80" s="76"/>
      <c r="D80" s="77"/>
      <c r="E80" s="76"/>
      <c r="F80" s="76"/>
      <c r="G80" s="78"/>
      <c r="H80" s="52"/>
      <c r="I80" s="79"/>
      <c r="J80" s="52"/>
      <c r="K80" s="52"/>
      <c r="L80" s="52"/>
      <c r="M80" s="52"/>
    </row>
    <row r="81" spans="1:15" x14ac:dyDescent="0.25">
      <c r="A81" s="76"/>
      <c r="B81" s="76"/>
      <c r="C81" s="76"/>
      <c r="D81" s="77"/>
      <c r="E81" s="76"/>
      <c r="F81" s="76"/>
      <c r="G81" s="78"/>
      <c r="H81" s="52"/>
      <c r="I81" s="79"/>
      <c r="J81" s="78"/>
      <c r="K81" s="52"/>
      <c r="L81" s="52"/>
      <c r="M81" s="78"/>
    </row>
    <row r="82" spans="1:15" x14ac:dyDescent="0.25">
      <c r="A82" s="52" t="s">
        <v>19</v>
      </c>
      <c r="B82" s="76" t="s">
        <v>20</v>
      </c>
      <c r="C82" s="76" t="s">
        <v>21</v>
      </c>
      <c r="D82" s="79"/>
      <c r="E82" s="52"/>
      <c r="F82" s="52"/>
      <c r="G82" s="78"/>
      <c r="H82" s="52"/>
      <c r="I82" s="79"/>
      <c r="J82" s="52"/>
      <c r="K82" s="52"/>
      <c r="L82" s="52"/>
      <c r="M82" s="52"/>
    </row>
    <row r="83" spans="1:15" s="52" customFormat="1" ht="14.4" x14ac:dyDescent="0.3">
      <c r="A83" s="289"/>
      <c r="B83" s="236"/>
      <c r="C83" s="237"/>
      <c r="D83" s="291"/>
      <c r="E83" s="290"/>
      <c r="F83" s="297"/>
      <c r="G83" s="290"/>
      <c r="H83" s="297"/>
      <c r="I83" s="291"/>
      <c r="J83" s="50"/>
      <c r="K83" s="47"/>
      <c r="L83" s="48"/>
      <c r="M83" s="49"/>
      <c r="N83" s="60"/>
      <c r="O83" s="78"/>
    </row>
    <row r="84" spans="1:15" ht="15.6" thickBot="1" x14ac:dyDescent="0.3">
      <c r="A84" s="91"/>
      <c r="B84" s="102"/>
      <c r="C84" s="93"/>
      <c r="D84" s="88"/>
      <c r="E84" s="92"/>
      <c r="F84" s="92"/>
      <c r="G84" s="90"/>
      <c r="H84" s="92"/>
      <c r="I84" s="105"/>
      <c r="J84" s="50"/>
      <c r="K84" s="47"/>
      <c r="L84" s="48"/>
      <c r="M84" s="49"/>
    </row>
    <row r="85" spans="1:15" ht="16.2" thickBot="1" x14ac:dyDescent="0.35">
      <c r="A85" s="212" t="s">
        <v>29</v>
      </c>
      <c r="B85" s="212"/>
      <c r="C85" s="212"/>
      <c r="D85" s="212"/>
      <c r="E85" s="212"/>
      <c r="F85" s="212"/>
      <c r="G85" s="16">
        <f>SUM(G79:G84)</f>
        <v>1849.7399999999998</v>
      </c>
      <c r="I85" s="63"/>
      <c r="J85" s="37">
        <f>SUM(J79:J84)</f>
        <v>1651.83</v>
      </c>
      <c r="L85" s="20"/>
      <c r="M85" s="38">
        <f>SUM(M79:M84)</f>
        <v>54.141549999999995</v>
      </c>
    </row>
    <row r="86" spans="1:15" x14ac:dyDescent="0.25">
      <c r="A86" s="19"/>
      <c r="E86" s="19"/>
      <c r="F86" s="19"/>
      <c r="G86" s="8"/>
      <c r="I86" s="63"/>
    </row>
    <row r="88" spans="1:15" x14ac:dyDescent="0.25">
      <c r="J88" s="8"/>
    </row>
    <row r="89" spans="1:15" x14ac:dyDescent="0.25">
      <c r="J89" s="8"/>
    </row>
    <row r="90" spans="1:15" x14ac:dyDescent="0.25">
      <c r="J90" s="8">
        <f>(J56+J85)*2%</f>
        <v>569.98891304347831</v>
      </c>
      <c r="M90" s="8">
        <f>M85/12</f>
        <v>4.5117958333333332</v>
      </c>
      <c r="N90" s="59" t="s">
        <v>1504</v>
      </c>
    </row>
    <row r="91" spans="1:15" x14ac:dyDescent="0.25">
      <c r="J91" s="8">
        <f>J90/12</f>
        <v>47.499076086956528</v>
      </c>
      <c r="K91" s="7" t="s">
        <v>876</v>
      </c>
      <c r="M91" s="8">
        <f>M85/24</f>
        <v>2.2558979166666666</v>
      </c>
      <c r="N91" s="59" t="s">
        <v>1504</v>
      </c>
    </row>
    <row r="92" spans="1:15" x14ac:dyDescent="0.25">
      <c r="J92" s="8">
        <f>J90/24</f>
        <v>23.749538043478264</v>
      </c>
      <c r="K92" s="7" t="s">
        <v>876</v>
      </c>
    </row>
  </sheetData>
  <autoFilter ref="A3:M38" xr:uid="{4C9642CF-4125-414B-B854-419763D7EBE6}">
    <filterColumn colId="0" showButton="0"/>
    <filterColumn colId="1" showButton="0"/>
    <filterColumn colId="2" showButton="0"/>
    <filterColumn colId="3" showButton="0"/>
    <filterColumn colId="4" showButton="0"/>
  </autoFilter>
  <sortState xmlns:xlrd2="http://schemas.microsoft.com/office/spreadsheetml/2017/richdata2" ref="A69:T76">
    <sortCondition ref="C69:C76"/>
  </sortState>
  <mergeCells count="6">
    <mergeCell ref="A66:F66"/>
    <mergeCell ref="A3:F3"/>
    <mergeCell ref="A56:F56"/>
    <mergeCell ref="A63:F63"/>
    <mergeCell ref="A64:F64"/>
    <mergeCell ref="A65:F65"/>
  </mergeCells>
  <pageMargins left="0.19685039370078741" right="0" top="0.59055118110236227" bottom="0" header="0" footer="0"/>
  <pageSetup paperSize="9" scale="85" orientation="landscape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1E74B-BC25-4449-879A-D0A151E32F86}">
  <dimension ref="A1:T93"/>
  <sheetViews>
    <sheetView topLeftCell="A5" workbookViewId="0">
      <selection activeCell="J8" sqref="J8"/>
    </sheetView>
  </sheetViews>
  <sheetFormatPr baseColWidth="10" defaultColWidth="11.44140625" defaultRowHeight="13.2" x14ac:dyDescent="0.25"/>
  <cols>
    <col min="1" max="1" width="31.5546875" style="7" customWidth="1"/>
    <col min="2" max="2" width="20.5546875" style="19" customWidth="1"/>
    <col min="3" max="3" width="18.5546875" style="19" customWidth="1"/>
    <col min="4" max="4" width="10.88671875" style="67" customWidth="1"/>
    <col min="5" max="5" width="11.6640625" style="7" customWidth="1"/>
    <col min="6" max="6" width="9" style="7" customWidth="1"/>
    <col min="7" max="7" width="11.44140625" style="7"/>
    <col min="8" max="8" width="9.88671875" style="7" customWidth="1"/>
    <col min="9" max="9" width="13" style="67" customWidth="1"/>
    <col min="10" max="10" width="11.5546875" style="7" customWidth="1"/>
    <col min="11" max="11" width="7.33203125" style="7" customWidth="1"/>
    <col min="12" max="12" width="6.44140625" style="7" customWidth="1"/>
    <col min="13" max="13" width="8.88671875" style="7" customWidth="1"/>
    <col min="14" max="14" width="9.6640625" style="59" customWidth="1"/>
    <col min="15" max="15" width="12.44140625" style="8" customWidth="1"/>
    <col min="16" max="16" width="8" style="7" customWidth="1"/>
    <col min="17" max="16384" width="11.44140625" style="7"/>
  </cols>
  <sheetData>
    <row r="1" spans="1:20" ht="15" customHeight="1" x14ac:dyDescent="0.25">
      <c r="B1" s="181"/>
      <c r="C1" s="181"/>
      <c r="G1" s="8"/>
    </row>
    <row r="2" spans="1:20" ht="15" customHeight="1" x14ac:dyDescent="0.25">
      <c r="A2" s="30"/>
      <c r="B2" s="30"/>
      <c r="C2" s="30"/>
      <c r="D2" s="30"/>
      <c r="E2" s="30"/>
      <c r="F2" s="30"/>
      <c r="G2" s="24"/>
      <c r="H2" s="24"/>
      <c r="I2" s="195"/>
      <c r="J2" s="26"/>
      <c r="K2" s="27"/>
      <c r="L2" s="28"/>
      <c r="M2" s="29"/>
    </row>
    <row r="3" spans="1:20" ht="15" customHeight="1" x14ac:dyDescent="0.25">
      <c r="A3" s="331" t="s">
        <v>1</v>
      </c>
      <c r="B3" s="331"/>
      <c r="C3" s="331"/>
      <c r="D3" s="331"/>
      <c r="E3" s="331"/>
      <c r="F3" s="331"/>
      <c r="G3" s="24"/>
      <c r="H3" s="25"/>
      <c r="I3" s="195"/>
      <c r="J3" s="27"/>
      <c r="K3" s="27"/>
      <c r="L3" s="28"/>
      <c r="M3" s="29"/>
    </row>
    <row r="4" spans="1:20" ht="15" customHeight="1" x14ac:dyDescent="0.25">
      <c r="A4" s="30"/>
      <c r="B4" s="30" t="s">
        <v>1827</v>
      </c>
      <c r="C4" s="30"/>
      <c r="D4" s="64"/>
      <c r="E4" s="30"/>
      <c r="F4" s="30"/>
      <c r="G4" s="24"/>
      <c r="H4" s="25"/>
      <c r="I4" s="195"/>
      <c r="J4" s="27"/>
      <c r="K4" s="27"/>
      <c r="L4" s="28"/>
      <c r="M4" s="29"/>
    </row>
    <row r="5" spans="1:20" ht="15" customHeight="1" thickBot="1" x14ac:dyDescent="0.3">
      <c r="A5" s="30"/>
      <c r="B5" s="30" t="s">
        <v>22</v>
      </c>
      <c r="C5" s="30"/>
      <c r="D5" s="64"/>
      <c r="E5" s="30"/>
      <c r="F5" s="30"/>
      <c r="G5" s="32"/>
      <c r="H5" s="24"/>
      <c r="I5" s="64"/>
      <c r="J5" s="33"/>
      <c r="K5" s="27"/>
      <c r="L5" s="28"/>
      <c r="M5" s="29"/>
    </row>
    <row r="6" spans="1:20" ht="15" customHeight="1" x14ac:dyDescent="0.25">
      <c r="A6" s="34"/>
      <c r="B6" s="182"/>
      <c r="C6" s="182"/>
      <c r="D6" s="195"/>
      <c r="E6" s="33"/>
      <c r="F6" s="33"/>
      <c r="G6" s="35" t="s">
        <v>3</v>
      </c>
      <c r="H6" s="27"/>
      <c r="I6" s="195"/>
      <c r="J6" s="36" t="s">
        <v>4</v>
      </c>
      <c r="K6" s="56" t="s">
        <v>5</v>
      </c>
      <c r="L6" s="40" t="s">
        <v>6</v>
      </c>
      <c r="M6" s="36" t="s">
        <v>7</v>
      </c>
    </row>
    <row r="7" spans="1:20" s="327" customFormat="1" ht="15" customHeight="1" x14ac:dyDescent="0.25">
      <c r="A7" s="319" t="s">
        <v>8</v>
      </c>
      <c r="B7" s="319" t="s">
        <v>9</v>
      </c>
      <c r="C7" s="319" t="s">
        <v>10</v>
      </c>
      <c r="D7" s="197" t="s">
        <v>11</v>
      </c>
      <c r="E7" s="319" t="s">
        <v>12</v>
      </c>
      <c r="F7" s="320" t="s">
        <v>50</v>
      </c>
      <c r="G7" s="321" t="s">
        <v>13</v>
      </c>
      <c r="H7" s="322" t="s">
        <v>14</v>
      </c>
      <c r="I7" s="197" t="s">
        <v>15</v>
      </c>
      <c r="J7" s="323" t="s">
        <v>16</v>
      </c>
      <c r="K7" s="324"/>
      <c r="L7" s="325" t="s">
        <v>17</v>
      </c>
      <c r="M7" s="323" t="s">
        <v>39</v>
      </c>
      <c r="N7" s="326"/>
      <c r="O7" s="329"/>
    </row>
    <row r="8" spans="1:20" ht="15" customHeight="1" x14ac:dyDescent="0.3">
      <c r="A8" s="289" t="s">
        <v>923</v>
      </c>
      <c r="B8" s="300" t="s">
        <v>59</v>
      </c>
      <c r="C8" s="237" t="s">
        <v>1835</v>
      </c>
      <c r="D8" s="291">
        <v>46245</v>
      </c>
      <c r="E8" s="290">
        <v>68.64</v>
      </c>
      <c r="F8" s="290">
        <v>10.3</v>
      </c>
      <c r="G8" s="290">
        <v>68.64</v>
      </c>
      <c r="H8" s="290">
        <v>8.75</v>
      </c>
      <c r="I8" s="291">
        <v>46245</v>
      </c>
      <c r="J8" s="50">
        <f>+E8-F8</f>
        <v>58.34</v>
      </c>
      <c r="K8" s="47">
        <f t="shared" ref="K8:K29" si="0">+I8-D8</f>
        <v>0</v>
      </c>
      <c r="L8" s="5">
        <v>0.04</v>
      </c>
      <c r="M8" s="6">
        <f t="shared" ref="M8:M29" si="1">+J8*L8</f>
        <v>2.3336000000000001</v>
      </c>
      <c r="O8" s="78"/>
    </row>
    <row r="9" spans="1:20" ht="15" customHeight="1" x14ac:dyDescent="0.3">
      <c r="A9" s="289" t="s">
        <v>89</v>
      </c>
      <c r="B9" s="300" t="s">
        <v>18</v>
      </c>
      <c r="C9" s="237" t="s">
        <v>1834</v>
      </c>
      <c r="D9" s="291">
        <v>46245</v>
      </c>
      <c r="E9" s="290">
        <v>17.399999999999999</v>
      </c>
      <c r="F9" s="290">
        <v>2.61</v>
      </c>
      <c r="G9" s="290">
        <v>16.97</v>
      </c>
      <c r="H9" s="290">
        <v>2.2200000000000002</v>
      </c>
      <c r="I9" s="291">
        <v>46246</v>
      </c>
      <c r="J9" s="50">
        <f>+E9-F9</f>
        <v>14.79</v>
      </c>
      <c r="K9" s="47">
        <f t="shared" si="0"/>
        <v>1</v>
      </c>
      <c r="L9" s="5">
        <v>0.04</v>
      </c>
      <c r="M9" s="6">
        <f t="shared" si="1"/>
        <v>0.59160000000000001</v>
      </c>
      <c r="O9" s="78"/>
    </row>
    <row r="10" spans="1:20" ht="15" customHeight="1" x14ac:dyDescent="0.3">
      <c r="A10" s="289" t="s">
        <v>476</v>
      </c>
      <c r="B10" s="300" t="s">
        <v>61</v>
      </c>
      <c r="C10" s="237" t="s">
        <v>1851</v>
      </c>
      <c r="D10" s="291">
        <v>46255</v>
      </c>
      <c r="E10" s="290">
        <v>114.24</v>
      </c>
      <c r="F10" s="290">
        <v>17.14</v>
      </c>
      <c r="G10" s="290">
        <v>111.67</v>
      </c>
      <c r="H10" s="290">
        <v>14.57</v>
      </c>
      <c r="I10" s="291">
        <v>46265</v>
      </c>
      <c r="J10" s="50">
        <f t="shared" ref="J10:J29" si="2">+E10-F10</f>
        <v>97.1</v>
      </c>
      <c r="K10" s="47">
        <f t="shared" si="0"/>
        <v>10</v>
      </c>
      <c r="L10" s="5">
        <v>3.5000000000000003E-2</v>
      </c>
      <c r="M10" s="6">
        <f t="shared" si="1"/>
        <v>3.3985000000000003</v>
      </c>
      <c r="O10" s="78"/>
    </row>
    <row r="11" spans="1:20" ht="15" customHeight="1" x14ac:dyDescent="0.3">
      <c r="A11" s="289" t="s">
        <v>80</v>
      </c>
      <c r="B11" s="300" t="s">
        <v>18</v>
      </c>
      <c r="C11" s="237" t="s">
        <v>1836</v>
      </c>
      <c r="D11" s="291">
        <v>46220</v>
      </c>
      <c r="E11" s="290">
        <v>918</v>
      </c>
      <c r="F11" s="290">
        <v>183.6</v>
      </c>
      <c r="G11" s="290">
        <v>796.82</v>
      </c>
      <c r="H11" s="290">
        <v>110.16</v>
      </c>
      <c r="I11" s="291">
        <v>46252</v>
      </c>
      <c r="J11" s="50">
        <f t="shared" si="2"/>
        <v>734.4</v>
      </c>
      <c r="K11" s="47">
        <f t="shared" si="0"/>
        <v>32</v>
      </c>
      <c r="L11" s="5">
        <v>0.03</v>
      </c>
      <c r="M11" s="6">
        <f t="shared" si="1"/>
        <v>22.032</v>
      </c>
      <c r="O11" s="78"/>
      <c r="S11" s="15"/>
      <c r="T11" s="8"/>
    </row>
    <row r="12" spans="1:20" ht="15" customHeight="1" x14ac:dyDescent="0.3">
      <c r="A12" s="289" t="s">
        <v>55</v>
      </c>
      <c r="B12" s="236" t="s">
        <v>30</v>
      </c>
      <c r="C12" s="237" t="s">
        <v>1832</v>
      </c>
      <c r="D12" s="291">
        <v>46205</v>
      </c>
      <c r="E12" s="290">
        <v>1148.4000000000001</v>
      </c>
      <c r="F12" s="290">
        <v>229.68</v>
      </c>
      <c r="G12" s="290">
        <v>1056.53</v>
      </c>
      <c r="H12" s="290">
        <v>137.81</v>
      </c>
      <c r="I12" s="291">
        <v>46241</v>
      </c>
      <c r="J12" s="50">
        <f t="shared" si="2"/>
        <v>918.72</v>
      </c>
      <c r="K12" s="47">
        <f t="shared" si="0"/>
        <v>36</v>
      </c>
      <c r="L12" s="5">
        <v>0.03</v>
      </c>
      <c r="M12" s="6">
        <f t="shared" si="1"/>
        <v>27.561599999999999</v>
      </c>
      <c r="O12" s="78"/>
    </row>
    <row r="13" spans="1:20" ht="15" customHeight="1" x14ac:dyDescent="0.3">
      <c r="A13" s="289" t="s">
        <v>701</v>
      </c>
      <c r="B13" s="300" t="s">
        <v>24</v>
      </c>
      <c r="C13" s="237" t="s">
        <v>1830</v>
      </c>
      <c r="D13" s="291">
        <v>46202</v>
      </c>
      <c r="E13" s="290">
        <v>2021.4</v>
      </c>
      <c r="F13" s="290">
        <v>505.35</v>
      </c>
      <c r="G13" s="290">
        <v>1644.92</v>
      </c>
      <c r="H13" s="290">
        <v>227.41</v>
      </c>
      <c r="I13" s="291">
        <v>46239</v>
      </c>
      <c r="J13" s="50">
        <f>+E13-F13</f>
        <v>1516.0500000000002</v>
      </c>
      <c r="K13" s="47">
        <f t="shared" si="0"/>
        <v>37</v>
      </c>
      <c r="L13" s="5">
        <v>0.03</v>
      </c>
      <c r="M13" s="6">
        <f t="shared" si="1"/>
        <v>45.481500000000004</v>
      </c>
      <c r="O13" s="78"/>
    </row>
    <row r="14" spans="1:20" ht="15" customHeight="1" x14ac:dyDescent="0.3">
      <c r="A14" s="289" t="s">
        <v>35</v>
      </c>
      <c r="B14" s="300" t="s">
        <v>18</v>
      </c>
      <c r="C14" s="237" t="s">
        <v>1846</v>
      </c>
      <c r="D14" s="291">
        <v>46220</v>
      </c>
      <c r="E14" s="290">
        <v>70.2</v>
      </c>
      <c r="F14" s="290">
        <v>10.53</v>
      </c>
      <c r="G14" s="290">
        <v>68.62</v>
      </c>
      <c r="H14" s="290">
        <v>8.9499999999999993</v>
      </c>
      <c r="I14" s="291">
        <v>46265</v>
      </c>
      <c r="J14" s="50">
        <f t="shared" si="2"/>
        <v>59.67</v>
      </c>
      <c r="K14" s="47">
        <f t="shared" si="0"/>
        <v>45</v>
      </c>
      <c r="L14" s="5">
        <v>0.03</v>
      </c>
      <c r="M14" s="6">
        <f t="shared" si="1"/>
        <v>1.7901</v>
      </c>
      <c r="O14" s="78"/>
    </row>
    <row r="15" spans="1:20" ht="15" customHeight="1" x14ac:dyDescent="0.3">
      <c r="A15" s="289" t="s">
        <v>34</v>
      </c>
      <c r="B15" s="300" t="s">
        <v>18</v>
      </c>
      <c r="C15" s="237" t="s">
        <v>1843</v>
      </c>
      <c r="D15" s="291">
        <v>46212</v>
      </c>
      <c r="E15" s="290">
        <v>191.52</v>
      </c>
      <c r="F15" s="290">
        <v>28.73</v>
      </c>
      <c r="G15" s="290">
        <v>176.63</v>
      </c>
      <c r="H15" s="290">
        <v>24.42</v>
      </c>
      <c r="I15" s="291">
        <v>46260</v>
      </c>
      <c r="J15" s="50">
        <f>+E15-F15</f>
        <v>162.79000000000002</v>
      </c>
      <c r="K15" s="47">
        <f t="shared" si="0"/>
        <v>48</v>
      </c>
      <c r="L15" s="5">
        <v>0.03</v>
      </c>
      <c r="M15" s="6">
        <f t="shared" si="1"/>
        <v>4.8837000000000002</v>
      </c>
      <c r="O15" s="78"/>
    </row>
    <row r="16" spans="1:20" ht="15" customHeight="1" x14ac:dyDescent="0.3">
      <c r="A16" s="289" t="s">
        <v>106</v>
      </c>
      <c r="B16" s="300" t="s">
        <v>61</v>
      </c>
      <c r="C16" s="237" t="s">
        <v>1833</v>
      </c>
      <c r="D16" s="291">
        <v>46189</v>
      </c>
      <c r="E16" s="290">
        <v>262.08</v>
      </c>
      <c r="F16" s="290">
        <v>39.31</v>
      </c>
      <c r="G16" s="290">
        <v>256.19</v>
      </c>
      <c r="H16" s="290">
        <v>33.42</v>
      </c>
      <c r="I16" s="291">
        <v>46239</v>
      </c>
      <c r="J16" s="50">
        <f t="shared" si="2"/>
        <v>222.76999999999998</v>
      </c>
      <c r="K16" s="47">
        <f t="shared" si="0"/>
        <v>50</v>
      </c>
      <c r="L16" s="5">
        <v>0.03</v>
      </c>
      <c r="M16" s="6">
        <f t="shared" si="1"/>
        <v>6.6830999999999996</v>
      </c>
      <c r="O16" s="78"/>
    </row>
    <row r="17" spans="1:19" ht="15" customHeight="1" x14ac:dyDescent="0.3">
      <c r="A17" s="289" t="s">
        <v>1829</v>
      </c>
      <c r="B17" s="300" t="s">
        <v>24</v>
      </c>
      <c r="C17" s="237" t="s">
        <v>1845</v>
      </c>
      <c r="D17" s="291">
        <v>46202</v>
      </c>
      <c r="E17" s="290">
        <v>365.76</v>
      </c>
      <c r="F17" s="290">
        <v>47.55</v>
      </c>
      <c r="G17" s="290">
        <v>116.94</v>
      </c>
      <c r="H17" s="290">
        <v>47.73</v>
      </c>
      <c r="I17" s="291">
        <v>46262</v>
      </c>
      <c r="J17" s="50">
        <f>116.94/1.15</f>
        <v>101.68695652173913</v>
      </c>
      <c r="K17" s="47">
        <f t="shared" si="0"/>
        <v>60</v>
      </c>
      <c r="L17" s="5">
        <v>0.03</v>
      </c>
      <c r="M17" s="6">
        <f t="shared" si="1"/>
        <v>3.0506086956521741</v>
      </c>
      <c r="O17" s="78"/>
    </row>
    <row r="18" spans="1:19" ht="15" customHeight="1" x14ac:dyDescent="0.3">
      <c r="A18" s="289" t="s">
        <v>42</v>
      </c>
      <c r="B18" s="236" t="s">
        <v>18</v>
      </c>
      <c r="C18" s="237" t="s">
        <v>1837</v>
      </c>
      <c r="D18" s="291">
        <v>46197</v>
      </c>
      <c r="E18" s="290">
        <v>266.27999999999997</v>
      </c>
      <c r="F18" s="290">
        <v>39.94</v>
      </c>
      <c r="G18" s="290">
        <v>245.57</v>
      </c>
      <c r="H18" s="290">
        <v>33.950000000000003</v>
      </c>
      <c r="I18" s="291">
        <v>46258</v>
      </c>
      <c r="J18" s="50">
        <f>+E18-F18</f>
        <v>226.33999999999997</v>
      </c>
      <c r="K18" s="47">
        <f t="shared" si="0"/>
        <v>61</v>
      </c>
      <c r="L18" s="5">
        <v>0.03</v>
      </c>
      <c r="M18" s="6">
        <f t="shared" si="1"/>
        <v>6.7901999999999987</v>
      </c>
      <c r="O18" s="78"/>
      <c r="S18" s="15"/>
    </row>
    <row r="19" spans="1:19" ht="15" customHeight="1" x14ac:dyDescent="0.3">
      <c r="A19" s="289" t="s">
        <v>113</v>
      </c>
      <c r="B19" s="300" t="s">
        <v>18</v>
      </c>
      <c r="C19" s="237" t="s">
        <v>1849</v>
      </c>
      <c r="D19" s="291">
        <v>46174</v>
      </c>
      <c r="E19" s="290">
        <v>475.2</v>
      </c>
      <c r="F19" s="290">
        <v>118.8</v>
      </c>
      <c r="G19" s="290">
        <v>386.69</v>
      </c>
      <c r="H19" s="290">
        <v>53.46</v>
      </c>
      <c r="I19" s="291">
        <v>46238</v>
      </c>
      <c r="J19" s="50">
        <f t="shared" si="2"/>
        <v>356.4</v>
      </c>
      <c r="K19" s="47">
        <f t="shared" si="0"/>
        <v>64</v>
      </c>
      <c r="L19" s="5">
        <v>0.03</v>
      </c>
      <c r="M19" s="6">
        <f t="shared" si="1"/>
        <v>10.691999999999998</v>
      </c>
      <c r="O19" s="78"/>
    </row>
    <row r="20" spans="1:19" ht="15" customHeight="1" x14ac:dyDescent="0.3">
      <c r="A20" s="289" t="s">
        <v>113</v>
      </c>
      <c r="B20" s="300" t="s">
        <v>18</v>
      </c>
      <c r="C20" s="237" t="s">
        <v>1850</v>
      </c>
      <c r="D20" s="291">
        <v>46174</v>
      </c>
      <c r="E20" s="290">
        <v>522.72</v>
      </c>
      <c r="F20" s="290">
        <v>130.68</v>
      </c>
      <c r="G20" s="290">
        <v>425.37</v>
      </c>
      <c r="H20" s="290">
        <v>58.81</v>
      </c>
      <c r="I20" s="291">
        <v>46238</v>
      </c>
      <c r="J20" s="50">
        <f t="shared" si="2"/>
        <v>392.04</v>
      </c>
      <c r="K20" s="47">
        <f t="shared" si="0"/>
        <v>64</v>
      </c>
      <c r="L20" s="5">
        <v>0.03</v>
      </c>
      <c r="M20" s="6">
        <f t="shared" si="1"/>
        <v>11.761200000000001</v>
      </c>
      <c r="O20" s="78"/>
    </row>
    <row r="21" spans="1:19" ht="15" customHeight="1" x14ac:dyDescent="0.3">
      <c r="A21" s="289" t="s">
        <v>1828</v>
      </c>
      <c r="B21" s="300" t="s">
        <v>30</v>
      </c>
      <c r="C21" s="237" t="s">
        <v>1840</v>
      </c>
      <c r="D21" s="291">
        <v>46192</v>
      </c>
      <c r="E21" s="290">
        <v>201.96</v>
      </c>
      <c r="F21" s="290">
        <v>30.29</v>
      </c>
      <c r="G21" s="290">
        <v>197.44</v>
      </c>
      <c r="H21" s="290">
        <v>25.75</v>
      </c>
      <c r="I21" s="291">
        <v>46258</v>
      </c>
      <c r="J21" s="50">
        <f t="shared" si="2"/>
        <v>171.67000000000002</v>
      </c>
      <c r="K21" s="47">
        <f t="shared" si="0"/>
        <v>66</v>
      </c>
      <c r="L21" s="5">
        <v>0.03</v>
      </c>
      <c r="M21" s="6">
        <f t="shared" si="1"/>
        <v>5.1501000000000001</v>
      </c>
      <c r="O21" s="78"/>
    </row>
    <row r="22" spans="1:19" ht="15" customHeight="1" x14ac:dyDescent="0.3">
      <c r="A22" s="289" t="s">
        <v>71</v>
      </c>
      <c r="B22" s="300" t="s">
        <v>24</v>
      </c>
      <c r="C22" s="237" t="s">
        <v>1847</v>
      </c>
      <c r="D22" s="291">
        <v>46189</v>
      </c>
      <c r="E22" s="290">
        <v>5683.8</v>
      </c>
      <c r="F22" s="290">
        <v>1420.95</v>
      </c>
      <c r="G22" s="290">
        <v>4625.1899999999996</v>
      </c>
      <c r="H22" s="290">
        <v>639.42999999999995</v>
      </c>
      <c r="I22" s="291">
        <v>46265</v>
      </c>
      <c r="J22" s="50">
        <f t="shared" si="2"/>
        <v>4262.8500000000004</v>
      </c>
      <c r="K22" s="47">
        <f t="shared" si="0"/>
        <v>76</v>
      </c>
      <c r="L22" s="5">
        <v>0.03</v>
      </c>
      <c r="M22" s="6">
        <f t="shared" si="1"/>
        <v>127.88550000000001</v>
      </c>
      <c r="O22" s="78"/>
    </row>
    <row r="23" spans="1:19" ht="15" customHeight="1" x14ac:dyDescent="0.3">
      <c r="A23" s="289" t="s">
        <v>608</v>
      </c>
      <c r="B23" s="300" t="s">
        <v>95</v>
      </c>
      <c r="C23" s="237" t="s">
        <v>1838</v>
      </c>
      <c r="D23" s="291">
        <v>46169</v>
      </c>
      <c r="E23" s="290">
        <v>264.72000000000003</v>
      </c>
      <c r="F23" s="290">
        <v>39.71</v>
      </c>
      <c r="G23" s="290">
        <v>258.76</v>
      </c>
      <c r="H23" s="290">
        <v>33.75</v>
      </c>
      <c r="I23" s="291">
        <v>46255</v>
      </c>
      <c r="J23" s="50">
        <f t="shared" si="2"/>
        <v>225.01000000000002</v>
      </c>
      <c r="K23" s="47">
        <f t="shared" si="0"/>
        <v>86</v>
      </c>
      <c r="L23" s="5">
        <v>0.03</v>
      </c>
      <c r="M23" s="6">
        <f t="shared" si="1"/>
        <v>6.7503000000000002</v>
      </c>
      <c r="O23" s="78"/>
      <c r="R23" s="8"/>
    </row>
    <row r="24" spans="1:19" ht="15" customHeight="1" x14ac:dyDescent="0.3">
      <c r="A24" s="289" t="s">
        <v>93</v>
      </c>
      <c r="B24" s="236" t="s">
        <v>95</v>
      </c>
      <c r="C24" s="237" t="s">
        <v>1839</v>
      </c>
      <c r="D24" s="291">
        <v>46169</v>
      </c>
      <c r="E24" s="290">
        <v>116.88</v>
      </c>
      <c r="F24" s="290">
        <v>17.53</v>
      </c>
      <c r="G24" s="290">
        <v>114.25</v>
      </c>
      <c r="H24" s="290">
        <v>14.9</v>
      </c>
      <c r="I24" s="291">
        <v>46259</v>
      </c>
      <c r="J24" s="50">
        <f t="shared" si="2"/>
        <v>99.35</v>
      </c>
      <c r="K24" s="47">
        <f t="shared" si="0"/>
        <v>90</v>
      </c>
      <c r="L24" s="5">
        <v>0.03</v>
      </c>
      <c r="M24" s="6">
        <f t="shared" si="1"/>
        <v>2.9804999999999997</v>
      </c>
      <c r="O24" s="78"/>
    </row>
    <row r="25" spans="1:19" ht="15" customHeight="1" x14ac:dyDescent="0.3">
      <c r="A25" s="289" t="s">
        <v>1509</v>
      </c>
      <c r="B25" s="300" t="s">
        <v>32</v>
      </c>
      <c r="C25" s="237" t="s">
        <v>1844</v>
      </c>
      <c r="D25" s="291">
        <v>46170</v>
      </c>
      <c r="E25" s="290">
        <v>175.08</v>
      </c>
      <c r="F25" s="290">
        <v>26.26</v>
      </c>
      <c r="G25" s="290">
        <v>171.14</v>
      </c>
      <c r="H25" s="290">
        <v>22.32</v>
      </c>
      <c r="I25" s="291">
        <v>46262</v>
      </c>
      <c r="J25" s="50">
        <f t="shared" si="2"/>
        <v>148.82000000000002</v>
      </c>
      <c r="K25" s="47">
        <f t="shared" si="0"/>
        <v>92</v>
      </c>
      <c r="L25" s="5">
        <v>0.03</v>
      </c>
      <c r="M25" s="6">
        <f t="shared" si="1"/>
        <v>4.4646000000000008</v>
      </c>
      <c r="O25" s="78"/>
    </row>
    <row r="26" spans="1:19" ht="15" customHeight="1" x14ac:dyDescent="0.3">
      <c r="A26" s="289" t="s">
        <v>68</v>
      </c>
      <c r="B26" s="300" t="s">
        <v>32</v>
      </c>
      <c r="C26" s="237" t="s">
        <v>1848</v>
      </c>
      <c r="D26" s="291">
        <v>46170</v>
      </c>
      <c r="E26" s="290">
        <v>261.72000000000003</v>
      </c>
      <c r="F26" s="290">
        <v>39.26</v>
      </c>
      <c r="G26" s="290">
        <v>255.83</v>
      </c>
      <c r="H26" s="290">
        <v>33.369999999999997</v>
      </c>
      <c r="I26" s="291">
        <v>46262</v>
      </c>
      <c r="J26" s="50">
        <f t="shared" si="2"/>
        <v>222.46000000000004</v>
      </c>
      <c r="K26" s="47">
        <f t="shared" si="0"/>
        <v>92</v>
      </c>
      <c r="L26" s="5">
        <v>0.03</v>
      </c>
      <c r="M26" s="6">
        <f t="shared" si="1"/>
        <v>6.6738000000000008</v>
      </c>
      <c r="O26" s="78"/>
    </row>
    <row r="27" spans="1:19" ht="15" customHeight="1" x14ac:dyDescent="0.3">
      <c r="A27" s="289" t="s">
        <v>47</v>
      </c>
      <c r="B27" s="300" t="s">
        <v>18</v>
      </c>
      <c r="C27" s="237" t="s">
        <v>1831</v>
      </c>
      <c r="D27" s="291">
        <v>46107</v>
      </c>
      <c r="E27" s="290">
        <v>671.28</v>
      </c>
      <c r="F27" s="290">
        <v>134.26</v>
      </c>
      <c r="G27" s="290">
        <v>617.57000000000005</v>
      </c>
      <c r="H27" s="290">
        <v>80.55</v>
      </c>
      <c r="I27" s="291">
        <v>46241</v>
      </c>
      <c r="J27" s="50">
        <f t="shared" si="2"/>
        <v>537.02</v>
      </c>
      <c r="K27" s="47">
        <f t="shared" si="0"/>
        <v>134</v>
      </c>
      <c r="L27" s="5">
        <v>0.03</v>
      </c>
      <c r="M27" s="6">
        <f t="shared" si="1"/>
        <v>16.110599999999998</v>
      </c>
      <c r="O27" s="78"/>
    </row>
    <row r="28" spans="1:19" ht="15" customHeight="1" x14ac:dyDescent="0.3">
      <c r="A28" s="289" t="s">
        <v>1037</v>
      </c>
      <c r="B28" s="236" t="s">
        <v>26</v>
      </c>
      <c r="C28" s="237" t="s">
        <v>1841</v>
      </c>
      <c r="D28" s="291">
        <v>46118</v>
      </c>
      <c r="E28" s="290">
        <v>502.44</v>
      </c>
      <c r="F28" s="290">
        <v>75.37</v>
      </c>
      <c r="G28" s="290">
        <v>463.37</v>
      </c>
      <c r="H28" s="290">
        <v>64.06</v>
      </c>
      <c r="I28" s="291">
        <v>46259</v>
      </c>
      <c r="J28" s="50">
        <f t="shared" si="2"/>
        <v>427.07</v>
      </c>
      <c r="K28" s="47">
        <f t="shared" si="0"/>
        <v>141</v>
      </c>
      <c r="L28" s="5">
        <v>0.03</v>
      </c>
      <c r="M28" s="6">
        <f t="shared" si="1"/>
        <v>12.812099999999999</v>
      </c>
      <c r="O28" s="78"/>
    </row>
    <row r="29" spans="1:19" ht="15" customHeight="1" x14ac:dyDescent="0.3">
      <c r="A29" s="289" t="s">
        <v>1037</v>
      </c>
      <c r="B29" s="236" t="s">
        <v>26</v>
      </c>
      <c r="C29" s="237" t="s">
        <v>1842</v>
      </c>
      <c r="D29" s="291">
        <v>46118</v>
      </c>
      <c r="E29" s="290">
        <v>422.4</v>
      </c>
      <c r="F29" s="290">
        <v>42.24</v>
      </c>
      <c r="G29" s="290">
        <v>412.47</v>
      </c>
      <c r="H29" s="290">
        <v>57.02</v>
      </c>
      <c r="I29" s="291">
        <v>46259</v>
      </c>
      <c r="J29" s="50">
        <f t="shared" si="2"/>
        <v>380.15999999999997</v>
      </c>
      <c r="K29" s="47">
        <f t="shared" si="0"/>
        <v>141</v>
      </c>
      <c r="L29" s="5">
        <v>0.03</v>
      </c>
      <c r="M29" s="6">
        <f t="shared" si="1"/>
        <v>11.404799999999998</v>
      </c>
      <c r="O29" s="78"/>
    </row>
    <row r="30" spans="1:19" ht="15" customHeight="1" x14ac:dyDescent="0.3">
      <c r="A30" s="289"/>
      <c r="B30" s="236"/>
      <c r="C30" s="237"/>
      <c r="D30" s="316"/>
      <c r="E30" s="297"/>
      <c r="F30" s="297"/>
      <c r="G30" s="290"/>
      <c r="H30" s="297"/>
      <c r="I30" s="291"/>
      <c r="J30" s="50"/>
      <c r="K30" s="47"/>
      <c r="L30" s="5"/>
      <c r="M30" s="6"/>
      <c r="O30" s="78"/>
    </row>
    <row r="31" spans="1:19" ht="15" customHeight="1" x14ac:dyDescent="0.25">
      <c r="A31" s="171"/>
      <c r="B31" s="160"/>
      <c r="C31" s="171"/>
      <c r="D31" s="201"/>
      <c r="E31" s="87"/>
      <c r="F31" s="87"/>
      <c r="G31" s="94"/>
      <c r="H31" s="87"/>
      <c r="I31" s="106"/>
      <c r="J31" s="50"/>
      <c r="K31" s="47"/>
      <c r="L31" s="5"/>
      <c r="M31" s="6"/>
      <c r="O31" s="78"/>
    </row>
    <row r="32" spans="1:19" ht="15" customHeight="1" x14ac:dyDescent="0.3">
      <c r="G32" s="16">
        <f>SUM(G8:G31)</f>
        <v>12487.579999999998</v>
      </c>
      <c r="J32" s="16">
        <f>SUM(J8:J31)</f>
        <v>11335.506956521738</v>
      </c>
      <c r="M32" s="16">
        <f>SUM(M8:M31)</f>
        <v>341.28200869565222</v>
      </c>
      <c r="O32" s="78"/>
    </row>
    <row r="33" spans="1:15" ht="15" customHeight="1" x14ac:dyDescent="0.25">
      <c r="G33" s="8"/>
      <c r="H33" s="8"/>
      <c r="O33" s="78"/>
    </row>
    <row r="34" spans="1:15" ht="15" customHeight="1" x14ac:dyDescent="0.25">
      <c r="A34" s="17" t="s">
        <v>19</v>
      </c>
      <c r="B34" s="18" t="s">
        <v>20</v>
      </c>
      <c r="C34" s="18" t="s">
        <v>21</v>
      </c>
      <c r="J34" s="8"/>
      <c r="O34" s="78"/>
    </row>
    <row r="35" spans="1:15" s="52" customFormat="1" ht="14.4" x14ac:dyDescent="0.3">
      <c r="A35" s="289" t="s">
        <v>40</v>
      </c>
      <c r="B35" s="235" t="s">
        <v>1852</v>
      </c>
      <c r="C35" s="237" t="s">
        <v>1867</v>
      </c>
      <c r="D35" s="263">
        <v>46240</v>
      </c>
      <c r="E35" s="259">
        <v>423.36</v>
      </c>
      <c r="F35" s="259">
        <v>105.84</v>
      </c>
      <c r="G35" s="290">
        <v>344.51</v>
      </c>
      <c r="H35" s="259">
        <v>47.63</v>
      </c>
      <c r="I35" s="291">
        <v>46271</v>
      </c>
      <c r="J35" s="50">
        <f t="shared" ref="J35:J54" si="3">+E35-F35</f>
        <v>317.52</v>
      </c>
      <c r="K35" s="47">
        <f t="shared" ref="K35:K54" si="4">+I35-D35</f>
        <v>31</v>
      </c>
      <c r="L35" s="48">
        <v>0.03</v>
      </c>
      <c r="M35" s="49">
        <f t="shared" ref="M35:M54" si="5">+J35*L35</f>
        <v>9.525599999999999</v>
      </c>
      <c r="N35" s="60"/>
      <c r="O35" s="78"/>
    </row>
    <row r="36" spans="1:15" s="52" customFormat="1" ht="14.4" x14ac:dyDescent="0.3">
      <c r="A36" s="289" t="s">
        <v>42</v>
      </c>
      <c r="B36" s="235" t="s">
        <v>1853</v>
      </c>
      <c r="C36" s="237" t="s">
        <v>1868</v>
      </c>
      <c r="D36" s="263">
        <v>46217</v>
      </c>
      <c r="E36" s="259">
        <v>122.4</v>
      </c>
      <c r="F36" s="259">
        <v>18.36</v>
      </c>
      <c r="G36" s="290">
        <f>119.65-6.76</f>
        <v>112.89</v>
      </c>
      <c r="H36" s="259">
        <v>15.61</v>
      </c>
      <c r="I36" s="291">
        <v>46271</v>
      </c>
      <c r="J36" s="50">
        <f t="shared" si="3"/>
        <v>104.04</v>
      </c>
      <c r="K36" s="47">
        <f t="shared" si="4"/>
        <v>54</v>
      </c>
      <c r="L36" s="48">
        <v>0.03</v>
      </c>
      <c r="M36" s="49">
        <f t="shared" si="5"/>
        <v>3.1212</v>
      </c>
      <c r="N36" s="60"/>
      <c r="O36" s="78"/>
    </row>
    <row r="37" spans="1:15" s="52" customFormat="1" ht="14.4" x14ac:dyDescent="0.3">
      <c r="A37" s="289" t="s">
        <v>42</v>
      </c>
      <c r="B37" s="235" t="s">
        <v>1853</v>
      </c>
      <c r="C37" s="237" t="s">
        <v>1869</v>
      </c>
      <c r="D37" s="263">
        <v>46219</v>
      </c>
      <c r="E37" s="259">
        <v>86.4</v>
      </c>
      <c r="F37" s="259">
        <v>12.96</v>
      </c>
      <c r="G37" s="290">
        <f>84.46-4.78</f>
        <v>79.679999999999993</v>
      </c>
      <c r="H37" s="259">
        <v>11.02</v>
      </c>
      <c r="I37" s="291">
        <v>46271</v>
      </c>
      <c r="J37" s="50">
        <f t="shared" si="3"/>
        <v>73.44</v>
      </c>
      <c r="K37" s="47">
        <f t="shared" si="4"/>
        <v>52</v>
      </c>
      <c r="L37" s="48">
        <v>0.03</v>
      </c>
      <c r="M37" s="49">
        <f t="shared" si="5"/>
        <v>2.2031999999999998</v>
      </c>
      <c r="N37" s="60"/>
      <c r="O37" s="78"/>
    </row>
    <row r="38" spans="1:15" s="52" customFormat="1" ht="14.4" x14ac:dyDescent="0.3">
      <c r="A38" s="289" t="s">
        <v>42</v>
      </c>
      <c r="B38" s="235" t="s">
        <v>1854</v>
      </c>
      <c r="C38" s="237" t="s">
        <v>1870</v>
      </c>
      <c r="D38" s="263">
        <v>46230</v>
      </c>
      <c r="E38" s="259">
        <v>288.24</v>
      </c>
      <c r="F38" s="259">
        <v>43.24</v>
      </c>
      <c r="G38" s="290">
        <f>281.75-15.93</f>
        <v>265.82</v>
      </c>
      <c r="H38" s="259">
        <v>36.75</v>
      </c>
      <c r="I38" s="291">
        <v>46276</v>
      </c>
      <c r="J38" s="50">
        <f t="shared" si="3"/>
        <v>245</v>
      </c>
      <c r="K38" s="47">
        <f t="shared" si="4"/>
        <v>46</v>
      </c>
      <c r="L38" s="48">
        <v>0.03</v>
      </c>
      <c r="M38" s="49">
        <f t="shared" si="5"/>
        <v>7.35</v>
      </c>
      <c r="N38" s="60"/>
      <c r="O38" s="78"/>
    </row>
    <row r="39" spans="1:15" ht="15" customHeight="1" x14ac:dyDescent="0.3">
      <c r="A39" s="289" t="s">
        <v>42</v>
      </c>
      <c r="B39" s="235" t="s">
        <v>1854</v>
      </c>
      <c r="C39" s="237" t="s">
        <v>1871</v>
      </c>
      <c r="D39" s="263">
        <v>46230</v>
      </c>
      <c r="E39" s="259">
        <v>20.399999999999999</v>
      </c>
      <c r="F39" s="259">
        <v>3.06</v>
      </c>
      <c r="G39" s="290">
        <f>19.94-1.13</f>
        <v>18.810000000000002</v>
      </c>
      <c r="H39" s="259">
        <v>2.6</v>
      </c>
      <c r="I39" s="291">
        <v>46276</v>
      </c>
      <c r="J39" s="50">
        <f t="shared" si="3"/>
        <v>17.34</v>
      </c>
      <c r="K39" s="47">
        <f>+I39-D39</f>
        <v>46</v>
      </c>
      <c r="L39" s="5">
        <v>0.03</v>
      </c>
      <c r="M39" s="6">
        <f>+J39*L39</f>
        <v>0.5202</v>
      </c>
      <c r="O39" s="78"/>
    </row>
    <row r="40" spans="1:15" ht="15" customHeight="1" x14ac:dyDescent="0.3">
      <c r="A40" s="289" t="s">
        <v>46</v>
      </c>
      <c r="B40" s="235" t="s">
        <v>1855</v>
      </c>
      <c r="C40" s="237" t="s">
        <v>1872</v>
      </c>
      <c r="D40" s="263">
        <v>46251</v>
      </c>
      <c r="E40" s="259">
        <v>303.60000000000002</v>
      </c>
      <c r="F40" s="259">
        <v>60.72</v>
      </c>
      <c r="G40" s="290">
        <v>274.45</v>
      </c>
      <c r="H40" s="259">
        <v>36.43</v>
      </c>
      <c r="I40" s="291">
        <v>46282</v>
      </c>
      <c r="J40" s="50">
        <f t="shared" si="3"/>
        <v>242.88000000000002</v>
      </c>
      <c r="K40" s="47">
        <f t="shared" ref="K40:K48" si="6">+I40-D40</f>
        <v>31</v>
      </c>
      <c r="L40" s="5">
        <v>0.03</v>
      </c>
      <c r="M40" s="6">
        <f t="shared" ref="M40:M48" si="7">+J40*L40</f>
        <v>7.2864000000000004</v>
      </c>
      <c r="O40" s="78"/>
    </row>
    <row r="41" spans="1:15" ht="15" customHeight="1" x14ac:dyDescent="0.3">
      <c r="A41" s="289" t="s">
        <v>94</v>
      </c>
      <c r="B41" s="235" t="s">
        <v>1856</v>
      </c>
      <c r="C41" s="237" t="s">
        <v>1873</v>
      </c>
      <c r="D41" s="263">
        <v>46223</v>
      </c>
      <c r="E41" s="259">
        <v>303.72000000000003</v>
      </c>
      <c r="F41" s="259">
        <v>45.56</v>
      </c>
      <c r="G41" s="290">
        <v>296.88</v>
      </c>
      <c r="H41" s="259">
        <v>38.72</v>
      </c>
      <c r="I41" s="291">
        <v>46270</v>
      </c>
      <c r="J41" s="50">
        <f t="shared" si="3"/>
        <v>258.16000000000003</v>
      </c>
      <c r="K41" s="47">
        <f t="shared" ref="K41:K43" si="8">+I41-D41</f>
        <v>47</v>
      </c>
      <c r="L41" s="5">
        <v>0.03</v>
      </c>
      <c r="M41" s="6">
        <f t="shared" ref="M41:M43" si="9">+J41*L41</f>
        <v>7.7448000000000006</v>
      </c>
      <c r="O41" s="78"/>
    </row>
    <row r="42" spans="1:15" ht="15" customHeight="1" x14ac:dyDescent="0.3">
      <c r="A42" s="289" t="s">
        <v>132</v>
      </c>
      <c r="B42" s="235" t="s">
        <v>1857</v>
      </c>
      <c r="C42" s="237" t="s">
        <v>1874</v>
      </c>
      <c r="D42" s="291">
        <v>46178</v>
      </c>
      <c r="E42" s="297">
        <v>586.79999999999995</v>
      </c>
      <c r="F42" s="297">
        <v>88.02</v>
      </c>
      <c r="G42" s="290">
        <v>573.6</v>
      </c>
      <c r="H42" s="297">
        <v>74.819999999999993</v>
      </c>
      <c r="I42" s="291">
        <v>46326</v>
      </c>
      <c r="J42" s="50">
        <f t="shared" si="3"/>
        <v>498.78</v>
      </c>
      <c r="K42" s="47">
        <f t="shared" si="8"/>
        <v>148</v>
      </c>
      <c r="L42" s="5">
        <v>0.03</v>
      </c>
      <c r="M42" s="6">
        <f t="shared" si="9"/>
        <v>14.963399999999998</v>
      </c>
      <c r="O42" s="78"/>
    </row>
    <row r="43" spans="1:15" ht="15" customHeight="1" x14ac:dyDescent="0.3">
      <c r="A43" s="289" t="s">
        <v>52</v>
      </c>
      <c r="B43" s="235" t="s">
        <v>1858</v>
      </c>
      <c r="C43" s="237" t="s">
        <v>1875</v>
      </c>
      <c r="D43" s="291">
        <v>46219</v>
      </c>
      <c r="E43" s="297">
        <v>489.6</v>
      </c>
      <c r="F43" s="297">
        <v>122.4</v>
      </c>
      <c r="G43" s="290">
        <v>398.42</v>
      </c>
      <c r="H43" s="297">
        <v>55.08</v>
      </c>
      <c r="I43" s="291">
        <v>46283</v>
      </c>
      <c r="J43" s="50">
        <f t="shared" si="3"/>
        <v>367.20000000000005</v>
      </c>
      <c r="K43" s="47">
        <f t="shared" si="8"/>
        <v>64</v>
      </c>
      <c r="L43" s="5">
        <v>0.03</v>
      </c>
      <c r="M43" s="6">
        <f t="shared" si="9"/>
        <v>11.016000000000002</v>
      </c>
      <c r="O43" s="78"/>
    </row>
    <row r="44" spans="1:15" ht="15" customHeight="1" x14ac:dyDescent="0.3">
      <c r="A44" s="289" t="s">
        <v>52</v>
      </c>
      <c r="B44" s="235" t="s">
        <v>1859</v>
      </c>
      <c r="C44" s="237" t="s">
        <v>1876</v>
      </c>
      <c r="D44" s="291">
        <v>46237</v>
      </c>
      <c r="E44" s="297">
        <v>337.8</v>
      </c>
      <c r="F44" s="297">
        <v>84.45</v>
      </c>
      <c r="G44" s="290">
        <v>274.88</v>
      </c>
      <c r="H44" s="297">
        <v>38</v>
      </c>
      <c r="I44" s="291">
        <v>46298</v>
      </c>
      <c r="J44" s="50">
        <f t="shared" si="3"/>
        <v>253.35000000000002</v>
      </c>
      <c r="K44" s="47">
        <f t="shared" si="6"/>
        <v>61</v>
      </c>
      <c r="L44" s="5">
        <v>0.03</v>
      </c>
      <c r="M44" s="6">
        <f t="shared" si="7"/>
        <v>7.6005000000000003</v>
      </c>
      <c r="O44" s="78"/>
    </row>
    <row r="45" spans="1:15" ht="15" customHeight="1" x14ac:dyDescent="0.3">
      <c r="A45" s="289" t="s">
        <v>52</v>
      </c>
      <c r="B45" s="235" t="s">
        <v>1860</v>
      </c>
      <c r="C45" s="237" t="s">
        <v>1877</v>
      </c>
      <c r="D45" s="291">
        <v>46254</v>
      </c>
      <c r="E45" s="297">
        <v>736.8</v>
      </c>
      <c r="F45" s="297">
        <v>184.2</v>
      </c>
      <c r="G45" s="290">
        <v>599.57000000000005</v>
      </c>
      <c r="H45" s="297">
        <v>82.89</v>
      </c>
      <c r="I45" s="291">
        <v>46318</v>
      </c>
      <c r="J45" s="50">
        <f t="shared" si="3"/>
        <v>552.59999999999991</v>
      </c>
      <c r="K45" s="47">
        <f t="shared" si="6"/>
        <v>64</v>
      </c>
      <c r="L45" s="5">
        <v>0.03</v>
      </c>
      <c r="M45" s="6">
        <f t="shared" si="7"/>
        <v>16.577999999999996</v>
      </c>
      <c r="O45" s="78"/>
    </row>
    <row r="46" spans="1:15" ht="15" customHeight="1" x14ac:dyDescent="0.3">
      <c r="A46" s="289" t="s">
        <v>42</v>
      </c>
      <c r="B46" s="235" t="s">
        <v>1861</v>
      </c>
      <c r="C46" s="237" t="s">
        <v>1878</v>
      </c>
      <c r="D46" s="291">
        <v>46205</v>
      </c>
      <c r="E46" s="297">
        <v>137.28</v>
      </c>
      <c r="F46" s="297">
        <v>20.59</v>
      </c>
      <c r="G46" s="290">
        <f>134.19-7.58</f>
        <v>126.61</v>
      </c>
      <c r="H46" s="297">
        <v>17.5</v>
      </c>
      <c r="I46" s="291">
        <v>46269</v>
      </c>
      <c r="J46" s="50">
        <f t="shared" si="3"/>
        <v>116.69</v>
      </c>
      <c r="K46" s="47">
        <f t="shared" si="6"/>
        <v>64</v>
      </c>
      <c r="L46" s="5">
        <v>0.03</v>
      </c>
      <c r="M46" s="6">
        <f t="shared" si="7"/>
        <v>3.5006999999999997</v>
      </c>
      <c r="O46" s="78"/>
    </row>
    <row r="47" spans="1:15" ht="15" customHeight="1" x14ac:dyDescent="0.3">
      <c r="A47" s="289" t="s">
        <v>42</v>
      </c>
      <c r="B47" s="235" t="s">
        <v>1861</v>
      </c>
      <c r="C47" s="237" t="s">
        <v>1879</v>
      </c>
      <c r="D47" s="291">
        <v>46210</v>
      </c>
      <c r="E47" s="297">
        <v>165</v>
      </c>
      <c r="F47" s="297">
        <v>24.75</v>
      </c>
      <c r="G47" s="290">
        <f>161.29-9.12</f>
        <v>152.16999999999999</v>
      </c>
      <c r="H47" s="297">
        <v>21.04</v>
      </c>
      <c r="I47" s="291">
        <v>46269</v>
      </c>
      <c r="J47" s="50">
        <f t="shared" si="3"/>
        <v>140.25</v>
      </c>
      <c r="K47" s="47">
        <f t="shared" si="6"/>
        <v>59</v>
      </c>
      <c r="L47" s="5">
        <v>0.03</v>
      </c>
      <c r="M47" s="6">
        <f t="shared" si="7"/>
        <v>4.2074999999999996</v>
      </c>
      <c r="O47" s="78"/>
    </row>
    <row r="48" spans="1:15" ht="15" customHeight="1" x14ac:dyDescent="0.3">
      <c r="A48" s="289" t="s">
        <v>42</v>
      </c>
      <c r="B48" s="235" t="s">
        <v>1861</v>
      </c>
      <c r="C48" s="237" t="s">
        <v>1880</v>
      </c>
      <c r="D48" s="291">
        <v>46212</v>
      </c>
      <c r="E48" s="297">
        <v>81.599999999999994</v>
      </c>
      <c r="F48" s="297">
        <v>12.24</v>
      </c>
      <c r="G48" s="290">
        <f>79.76-4.51</f>
        <v>75.25</v>
      </c>
      <c r="H48" s="297">
        <v>10.4</v>
      </c>
      <c r="I48" s="291">
        <v>46269</v>
      </c>
      <c r="J48" s="50">
        <f t="shared" si="3"/>
        <v>69.36</v>
      </c>
      <c r="K48" s="47">
        <f t="shared" si="6"/>
        <v>57</v>
      </c>
      <c r="L48" s="5">
        <v>0.03</v>
      </c>
      <c r="M48" s="6">
        <f t="shared" si="7"/>
        <v>2.0808</v>
      </c>
      <c r="O48" s="78"/>
    </row>
    <row r="49" spans="1:15" ht="15" customHeight="1" x14ac:dyDescent="0.3">
      <c r="A49" s="289" t="s">
        <v>42</v>
      </c>
      <c r="B49" s="235" t="s">
        <v>1862</v>
      </c>
      <c r="C49" s="237" t="s">
        <v>1881</v>
      </c>
      <c r="D49" s="291">
        <v>46238</v>
      </c>
      <c r="E49" s="297">
        <v>172.68</v>
      </c>
      <c r="F49" s="297">
        <v>25.9</v>
      </c>
      <c r="G49" s="290">
        <v>159.25</v>
      </c>
      <c r="H49" s="297">
        <v>22.02</v>
      </c>
      <c r="I49" s="291">
        <v>46283</v>
      </c>
      <c r="J49" s="50">
        <f t="shared" si="3"/>
        <v>146.78</v>
      </c>
      <c r="K49" s="47">
        <f t="shared" ref="K49:K52" si="10">+I49-D49</f>
        <v>45</v>
      </c>
      <c r="L49" s="5">
        <v>0.03</v>
      </c>
      <c r="M49" s="6">
        <f t="shared" ref="M49:M52" si="11">+J49*L49</f>
        <v>4.4033999999999995</v>
      </c>
      <c r="O49" s="78"/>
    </row>
    <row r="50" spans="1:15" ht="15" customHeight="1" x14ac:dyDescent="0.3">
      <c r="A50" s="289" t="s">
        <v>42</v>
      </c>
      <c r="B50" s="235" t="s">
        <v>1863</v>
      </c>
      <c r="C50" s="237" t="s">
        <v>1882</v>
      </c>
      <c r="D50" s="291">
        <v>46245</v>
      </c>
      <c r="E50" s="297">
        <v>145.19999999999999</v>
      </c>
      <c r="F50" s="297">
        <v>21.78</v>
      </c>
      <c r="G50" s="290">
        <v>133.91</v>
      </c>
      <c r="H50" s="297">
        <v>18.510000000000002</v>
      </c>
      <c r="I50" s="291">
        <v>46290</v>
      </c>
      <c r="J50" s="50">
        <f t="shared" si="3"/>
        <v>123.41999999999999</v>
      </c>
      <c r="K50" s="47">
        <f t="shared" si="10"/>
        <v>45</v>
      </c>
      <c r="L50" s="5">
        <v>0.03</v>
      </c>
      <c r="M50" s="6">
        <f t="shared" si="11"/>
        <v>3.7025999999999994</v>
      </c>
      <c r="O50" s="78"/>
    </row>
    <row r="51" spans="1:15" ht="15" customHeight="1" x14ac:dyDescent="0.3">
      <c r="A51" s="289" t="s">
        <v>42</v>
      </c>
      <c r="B51" s="235" t="s">
        <v>1864</v>
      </c>
      <c r="C51" s="237" t="s">
        <v>1883</v>
      </c>
      <c r="D51" s="291">
        <v>46252</v>
      </c>
      <c r="E51" s="297">
        <v>775.2</v>
      </c>
      <c r="F51" s="297">
        <v>116.28</v>
      </c>
      <c r="G51" s="290">
        <f>757.76-42.83</f>
        <v>714.93</v>
      </c>
      <c r="H51" s="297">
        <v>98.84</v>
      </c>
      <c r="I51" s="291">
        <v>46312</v>
      </c>
      <c r="J51" s="50">
        <f t="shared" si="3"/>
        <v>658.92000000000007</v>
      </c>
      <c r="K51" s="47">
        <f t="shared" si="10"/>
        <v>60</v>
      </c>
      <c r="L51" s="5">
        <v>0.03</v>
      </c>
      <c r="M51" s="6">
        <f t="shared" si="11"/>
        <v>19.767600000000002</v>
      </c>
      <c r="O51" s="78"/>
    </row>
    <row r="52" spans="1:15" ht="15" customHeight="1" x14ac:dyDescent="0.3">
      <c r="A52" s="289" t="s">
        <v>42</v>
      </c>
      <c r="B52" s="235" t="s">
        <v>1864</v>
      </c>
      <c r="C52" s="237" t="s">
        <v>1884</v>
      </c>
      <c r="D52" s="291">
        <v>46252</v>
      </c>
      <c r="E52" s="297">
        <v>179.76</v>
      </c>
      <c r="F52" s="297">
        <v>26.96</v>
      </c>
      <c r="G52" s="290">
        <f>175.72-9.94</f>
        <v>165.78</v>
      </c>
      <c r="H52" s="297">
        <v>22.92</v>
      </c>
      <c r="I52" s="291">
        <v>46312</v>
      </c>
      <c r="J52" s="50">
        <f t="shared" si="3"/>
        <v>152.79999999999998</v>
      </c>
      <c r="K52" s="47">
        <f t="shared" si="10"/>
        <v>60</v>
      </c>
      <c r="L52" s="5">
        <v>0.03</v>
      </c>
      <c r="M52" s="6">
        <f t="shared" si="11"/>
        <v>4.5839999999999996</v>
      </c>
      <c r="O52" s="78"/>
    </row>
    <row r="53" spans="1:15" ht="15" customHeight="1" x14ac:dyDescent="0.3">
      <c r="A53" s="289" t="s">
        <v>40</v>
      </c>
      <c r="B53" s="235" t="s">
        <v>1865</v>
      </c>
      <c r="C53" s="237" t="s">
        <v>1885</v>
      </c>
      <c r="D53" s="291">
        <v>46262</v>
      </c>
      <c r="E53" s="297">
        <v>1366.8</v>
      </c>
      <c r="F53" s="297">
        <v>341.7</v>
      </c>
      <c r="G53" s="290">
        <v>1112.24</v>
      </c>
      <c r="H53" s="297">
        <v>153.77000000000001</v>
      </c>
      <c r="I53" s="291">
        <v>46293</v>
      </c>
      <c r="J53" s="50">
        <f t="shared" si="3"/>
        <v>1025.0999999999999</v>
      </c>
      <c r="K53" s="47">
        <f>+I53-D53</f>
        <v>31</v>
      </c>
      <c r="L53" s="5">
        <v>0.03</v>
      </c>
      <c r="M53" s="6">
        <f>+J53*L53</f>
        <v>30.752999999999997</v>
      </c>
      <c r="O53" s="78"/>
    </row>
    <row r="54" spans="1:15" s="52" customFormat="1" ht="14.4" x14ac:dyDescent="0.3">
      <c r="A54" s="289" t="s">
        <v>78</v>
      </c>
      <c r="B54" s="289" t="s">
        <v>1866</v>
      </c>
      <c r="C54" s="237" t="s">
        <v>1886</v>
      </c>
      <c r="D54" s="291">
        <v>46265</v>
      </c>
      <c r="E54" s="297">
        <v>81.599999999999994</v>
      </c>
      <c r="F54" s="297">
        <v>10.61</v>
      </c>
      <c r="G54" s="290">
        <v>77.02</v>
      </c>
      <c r="H54" s="297">
        <v>10.65</v>
      </c>
      <c r="I54" s="291">
        <v>46285</v>
      </c>
      <c r="J54" s="50">
        <f t="shared" si="3"/>
        <v>70.989999999999995</v>
      </c>
      <c r="K54" s="47">
        <f t="shared" si="4"/>
        <v>20</v>
      </c>
      <c r="L54" s="48">
        <v>0.03</v>
      </c>
      <c r="M54" s="49">
        <f t="shared" si="5"/>
        <v>2.1296999999999997</v>
      </c>
      <c r="N54" s="60"/>
      <c r="O54" s="78"/>
    </row>
    <row r="55" spans="1:15" s="52" customFormat="1" x14ac:dyDescent="0.25">
      <c r="A55" s="235"/>
      <c r="B55" s="236"/>
      <c r="C55" s="237"/>
      <c r="D55" s="263"/>
      <c r="E55" s="267"/>
      <c r="F55" s="267"/>
      <c r="G55" s="6"/>
      <c r="H55" s="267"/>
      <c r="I55" s="263"/>
      <c r="J55" s="50"/>
      <c r="K55" s="47"/>
      <c r="L55" s="48"/>
      <c r="M55" s="49"/>
      <c r="N55" s="230"/>
      <c r="O55" s="78"/>
    </row>
    <row r="56" spans="1:15" s="52" customFormat="1" ht="15.6" thickBot="1" x14ac:dyDescent="0.3">
      <c r="A56" s="101"/>
      <c r="B56" s="102"/>
      <c r="C56" s="101"/>
      <c r="D56" s="105"/>
      <c r="E56" s="92"/>
      <c r="F56" s="92"/>
      <c r="G56" s="90"/>
      <c r="H56" s="92"/>
      <c r="I56" s="105"/>
      <c r="J56" s="50"/>
      <c r="K56" s="47"/>
      <c r="L56" s="48"/>
      <c r="M56" s="49"/>
      <c r="N56" s="60"/>
      <c r="O56" s="78"/>
    </row>
    <row r="57" spans="1:15" ht="15" customHeight="1" thickBot="1" x14ac:dyDescent="0.35">
      <c r="A57" s="332" t="s">
        <v>29</v>
      </c>
      <c r="B57" s="332"/>
      <c r="C57" s="332"/>
      <c r="D57" s="332"/>
      <c r="E57" s="332"/>
      <c r="F57" s="332"/>
      <c r="G57" s="16">
        <f>SUM(G32:G56)</f>
        <v>18444.249999999996</v>
      </c>
      <c r="J57" s="16">
        <f>SUM(J32:J56)</f>
        <v>16770.126956521744</v>
      </c>
      <c r="L57" s="20"/>
      <c r="M57" s="21">
        <f>SUM(M32:M56)</f>
        <v>504.3206086956522</v>
      </c>
    </row>
    <row r="58" spans="1:15" ht="15" customHeight="1" x14ac:dyDescent="0.3">
      <c r="A58" s="22"/>
      <c r="G58" s="8"/>
    </row>
    <row r="59" spans="1:15" ht="15" customHeight="1" x14ac:dyDescent="0.3">
      <c r="A59" s="39"/>
      <c r="G59" s="8"/>
      <c r="J59" s="8"/>
    </row>
    <row r="60" spans="1:15" ht="15" customHeight="1" x14ac:dyDescent="0.3">
      <c r="A60" s="39"/>
      <c r="G60" s="8"/>
      <c r="J60" s="8"/>
    </row>
    <row r="61" spans="1:15" ht="15" customHeight="1" x14ac:dyDescent="0.3">
      <c r="A61" s="39"/>
      <c r="G61" s="8"/>
      <c r="J61" s="8"/>
    </row>
    <row r="62" spans="1:15" ht="15" customHeight="1" x14ac:dyDescent="0.3">
      <c r="A62" s="39"/>
      <c r="G62" s="8"/>
      <c r="J62" s="8"/>
      <c r="M62" s="8"/>
    </row>
    <row r="63" spans="1:15" ht="15" customHeight="1" x14ac:dyDescent="0.3">
      <c r="A63" s="39"/>
      <c r="G63" s="8"/>
      <c r="J63" s="8"/>
      <c r="M63" s="8"/>
    </row>
    <row r="64" spans="1:15" ht="15" customHeight="1" x14ac:dyDescent="0.25">
      <c r="A64" s="331" t="s">
        <v>0</v>
      </c>
      <c r="B64" s="331"/>
      <c r="C64" s="331"/>
      <c r="D64" s="331"/>
      <c r="E64" s="331"/>
      <c r="F64" s="331"/>
      <c r="G64" s="24"/>
      <c r="H64" s="25"/>
      <c r="I64" s="65"/>
      <c r="J64" s="26"/>
      <c r="K64" s="27"/>
      <c r="L64" s="28"/>
      <c r="M64" s="29"/>
    </row>
    <row r="65" spans="1:15" ht="15" customHeight="1" x14ac:dyDescent="0.25">
      <c r="A65" s="331" t="s">
        <v>1</v>
      </c>
      <c r="B65" s="331"/>
      <c r="C65" s="331"/>
      <c r="D65" s="331"/>
      <c r="E65" s="331"/>
      <c r="F65" s="331"/>
      <c r="G65" s="24"/>
      <c r="H65" s="25"/>
      <c r="I65" s="65"/>
      <c r="J65" s="27"/>
      <c r="K65" s="27"/>
      <c r="L65" s="28"/>
      <c r="M65" s="29"/>
    </row>
    <row r="66" spans="1:15" ht="15" customHeight="1" x14ac:dyDescent="0.25">
      <c r="A66" s="331" t="s">
        <v>1827</v>
      </c>
      <c r="B66" s="331"/>
      <c r="C66" s="331"/>
      <c r="D66" s="331"/>
      <c r="E66" s="331"/>
      <c r="F66" s="331"/>
      <c r="G66" s="24"/>
      <c r="H66" s="25"/>
      <c r="I66" s="65"/>
      <c r="J66" s="27"/>
      <c r="K66" s="27"/>
      <c r="L66" s="28"/>
      <c r="M66" s="29"/>
    </row>
    <row r="67" spans="1:15" ht="15" customHeight="1" thickBot="1" x14ac:dyDescent="0.3">
      <c r="A67" s="331" t="s">
        <v>1130</v>
      </c>
      <c r="B67" s="331"/>
      <c r="C67" s="331"/>
      <c r="D67" s="331"/>
      <c r="E67" s="331"/>
      <c r="F67" s="331"/>
      <c r="G67" s="32"/>
      <c r="H67" s="24"/>
      <c r="I67" s="69"/>
      <c r="J67" s="33"/>
      <c r="K67" s="27"/>
      <c r="L67" s="28"/>
      <c r="M67" s="29"/>
    </row>
    <row r="68" spans="1:15" ht="15" customHeight="1" x14ac:dyDescent="0.25">
      <c r="A68" s="34" t="s">
        <v>66</v>
      </c>
      <c r="B68" s="182"/>
      <c r="C68" s="33"/>
      <c r="D68" s="65"/>
      <c r="E68" s="33"/>
      <c r="F68" s="33"/>
      <c r="G68" s="35" t="s">
        <v>3</v>
      </c>
      <c r="H68" s="27"/>
      <c r="I68" s="65"/>
      <c r="J68" s="36" t="s">
        <v>4</v>
      </c>
      <c r="K68" s="56" t="s">
        <v>5</v>
      </c>
      <c r="L68" s="40" t="s">
        <v>6</v>
      </c>
      <c r="M68" s="36" t="s">
        <v>7</v>
      </c>
    </row>
    <row r="69" spans="1:15" s="327" customFormat="1" ht="15" customHeight="1" thickBot="1" x14ac:dyDescent="0.3">
      <c r="A69" s="319" t="s">
        <v>8</v>
      </c>
      <c r="B69" s="319" t="s">
        <v>9</v>
      </c>
      <c r="C69" s="319" t="s">
        <v>10</v>
      </c>
      <c r="D69" s="197" t="s">
        <v>11</v>
      </c>
      <c r="E69" s="319" t="s">
        <v>12</v>
      </c>
      <c r="F69" s="320" t="s">
        <v>50</v>
      </c>
      <c r="G69" s="328" t="s">
        <v>13</v>
      </c>
      <c r="H69" s="322" t="s">
        <v>14</v>
      </c>
      <c r="I69" s="70" t="s">
        <v>15</v>
      </c>
      <c r="J69" s="323" t="s">
        <v>16</v>
      </c>
      <c r="K69" s="324"/>
      <c r="L69" s="325" t="s">
        <v>17</v>
      </c>
      <c r="M69" s="323" t="s">
        <v>39</v>
      </c>
      <c r="N69" s="326"/>
      <c r="O69" s="329"/>
    </row>
    <row r="70" spans="1:15" ht="15" customHeight="1" x14ac:dyDescent="0.3">
      <c r="A70" s="289"/>
      <c r="B70" s="300"/>
      <c r="C70" s="237"/>
      <c r="D70" s="291"/>
      <c r="E70" s="290"/>
      <c r="F70" s="290"/>
      <c r="G70" s="289"/>
      <c r="H70" s="290"/>
      <c r="I70" s="291"/>
      <c r="J70" s="50"/>
      <c r="K70" s="47"/>
      <c r="L70" s="48"/>
      <c r="M70" s="49"/>
      <c r="O70" s="78"/>
    </row>
    <row r="71" spans="1:15" ht="15" customHeight="1" x14ac:dyDescent="0.3">
      <c r="A71" s="289"/>
      <c r="B71" s="300"/>
      <c r="C71" s="237"/>
      <c r="D71" s="291"/>
      <c r="E71" s="290"/>
      <c r="F71" s="290"/>
      <c r="G71" s="290"/>
      <c r="H71" s="290"/>
      <c r="I71" s="291"/>
      <c r="J71" s="50"/>
      <c r="K71" s="47"/>
      <c r="L71" s="48"/>
      <c r="M71" s="49"/>
      <c r="O71" s="78"/>
    </row>
    <row r="72" spans="1:15" ht="15" customHeight="1" x14ac:dyDescent="0.3">
      <c r="A72" s="289"/>
      <c r="B72" s="300"/>
      <c r="C72" s="237"/>
      <c r="D72" s="291"/>
      <c r="E72" s="290"/>
      <c r="F72" s="290"/>
      <c r="G72" s="290"/>
      <c r="H72" s="290"/>
      <c r="I72" s="291"/>
      <c r="J72" s="50"/>
      <c r="K72" s="47"/>
      <c r="L72" s="48"/>
      <c r="M72" s="49"/>
      <c r="O72" s="78"/>
    </row>
    <row r="73" spans="1:15" ht="15" customHeight="1" x14ac:dyDescent="0.3">
      <c r="A73" s="289"/>
      <c r="B73" s="300"/>
      <c r="C73" s="237"/>
      <c r="D73" s="291"/>
      <c r="E73" s="290"/>
      <c r="F73" s="290"/>
      <c r="G73" s="290"/>
      <c r="H73" s="290"/>
      <c r="I73" s="291"/>
      <c r="J73" s="50"/>
      <c r="K73" s="47"/>
      <c r="L73" s="48"/>
      <c r="M73" s="49"/>
      <c r="O73" s="78"/>
    </row>
    <row r="74" spans="1:15" ht="15" customHeight="1" x14ac:dyDescent="0.3">
      <c r="A74" s="289"/>
      <c r="B74" s="300"/>
      <c r="C74" s="237"/>
      <c r="D74" s="291"/>
      <c r="E74" s="290"/>
      <c r="F74" s="290"/>
      <c r="G74" s="290"/>
      <c r="H74" s="290"/>
      <c r="I74" s="291"/>
      <c r="J74" s="50"/>
      <c r="K74" s="47"/>
      <c r="L74" s="48"/>
      <c r="M74" s="49"/>
      <c r="O74" s="78"/>
    </row>
    <row r="75" spans="1:15" ht="15" customHeight="1" x14ac:dyDescent="0.3">
      <c r="A75" s="289"/>
      <c r="B75" s="300"/>
      <c r="C75" s="237"/>
      <c r="D75" s="291"/>
      <c r="E75" s="290"/>
      <c r="F75" s="290"/>
      <c r="G75" s="290"/>
      <c r="H75" s="290"/>
      <c r="I75" s="291"/>
      <c r="J75" s="50"/>
      <c r="K75" s="47"/>
      <c r="L75" s="48"/>
      <c r="M75" s="49"/>
      <c r="O75" s="78"/>
    </row>
    <row r="76" spans="1:15" ht="15" customHeight="1" x14ac:dyDescent="0.3">
      <c r="A76" s="289"/>
      <c r="B76" s="300"/>
      <c r="C76" s="237"/>
      <c r="D76" s="291"/>
      <c r="E76" s="290"/>
      <c r="F76" s="290"/>
      <c r="G76" s="290"/>
      <c r="H76" s="290"/>
      <c r="I76" s="291"/>
      <c r="J76" s="50"/>
      <c r="K76" s="47"/>
      <c r="L76" s="48"/>
      <c r="M76" s="49"/>
      <c r="O76" s="78"/>
    </row>
    <row r="77" spans="1:15" ht="15" customHeight="1" x14ac:dyDescent="0.3">
      <c r="A77" s="289"/>
      <c r="B77" s="300"/>
      <c r="C77" s="237"/>
      <c r="D77" s="291"/>
      <c r="E77" s="290"/>
      <c r="F77" s="290"/>
      <c r="G77" s="290"/>
      <c r="H77" s="290"/>
      <c r="I77" s="291"/>
      <c r="J77" s="50"/>
      <c r="K77" s="47"/>
      <c r="L77" s="48"/>
      <c r="M77" s="49"/>
      <c r="O77" s="78"/>
    </row>
    <row r="78" spans="1:15" ht="15" customHeight="1" x14ac:dyDescent="0.3">
      <c r="A78" s="289"/>
      <c r="B78" s="312"/>
      <c r="C78" s="237"/>
      <c r="D78" s="291"/>
      <c r="E78" s="313"/>
      <c r="F78" s="314"/>
      <c r="G78" s="313"/>
      <c r="H78" s="314"/>
      <c r="I78" s="315"/>
      <c r="J78" s="50"/>
      <c r="K78" s="47"/>
      <c r="L78" s="48"/>
      <c r="M78" s="49"/>
      <c r="O78" s="78"/>
    </row>
    <row r="79" spans="1:15" ht="15" customHeight="1" x14ac:dyDescent="0.3">
      <c r="A79" s="42"/>
      <c r="B79" s="43"/>
      <c r="C79" s="43"/>
      <c r="D79" s="68"/>
      <c r="E79" s="44"/>
      <c r="F79" s="44"/>
      <c r="G79" s="45"/>
      <c r="H79" s="46"/>
      <c r="I79" s="72"/>
      <c r="J79" s="50"/>
      <c r="K79" s="47"/>
      <c r="L79" s="48"/>
      <c r="M79" s="49"/>
    </row>
    <row r="80" spans="1:15" ht="15" customHeight="1" x14ac:dyDescent="0.3">
      <c r="A80" s="213"/>
      <c r="B80" s="213"/>
      <c r="C80" s="213"/>
      <c r="D80" s="213"/>
      <c r="E80" s="213"/>
      <c r="F80" s="213"/>
      <c r="G80" s="16">
        <f>SUM(G70:G79)</f>
        <v>0</v>
      </c>
      <c r="H80" s="80"/>
      <c r="I80" s="81"/>
      <c r="J80" s="75">
        <f>SUM(J70:J79)</f>
        <v>0</v>
      </c>
      <c r="K80" s="82"/>
      <c r="L80" s="82"/>
      <c r="M80" s="75">
        <f>SUM(M70:M79)</f>
        <v>0</v>
      </c>
    </row>
    <row r="81" spans="1:15" ht="15" customHeight="1" x14ac:dyDescent="0.25">
      <c r="A81" s="76"/>
      <c r="B81" s="76"/>
      <c r="C81" s="76"/>
      <c r="D81" s="77"/>
      <c r="E81" s="76"/>
      <c r="F81" s="76"/>
      <c r="G81" s="78"/>
      <c r="H81" s="52"/>
      <c r="I81" s="79"/>
      <c r="J81" s="52"/>
      <c r="K81" s="52"/>
      <c r="L81" s="52"/>
      <c r="M81" s="52"/>
    </row>
    <row r="82" spans="1:15" x14ac:dyDescent="0.25">
      <c r="A82" s="76"/>
      <c r="B82" s="76"/>
      <c r="C82" s="76"/>
      <c r="D82" s="77"/>
      <c r="E82" s="76"/>
      <c r="F82" s="76"/>
      <c r="G82" s="78"/>
      <c r="H82" s="52"/>
      <c r="I82" s="79"/>
      <c r="J82" s="78"/>
      <c r="K82" s="52"/>
      <c r="L82" s="52"/>
      <c r="M82" s="78"/>
    </row>
    <row r="83" spans="1:15" x14ac:dyDescent="0.25">
      <c r="A83" s="52" t="s">
        <v>19</v>
      </c>
      <c r="B83" s="76" t="s">
        <v>20</v>
      </c>
      <c r="C83" s="76" t="s">
        <v>21</v>
      </c>
      <c r="D83" s="79"/>
      <c r="E83" s="52"/>
      <c r="F83" s="52"/>
      <c r="G83" s="78"/>
      <c r="H83" s="52"/>
      <c r="I83" s="79"/>
      <c r="J83" s="52"/>
      <c r="K83" s="52"/>
      <c r="L83" s="52"/>
      <c r="M83" s="52"/>
    </row>
    <row r="84" spans="1:15" s="52" customFormat="1" ht="14.4" x14ac:dyDescent="0.3">
      <c r="A84" s="289"/>
      <c r="B84" s="236"/>
      <c r="C84" s="237"/>
      <c r="D84" s="291"/>
      <c r="E84" s="290"/>
      <c r="F84" s="297"/>
      <c r="G84" s="290"/>
      <c r="H84" s="297"/>
      <c r="I84" s="291"/>
      <c r="J84" s="50"/>
      <c r="K84" s="47"/>
      <c r="L84" s="48"/>
      <c r="M84" s="49"/>
      <c r="N84" s="60"/>
      <c r="O84" s="78"/>
    </row>
    <row r="85" spans="1:15" ht="15.6" thickBot="1" x14ac:dyDescent="0.3">
      <c r="A85" s="91"/>
      <c r="B85" s="102"/>
      <c r="C85" s="93"/>
      <c r="D85" s="88"/>
      <c r="E85" s="92"/>
      <c r="F85" s="92"/>
      <c r="G85" s="90"/>
      <c r="H85" s="92"/>
      <c r="I85" s="105"/>
      <c r="J85" s="50"/>
      <c r="K85" s="47"/>
      <c r="L85" s="48"/>
      <c r="M85" s="49"/>
    </row>
    <row r="86" spans="1:15" ht="16.2" thickBot="1" x14ac:dyDescent="0.35">
      <c r="A86" s="212" t="s">
        <v>29</v>
      </c>
      <c r="B86" s="212"/>
      <c r="C86" s="212"/>
      <c r="D86" s="212"/>
      <c r="E86" s="212"/>
      <c r="F86" s="212"/>
      <c r="G86" s="16">
        <f>SUM(G80:G85)</f>
        <v>0</v>
      </c>
      <c r="I86" s="63"/>
      <c r="J86" s="37">
        <f>SUM(J80:J85)</f>
        <v>0</v>
      </c>
      <c r="L86" s="20"/>
      <c r="M86" s="38">
        <f>SUM(M80:M85)</f>
        <v>0</v>
      </c>
    </row>
    <row r="87" spans="1:15" x14ac:dyDescent="0.25">
      <c r="A87" s="19"/>
      <c r="E87" s="19"/>
      <c r="F87" s="19"/>
      <c r="G87" s="8"/>
      <c r="I87" s="63"/>
    </row>
    <row r="89" spans="1:15" x14ac:dyDescent="0.25">
      <c r="J89" s="8"/>
    </row>
    <row r="90" spans="1:15" x14ac:dyDescent="0.25">
      <c r="J90" s="8"/>
    </row>
    <row r="91" spans="1:15" x14ac:dyDescent="0.25">
      <c r="J91" s="8">
        <f>(J57+J86)*2%</f>
        <v>335.40253913043489</v>
      </c>
      <c r="M91" s="8">
        <f>M86/12</f>
        <v>0</v>
      </c>
      <c r="N91" s="59" t="s">
        <v>1504</v>
      </c>
    </row>
    <row r="92" spans="1:15" x14ac:dyDescent="0.25">
      <c r="J92" s="8">
        <f>J91/12</f>
        <v>27.950211594202909</v>
      </c>
      <c r="K92" s="7" t="s">
        <v>876</v>
      </c>
      <c r="M92" s="8">
        <f>M86/24</f>
        <v>0</v>
      </c>
      <c r="N92" s="59" t="s">
        <v>1504</v>
      </c>
    </row>
    <row r="93" spans="1:15" x14ac:dyDescent="0.25">
      <c r="J93" s="8">
        <f>J91/24</f>
        <v>13.975105797101454</v>
      </c>
      <c r="K93" s="7" t="s">
        <v>876</v>
      </c>
    </row>
  </sheetData>
  <autoFilter ref="C1:C93" xr:uid="{BE61E74B-BC25-4449-879A-D0A151E32F86}"/>
  <sortState xmlns:xlrd2="http://schemas.microsoft.com/office/spreadsheetml/2017/richdata2" ref="A8:T29">
    <sortCondition ref="K8:K29"/>
  </sortState>
  <mergeCells count="6">
    <mergeCell ref="A67:F67"/>
    <mergeCell ref="A3:F3"/>
    <mergeCell ref="A57:F57"/>
    <mergeCell ref="A64:F64"/>
    <mergeCell ref="A65:F65"/>
    <mergeCell ref="A66:F66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9DAD1-8600-47AF-A291-2856BC394FD8}">
  <sheetPr>
    <pageSetUpPr fitToPage="1"/>
  </sheetPr>
  <dimension ref="A1:V93"/>
  <sheetViews>
    <sheetView tabSelected="1" topLeftCell="A4" workbookViewId="0">
      <selection activeCell="G74" sqref="G74"/>
    </sheetView>
  </sheetViews>
  <sheetFormatPr baseColWidth="10" defaultRowHeight="14.4" x14ac:dyDescent="0.3"/>
  <cols>
    <col min="1" max="1" width="36.6640625" customWidth="1"/>
    <col min="2" max="2" width="22.5546875" customWidth="1"/>
    <col min="3" max="3" width="17.44140625" style="340" customWidth="1"/>
    <col min="4" max="4" width="10.6640625" style="356" customWidth="1"/>
    <col min="5" max="5" width="11.5546875" style="352"/>
    <col min="6" max="6" width="9.5546875" style="352" customWidth="1"/>
    <col min="7" max="7" width="11.77734375" style="352" customWidth="1"/>
    <col min="8" max="8" width="9.33203125" style="352" customWidth="1"/>
    <col min="9" max="9" width="13.77734375" style="340" customWidth="1"/>
    <col min="10" max="10" width="12.6640625" style="340" customWidth="1"/>
    <col min="11" max="11" width="6.21875" customWidth="1"/>
    <col min="12" max="12" width="8.44140625" customWidth="1"/>
    <col min="13" max="13" width="12.5546875" customWidth="1"/>
  </cols>
  <sheetData>
    <row r="1" spans="1:22" x14ac:dyDescent="0.3">
      <c r="A1" s="7"/>
      <c r="B1" s="181"/>
      <c r="C1" s="181"/>
      <c r="D1" s="67"/>
      <c r="E1" s="8"/>
      <c r="F1" s="8"/>
      <c r="G1" s="8"/>
      <c r="H1" s="8"/>
      <c r="I1" s="67"/>
      <c r="J1" s="19"/>
      <c r="K1" s="7"/>
      <c r="L1" s="7"/>
      <c r="M1" s="7"/>
      <c r="N1" s="59"/>
      <c r="O1" s="8"/>
    </row>
    <row r="2" spans="1:22" x14ac:dyDescent="0.3">
      <c r="A2" s="30"/>
      <c r="B2" s="30"/>
      <c r="C2" s="30"/>
      <c r="D2" s="64"/>
      <c r="E2" s="346"/>
      <c r="F2" s="346"/>
      <c r="G2" s="24"/>
      <c r="H2" s="24"/>
      <c r="I2" s="195"/>
      <c r="J2" s="403"/>
      <c r="K2" s="27"/>
      <c r="L2" s="28"/>
      <c r="M2" s="29"/>
      <c r="N2" s="59"/>
      <c r="O2" s="8"/>
    </row>
    <row r="3" spans="1:22" x14ac:dyDescent="0.3">
      <c r="A3" s="331" t="s">
        <v>1</v>
      </c>
      <c r="B3" s="331"/>
      <c r="C3" s="331"/>
      <c r="D3" s="331"/>
      <c r="E3" s="331"/>
      <c r="F3" s="331"/>
      <c r="G3" s="24"/>
      <c r="H3" s="24"/>
      <c r="I3" s="195"/>
      <c r="J3" s="403"/>
      <c r="K3" s="27"/>
      <c r="L3" s="28"/>
      <c r="M3" s="29"/>
      <c r="N3" s="59"/>
      <c r="O3" s="8"/>
    </row>
    <row r="4" spans="1:22" x14ac:dyDescent="0.3">
      <c r="A4" s="364"/>
      <c r="B4" s="364" t="s">
        <v>1888</v>
      </c>
      <c r="C4" s="364"/>
      <c r="D4" s="367"/>
      <c r="E4" s="369"/>
      <c r="F4" s="369"/>
      <c r="G4" s="371"/>
      <c r="H4" s="371"/>
      <c r="I4" s="368"/>
      <c r="J4" s="404"/>
      <c r="K4" s="373"/>
      <c r="L4" s="374"/>
      <c r="M4" s="372"/>
      <c r="N4" s="59"/>
      <c r="O4" s="8"/>
    </row>
    <row r="5" spans="1:22" ht="15" thickBot="1" x14ac:dyDescent="0.35">
      <c r="A5" s="364"/>
      <c r="B5" s="364" t="s">
        <v>22</v>
      </c>
      <c r="C5" s="364"/>
      <c r="D5" s="367"/>
      <c r="E5" s="369"/>
      <c r="F5" s="369"/>
      <c r="G5" s="370"/>
      <c r="H5" s="371"/>
      <c r="I5" s="367"/>
      <c r="J5" s="366"/>
      <c r="K5" s="373"/>
      <c r="L5" s="374"/>
      <c r="M5" s="372"/>
      <c r="N5" s="59"/>
      <c r="O5" s="8"/>
    </row>
    <row r="6" spans="1:22" x14ac:dyDescent="0.3">
      <c r="A6" s="365"/>
      <c r="B6" s="366"/>
      <c r="C6" s="366"/>
      <c r="D6" s="368"/>
      <c r="E6" s="370"/>
      <c r="F6" s="370"/>
      <c r="G6" s="35" t="s">
        <v>3</v>
      </c>
      <c r="H6" s="372"/>
      <c r="I6" s="368"/>
      <c r="J6" s="36" t="s">
        <v>4</v>
      </c>
      <c r="K6" s="56" t="s">
        <v>5</v>
      </c>
      <c r="L6" s="40" t="s">
        <v>6</v>
      </c>
      <c r="M6" s="36" t="s">
        <v>7</v>
      </c>
      <c r="N6" s="59"/>
      <c r="O6" s="8"/>
    </row>
    <row r="7" spans="1:22" x14ac:dyDescent="0.3">
      <c r="A7" s="341" t="s">
        <v>8</v>
      </c>
      <c r="B7" s="341" t="s">
        <v>9</v>
      </c>
      <c r="C7" s="341" t="s">
        <v>10</v>
      </c>
      <c r="D7" s="342" t="s">
        <v>11</v>
      </c>
      <c r="E7" s="343" t="s">
        <v>12</v>
      </c>
      <c r="F7" s="347" t="s">
        <v>50</v>
      </c>
      <c r="G7" s="343" t="s">
        <v>13</v>
      </c>
      <c r="H7" s="348" t="s">
        <v>14</v>
      </c>
      <c r="I7" s="342" t="s">
        <v>15</v>
      </c>
      <c r="J7" s="323" t="s">
        <v>16</v>
      </c>
      <c r="K7" s="324"/>
      <c r="L7" s="325" t="s">
        <v>17</v>
      </c>
      <c r="M7" s="323" t="s">
        <v>39</v>
      </c>
      <c r="N7" s="326"/>
      <c r="O7" s="329"/>
    </row>
    <row r="8" spans="1:22" x14ac:dyDescent="0.3">
      <c r="A8" s="338" t="s">
        <v>117</v>
      </c>
      <c r="B8" s="338" t="s">
        <v>26</v>
      </c>
      <c r="C8" s="353" t="s">
        <v>1822</v>
      </c>
      <c r="D8" s="335">
        <v>46139</v>
      </c>
      <c r="E8" s="349">
        <f>182.73+32.25</f>
        <v>214.98</v>
      </c>
      <c r="F8" s="349">
        <v>32.25</v>
      </c>
      <c r="G8" s="349">
        <v>110.15</v>
      </c>
      <c r="H8" s="349">
        <v>27.41</v>
      </c>
      <c r="I8" s="344">
        <v>46286.605324074073</v>
      </c>
      <c r="J8" s="397">
        <f>G8/1.15</f>
        <v>95.782608695652186</v>
      </c>
      <c r="K8" s="47">
        <f>+I8-D8</f>
        <v>147.605324074073</v>
      </c>
      <c r="L8" s="5">
        <v>0.03</v>
      </c>
      <c r="M8" s="6">
        <f>+J8*L8</f>
        <v>2.8734782608695655</v>
      </c>
      <c r="N8" s="59"/>
      <c r="O8" s="78"/>
    </row>
    <row r="9" spans="1:22" s="375" customFormat="1" x14ac:dyDescent="0.3">
      <c r="A9" s="338" t="s">
        <v>115</v>
      </c>
      <c r="B9" s="338" t="s">
        <v>18</v>
      </c>
      <c r="C9" s="353" t="s">
        <v>1892</v>
      </c>
      <c r="D9" s="335">
        <v>46149</v>
      </c>
      <c r="E9" s="349">
        <f>400.32+100.08</f>
        <v>500.4</v>
      </c>
      <c r="F9" s="349">
        <v>100.08</v>
      </c>
      <c r="G9" s="349">
        <v>434.34</v>
      </c>
      <c r="H9" s="349">
        <v>60.05</v>
      </c>
      <c r="I9" s="344">
        <v>46287.450219907405</v>
      </c>
      <c r="J9" s="397">
        <f>+E9-F9</f>
        <v>400.32</v>
      </c>
      <c r="K9" s="47">
        <f>+I9-D9</f>
        <v>138.45021990740497</v>
      </c>
      <c r="L9" s="5">
        <v>0.03</v>
      </c>
      <c r="M9" s="6">
        <f>+J9*L9</f>
        <v>12.009599999999999</v>
      </c>
      <c r="N9" s="59"/>
      <c r="O9" s="78"/>
      <c r="P9"/>
      <c r="Q9"/>
      <c r="R9"/>
      <c r="S9"/>
      <c r="T9"/>
      <c r="U9"/>
      <c r="V9"/>
    </row>
    <row r="10" spans="1:22" s="375" customFormat="1" x14ac:dyDescent="0.3">
      <c r="A10" s="338" t="s">
        <v>115</v>
      </c>
      <c r="B10" s="338" t="s">
        <v>18</v>
      </c>
      <c r="C10" s="353" t="s">
        <v>1893</v>
      </c>
      <c r="D10" s="335">
        <v>46156</v>
      </c>
      <c r="E10" s="349">
        <f>388.51+97.13</f>
        <v>485.64</v>
      </c>
      <c r="F10" s="349">
        <v>97.13</v>
      </c>
      <c r="G10" s="349">
        <v>421.54</v>
      </c>
      <c r="H10" s="349">
        <v>58.28</v>
      </c>
      <c r="I10" s="344">
        <v>46287.450219907405</v>
      </c>
      <c r="J10" s="397">
        <f>+E10-F10</f>
        <v>388.51</v>
      </c>
      <c r="K10" s="47">
        <f>+I10-D10</f>
        <v>131.45021990740497</v>
      </c>
      <c r="L10" s="5">
        <v>0.03</v>
      </c>
      <c r="M10" s="6">
        <f>+J10*L10</f>
        <v>11.655299999999999</v>
      </c>
      <c r="N10" s="59"/>
      <c r="O10" s="78"/>
      <c r="P10"/>
      <c r="Q10"/>
      <c r="R10"/>
      <c r="S10"/>
      <c r="T10"/>
      <c r="U10"/>
      <c r="V10"/>
    </row>
    <row r="11" spans="1:22" s="375" customFormat="1" x14ac:dyDescent="0.3">
      <c r="A11" s="338" t="s">
        <v>626</v>
      </c>
      <c r="B11" s="338" t="s">
        <v>30</v>
      </c>
      <c r="C11" s="353" t="s">
        <v>1907</v>
      </c>
      <c r="D11" s="335">
        <v>46176</v>
      </c>
      <c r="E11" s="349">
        <f>131.27+23.17</f>
        <v>154.44</v>
      </c>
      <c r="F11" s="349">
        <v>23.17</v>
      </c>
      <c r="G11" s="349">
        <v>150.96</v>
      </c>
      <c r="H11" s="349">
        <v>19.690000000000001</v>
      </c>
      <c r="I11" s="344">
        <v>46276.448622685188</v>
      </c>
      <c r="J11" s="397">
        <f>+E11-F11</f>
        <v>131.26999999999998</v>
      </c>
      <c r="K11" s="47">
        <f>+I11-D11</f>
        <v>100.44862268518773</v>
      </c>
      <c r="L11" s="5">
        <v>0.03</v>
      </c>
      <c r="M11" s="6">
        <f>+J11*L11</f>
        <v>3.9380999999999995</v>
      </c>
      <c r="N11" s="59"/>
      <c r="O11" s="78"/>
      <c r="P11"/>
      <c r="Q11"/>
      <c r="R11"/>
      <c r="S11"/>
      <c r="T11"/>
      <c r="U11"/>
      <c r="V11"/>
    </row>
    <row r="12" spans="1:22" s="375" customFormat="1" x14ac:dyDescent="0.3">
      <c r="A12" s="338" t="s">
        <v>47</v>
      </c>
      <c r="B12" s="338" t="s">
        <v>18</v>
      </c>
      <c r="C12" s="353" t="s">
        <v>1900</v>
      </c>
      <c r="D12" s="335">
        <v>46177</v>
      </c>
      <c r="E12" s="349">
        <f>324.29+81.07</f>
        <v>405.36</v>
      </c>
      <c r="F12" s="349">
        <v>81.069999999999993</v>
      </c>
      <c r="G12" s="349">
        <v>372.93</v>
      </c>
      <c r="H12" s="349">
        <v>48.64</v>
      </c>
      <c r="I12" s="344">
        <v>46276.603090277778</v>
      </c>
      <c r="J12" s="397">
        <f>+E12-F12</f>
        <v>324.29000000000002</v>
      </c>
      <c r="K12" s="47">
        <f>+I12-D12</f>
        <v>99.603090277778392</v>
      </c>
      <c r="L12" s="5">
        <v>0.03</v>
      </c>
      <c r="M12" s="6">
        <f>+J12*L12</f>
        <v>9.7286999999999999</v>
      </c>
      <c r="N12" s="59"/>
      <c r="O12" s="78"/>
      <c r="P12"/>
      <c r="Q12"/>
      <c r="R12"/>
      <c r="S12"/>
      <c r="T12"/>
      <c r="U12"/>
      <c r="V12"/>
    </row>
    <row r="13" spans="1:22" s="375" customFormat="1" x14ac:dyDescent="0.3">
      <c r="A13" s="338" t="s">
        <v>420</v>
      </c>
      <c r="B13" s="338" t="s">
        <v>57</v>
      </c>
      <c r="C13" s="353" t="s">
        <v>1898</v>
      </c>
      <c r="D13" s="335">
        <v>46183</v>
      </c>
      <c r="E13" s="349">
        <f>115.06+20.3</f>
        <v>135.36000000000001</v>
      </c>
      <c r="F13" s="349">
        <v>20.3</v>
      </c>
      <c r="G13" s="349">
        <v>132.32</v>
      </c>
      <c r="H13" s="349">
        <v>17.260000000000002</v>
      </c>
      <c r="I13" s="344">
        <v>46268.595694444448</v>
      </c>
      <c r="J13" s="397">
        <f>+E13-F13</f>
        <v>115.06000000000002</v>
      </c>
      <c r="K13" s="47">
        <f>+I13-D13</f>
        <v>85.595694444447872</v>
      </c>
      <c r="L13" s="5">
        <v>0.03</v>
      </c>
      <c r="M13" s="6">
        <f>+J13*L13</f>
        <v>3.4518000000000004</v>
      </c>
      <c r="N13" s="59"/>
      <c r="O13" s="78"/>
      <c r="P13"/>
      <c r="Q13"/>
      <c r="R13"/>
      <c r="S13"/>
      <c r="T13"/>
      <c r="U13"/>
      <c r="V13"/>
    </row>
    <row r="14" spans="1:22" s="375" customFormat="1" x14ac:dyDescent="0.3">
      <c r="A14" s="338" t="s">
        <v>77</v>
      </c>
      <c r="B14" s="338" t="s">
        <v>33</v>
      </c>
      <c r="C14" s="353" t="s">
        <v>1889</v>
      </c>
      <c r="D14" s="335">
        <v>46202</v>
      </c>
      <c r="E14" s="349">
        <f>3358.62+1119.54</f>
        <v>4478.16</v>
      </c>
      <c r="F14" s="349">
        <v>1119.54</v>
      </c>
      <c r="G14" s="349">
        <v>500</v>
      </c>
      <c r="H14" s="349">
        <v>503.79</v>
      </c>
      <c r="I14" s="344">
        <v>46283.698888888888</v>
      </c>
      <c r="J14" s="405">
        <f>G14/1.15</f>
        <v>434.78260869565219</v>
      </c>
      <c r="K14" s="357">
        <f>+I14-D14</f>
        <v>81.698888888888177</v>
      </c>
      <c r="L14" s="358">
        <v>0.03</v>
      </c>
      <c r="M14" s="359">
        <f>+J14*L14</f>
        <v>13.043478260869565</v>
      </c>
      <c r="N14" s="360"/>
      <c r="O14" s="361"/>
    </row>
    <row r="15" spans="1:22" s="375" customFormat="1" x14ac:dyDescent="0.3">
      <c r="A15" s="338" t="s">
        <v>113</v>
      </c>
      <c r="B15" s="338" t="s">
        <v>18</v>
      </c>
      <c r="C15" s="353" t="s">
        <v>1897</v>
      </c>
      <c r="D15" s="335">
        <v>46203</v>
      </c>
      <c r="E15" s="349">
        <f>392.04+130.68</f>
        <v>522.72</v>
      </c>
      <c r="F15" s="349">
        <v>130.68</v>
      </c>
      <c r="G15" s="349">
        <v>425.37</v>
      </c>
      <c r="H15" s="349">
        <v>58.81</v>
      </c>
      <c r="I15" s="344">
        <v>46294.399780092594</v>
      </c>
      <c r="J15" s="397">
        <f>+E15-F15</f>
        <v>392.04</v>
      </c>
      <c r="K15" s="47">
        <f>+I15-D15</f>
        <v>91.399780092593573</v>
      </c>
      <c r="L15" s="5">
        <v>0.03</v>
      </c>
      <c r="M15" s="6">
        <f>+J15*L15</f>
        <v>11.761200000000001</v>
      </c>
      <c r="N15" s="59"/>
      <c r="O15" s="78"/>
      <c r="P15"/>
      <c r="Q15"/>
      <c r="R15"/>
      <c r="S15"/>
      <c r="T15"/>
      <c r="U15"/>
      <c r="V15"/>
    </row>
    <row r="16" spans="1:22" s="375" customFormat="1" x14ac:dyDescent="0.3">
      <c r="A16" s="338" t="s">
        <v>1042</v>
      </c>
      <c r="B16" s="338" t="s">
        <v>18</v>
      </c>
      <c r="C16" s="353" t="s">
        <v>1903</v>
      </c>
      <c r="D16" s="335">
        <v>46204</v>
      </c>
      <c r="E16" s="349">
        <f>568.8+189.6</f>
        <v>758.4</v>
      </c>
      <c r="F16" s="349">
        <v>189.6</v>
      </c>
      <c r="G16" s="349">
        <v>617.14</v>
      </c>
      <c r="H16" s="349">
        <v>85.32</v>
      </c>
      <c r="I16" s="344">
        <v>46275.483981481484</v>
      </c>
      <c r="J16" s="405">
        <f>+E16-F16</f>
        <v>568.79999999999995</v>
      </c>
      <c r="K16" s="357">
        <f>+I16-D16</f>
        <v>71.483981481484079</v>
      </c>
      <c r="L16" s="358">
        <v>0.03</v>
      </c>
      <c r="M16" s="359">
        <f>+J16*L16</f>
        <v>17.063999999999997</v>
      </c>
      <c r="N16" s="360"/>
      <c r="O16" s="361"/>
    </row>
    <row r="17" spans="1:22" s="375" customFormat="1" x14ac:dyDescent="0.3">
      <c r="A17" s="338" t="s">
        <v>1042</v>
      </c>
      <c r="B17" s="338" t="s">
        <v>18</v>
      </c>
      <c r="C17" s="353" t="s">
        <v>1904</v>
      </c>
      <c r="D17" s="335">
        <v>46204</v>
      </c>
      <c r="E17" s="349">
        <f>3175.58+793.9</f>
        <v>3969.48</v>
      </c>
      <c r="F17" s="349">
        <v>793.9</v>
      </c>
      <c r="G17" s="349">
        <v>3445.51</v>
      </c>
      <c r="H17" s="349">
        <v>476.34</v>
      </c>
      <c r="I17" s="344">
        <v>46275.483981481484</v>
      </c>
      <c r="J17" s="405">
        <f>+E17-F17</f>
        <v>3175.58</v>
      </c>
      <c r="K17" s="357">
        <f>+I17-D17</f>
        <v>71.483981481484079</v>
      </c>
      <c r="L17" s="358">
        <v>0.03</v>
      </c>
      <c r="M17" s="359">
        <f>+J17*L17</f>
        <v>95.267399999999995</v>
      </c>
      <c r="N17" s="360"/>
      <c r="O17" s="361"/>
    </row>
    <row r="18" spans="1:22" s="375" customFormat="1" x14ac:dyDescent="0.3">
      <c r="A18" s="338" t="s">
        <v>89</v>
      </c>
      <c r="B18" s="338" t="s">
        <v>18</v>
      </c>
      <c r="C18" s="353" t="s">
        <v>1901</v>
      </c>
      <c r="D18" s="335">
        <v>46212</v>
      </c>
      <c r="E18" s="349">
        <f>237.12+59.28</f>
        <v>296.39999999999998</v>
      </c>
      <c r="F18" s="349">
        <v>59.28</v>
      </c>
      <c r="G18" s="349">
        <v>257.27999999999997</v>
      </c>
      <c r="H18" s="349">
        <v>35.57</v>
      </c>
      <c r="I18" s="344">
        <v>46276.60015046296</v>
      </c>
      <c r="J18" s="405">
        <f>+E18-F18</f>
        <v>237.11999999999998</v>
      </c>
      <c r="K18" s="357">
        <f>+I18-D18</f>
        <v>64.600150462960301</v>
      </c>
      <c r="L18" s="358">
        <v>0.03</v>
      </c>
      <c r="M18" s="359">
        <f>+J18*L18</f>
        <v>7.113599999999999</v>
      </c>
      <c r="N18" s="360"/>
      <c r="O18" s="361"/>
    </row>
    <row r="19" spans="1:22" s="375" customFormat="1" x14ac:dyDescent="0.3">
      <c r="A19" s="338" t="s">
        <v>1227</v>
      </c>
      <c r="B19" s="338" t="s">
        <v>26</v>
      </c>
      <c r="C19" s="353" t="s">
        <v>1894</v>
      </c>
      <c r="D19" s="335">
        <v>46216</v>
      </c>
      <c r="E19" s="349">
        <f>189.11+33.37</f>
        <v>222.48000000000002</v>
      </c>
      <c r="F19" s="349">
        <v>33.369999999999997</v>
      </c>
      <c r="G19" s="349">
        <v>205.19</v>
      </c>
      <c r="H19" s="349">
        <v>28.37</v>
      </c>
      <c r="I19" s="344">
        <v>46286.645624999997</v>
      </c>
      <c r="J19" s="405">
        <f>+E19-F19</f>
        <v>189.11</v>
      </c>
      <c r="K19" s="357">
        <f>+I19-D19</f>
        <v>70.645624999997381</v>
      </c>
      <c r="L19" s="358">
        <v>0.03</v>
      </c>
      <c r="M19" s="359">
        <f>+J19*L19</f>
        <v>5.6733000000000002</v>
      </c>
      <c r="N19" s="360"/>
      <c r="O19" s="361"/>
    </row>
    <row r="20" spans="1:22" s="375" customFormat="1" x14ac:dyDescent="0.3">
      <c r="A20" s="338" t="s">
        <v>89</v>
      </c>
      <c r="B20" s="338" t="s">
        <v>18</v>
      </c>
      <c r="C20" s="353" t="s">
        <v>1902</v>
      </c>
      <c r="D20" s="335">
        <v>46223</v>
      </c>
      <c r="E20" s="349">
        <f>368.93+92.23</f>
        <v>461.16</v>
      </c>
      <c r="F20" s="349">
        <v>92.23</v>
      </c>
      <c r="G20" s="349">
        <v>400.29</v>
      </c>
      <c r="H20" s="349">
        <v>55.34</v>
      </c>
      <c r="I20" s="344">
        <v>46276.60015046296</v>
      </c>
      <c r="J20" s="405">
        <f>+E20-F20</f>
        <v>368.93</v>
      </c>
      <c r="K20" s="357">
        <f>+I20-D20</f>
        <v>53.600150462960301</v>
      </c>
      <c r="L20" s="358">
        <v>0.03</v>
      </c>
      <c r="M20" s="359">
        <f>+J20*L20</f>
        <v>11.0679</v>
      </c>
      <c r="N20" s="360"/>
      <c r="O20" s="361"/>
    </row>
    <row r="21" spans="1:22" s="375" customFormat="1" x14ac:dyDescent="0.3">
      <c r="A21" s="338" t="s">
        <v>118</v>
      </c>
      <c r="B21" s="338" t="s">
        <v>120</v>
      </c>
      <c r="C21" s="353" t="s">
        <v>1911</v>
      </c>
      <c r="D21" s="335">
        <v>46231</v>
      </c>
      <c r="E21" s="349">
        <f>87.52+15.44</f>
        <v>102.96</v>
      </c>
      <c r="F21" s="349">
        <v>15.44</v>
      </c>
      <c r="G21" s="349">
        <v>94.96</v>
      </c>
      <c r="H21" s="349">
        <v>13.13</v>
      </c>
      <c r="I21" s="344">
        <v>46294.591157407405</v>
      </c>
      <c r="J21" s="405">
        <f>+E21-F21</f>
        <v>87.52</v>
      </c>
      <c r="K21" s="357">
        <f>+I21-D21</f>
        <v>63.591157407405262</v>
      </c>
      <c r="L21" s="358">
        <v>0.03</v>
      </c>
      <c r="M21" s="359">
        <f>+J21*L21</f>
        <v>2.6255999999999999</v>
      </c>
      <c r="N21" s="360"/>
      <c r="O21" s="361"/>
    </row>
    <row r="22" spans="1:22" s="375" customFormat="1" x14ac:dyDescent="0.3">
      <c r="A22" s="338" t="s">
        <v>1216</v>
      </c>
      <c r="B22" s="338" t="s">
        <v>24</v>
      </c>
      <c r="C22" s="353" t="s">
        <v>1908</v>
      </c>
      <c r="D22" s="335">
        <v>46231</v>
      </c>
      <c r="E22" s="349">
        <f>325.28+57.4</f>
        <v>382.67999999999995</v>
      </c>
      <c r="F22" s="349">
        <v>57.4</v>
      </c>
      <c r="G22" s="349">
        <v>374.07</v>
      </c>
      <c r="H22" s="349">
        <v>48.79</v>
      </c>
      <c r="I22" s="344">
        <v>46280.683576388888</v>
      </c>
      <c r="J22" s="405">
        <f>+E22-F22</f>
        <v>325.27999999999997</v>
      </c>
      <c r="K22" s="357">
        <f>+I22-D22</f>
        <v>49.683576388888469</v>
      </c>
      <c r="L22" s="358">
        <v>0.03</v>
      </c>
      <c r="M22" s="359">
        <f>+J22*L22</f>
        <v>9.7583999999999982</v>
      </c>
      <c r="N22" s="360"/>
      <c r="O22" s="361"/>
    </row>
    <row r="23" spans="1:22" s="375" customFormat="1" x14ac:dyDescent="0.3">
      <c r="A23" s="338" t="s">
        <v>1227</v>
      </c>
      <c r="B23" s="338" t="s">
        <v>26</v>
      </c>
      <c r="C23" s="353" t="s">
        <v>1895</v>
      </c>
      <c r="D23" s="335">
        <v>46233</v>
      </c>
      <c r="E23" s="349">
        <f>237.05+41.83</f>
        <v>278.88</v>
      </c>
      <c r="F23" s="349">
        <v>41.83</v>
      </c>
      <c r="G23" s="349">
        <v>257.2</v>
      </c>
      <c r="H23" s="349">
        <v>35.56</v>
      </c>
      <c r="I23" s="344">
        <v>46286.645624999997</v>
      </c>
      <c r="J23" s="405">
        <f>+E23-F23</f>
        <v>237.05</v>
      </c>
      <c r="K23" s="357">
        <f>+I23-D23</f>
        <v>53.645624999997381</v>
      </c>
      <c r="L23" s="358">
        <v>0.03</v>
      </c>
      <c r="M23" s="359">
        <f>+J23*L23</f>
        <v>7.1115000000000004</v>
      </c>
      <c r="N23" s="360"/>
      <c r="O23" s="361"/>
    </row>
    <row r="24" spans="1:22" s="375" customFormat="1" x14ac:dyDescent="0.3">
      <c r="A24" s="338" t="s">
        <v>701</v>
      </c>
      <c r="B24" s="338" t="s">
        <v>24</v>
      </c>
      <c r="C24" s="353" t="s">
        <v>1890</v>
      </c>
      <c r="D24" s="335">
        <v>46240</v>
      </c>
      <c r="E24" s="349">
        <f>1419.39+473.13</f>
        <v>1892.52</v>
      </c>
      <c r="F24" s="349">
        <v>473.13</v>
      </c>
      <c r="G24" s="349">
        <v>1540.04</v>
      </c>
      <c r="H24" s="349">
        <v>212.91</v>
      </c>
      <c r="I24" s="344">
        <v>46282.367083333331</v>
      </c>
      <c r="J24" s="405">
        <f>+E24-F24</f>
        <v>1419.3899999999999</v>
      </c>
      <c r="K24" s="357">
        <f>+I24-D24</f>
        <v>42.367083333330811</v>
      </c>
      <c r="L24" s="358">
        <v>0.03</v>
      </c>
      <c r="M24" s="359">
        <f>+J24*L24</f>
        <v>42.581699999999998</v>
      </c>
      <c r="N24" s="360"/>
      <c r="O24" s="361"/>
    </row>
    <row r="25" spans="1:22" s="375" customFormat="1" x14ac:dyDescent="0.3">
      <c r="A25" s="338" t="s">
        <v>694</v>
      </c>
      <c r="B25" s="338" t="s">
        <v>30</v>
      </c>
      <c r="C25" s="353" t="s">
        <v>1909</v>
      </c>
      <c r="D25" s="335">
        <v>46245</v>
      </c>
      <c r="E25" s="349">
        <f>138.82+24.5</f>
        <v>163.32</v>
      </c>
      <c r="F25" s="349">
        <v>24.5</v>
      </c>
      <c r="G25" s="349">
        <v>159.63999999999999</v>
      </c>
      <c r="H25" s="349">
        <v>20.82</v>
      </c>
      <c r="I25" s="344">
        <v>46279.604699074072</v>
      </c>
      <c r="J25" s="405">
        <f>+E25-F25</f>
        <v>138.82</v>
      </c>
      <c r="K25" s="357">
        <f>+I25-D25</f>
        <v>34.604699074072414</v>
      </c>
      <c r="L25" s="358">
        <v>0.03</v>
      </c>
      <c r="M25" s="359">
        <f>+J25*L25</f>
        <v>4.1646000000000001</v>
      </c>
      <c r="N25" s="360"/>
      <c r="O25" s="361"/>
    </row>
    <row r="26" spans="1:22" s="375" customFormat="1" x14ac:dyDescent="0.3">
      <c r="A26" s="338" t="s">
        <v>60</v>
      </c>
      <c r="B26" s="338" t="s">
        <v>61</v>
      </c>
      <c r="C26" s="353" t="s">
        <v>1891</v>
      </c>
      <c r="D26" s="335">
        <v>46255</v>
      </c>
      <c r="E26" s="349">
        <f>241.28+49.42</f>
        <v>290.7</v>
      </c>
      <c r="F26" s="349">
        <v>49.42</v>
      </c>
      <c r="G26" s="349">
        <v>277.47000000000003</v>
      </c>
      <c r="H26" s="349">
        <v>36.19</v>
      </c>
      <c r="I26" s="344">
        <v>46282.385844907411</v>
      </c>
      <c r="J26" s="405">
        <f>+E26-F26</f>
        <v>241.27999999999997</v>
      </c>
      <c r="K26" s="357">
        <f>+I26-D26</f>
        <v>27.385844907410501</v>
      </c>
      <c r="L26" s="358">
        <v>3.5000000000000003E-2</v>
      </c>
      <c r="M26" s="359">
        <f>+J26*L26</f>
        <v>8.444799999999999</v>
      </c>
      <c r="N26" s="360"/>
      <c r="O26" s="361"/>
    </row>
    <row r="27" spans="1:22" x14ac:dyDescent="0.3">
      <c r="A27" s="338" t="s">
        <v>292</v>
      </c>
      <c r="B27" s="338" t="s">
        <v>229</v>
      </c>
      <c r="C27" s="353" t="s">
        <v>1920</v>
      </c>
      <c r="D27" s="335">
        <v>46255</v>
      </c>
      <c r="E27" s="349">
        <f>170.88+42.72</f>
        <v>213.6</v>
      </c>
      <c r="F27" s="349">
        <v>42.72</v>
      </c>
      <c r="G27" s="349">
        <v>185.4</v>
      </c>
      <c r="H27" s="349">
        <v>25.63</v>
      </c>
      <c r="I27" s="344">
        <v>46294.607037037036</v>
      </c>
      <c r="J27" s="405">
        <f>+E27-F27</f>
        <v>170.88</v>
      </c>
      <c r="K27" s="357">
        <f>+I27-D27</f>
        <v>39.607037037036207</v>
      </c>
      <c r="L27" s="358">
        <v>0.03</v>
      </c>
      <c r="M27" s="359">
        <f>+J27*L27</f>
        <v>5.1263999999999994</v>
      </c>
      <c r="N27" s="360"/>
      <c r="O27" s="361"/>
      <c r="P27" s="375"/>
      <c r="Q27" s="375"/>
      <c r="R27" s="375"/>
      <c r="S27" s="375"/>
      <c r="T27" s="375"/>
      <c r="U27" s="375"/>
      <c r="V27" s="375"/>
    </row>
    <row r="28" spans="1:22" x14ac:dyDescent="0.3">
      <c r="A28" s="338" t="s">
        <v>694</v>
      </c>
      <c r="B28" s="338" t="s">
        <v>30</v>
      </c>
      <c r="C28" s="353" t="s">
        <v>1910</v>
      </c>
      <c r="D28" s="335">
        <v>46265</v>
      </c>
      <c r="E28" s="349">
        <f>100.98+17.82</f>
        <v>118.80000000000001</v>
      </c>
      <c r="F28" s="349">
        <v>17.82</v>
      </c>
      <c r="G28" s="349">
        <v>116.13</v>
      </c>
      <c r="H28" s="349">
        <v>15.15</v>
      </c>
      <c r="I28" s="344">
        <v>46294.402118055557</v>
      </c>
      <c r="J28" s="405">
        <f>+E28-F28</f>
        <v>100.98000000000002</v>
      </c>
      <c r="K28" s="357">
        <f>+I28-D28</f>
        <v>29.402118055557366</v>
      </c>
      <c r="L28" s="358">
        <v>3.5000000000000003E-2</v>
      </c>
      <c r="M28" s="359">
        <f>+J28*L28</f>
        <v>3.5343000000000009</v>
      </c>
      <c r="N28" s="360"/>
      <c r="O28" s="361"/>
      <c r="P28" s="375"/>
      <c r="Q28" s="375"/>
      <c r="R28" s="375"/>
      <c r="S28" s="375"/>
      <c r="T28" s="375"/>
      <c r="U28" s="375"/>
      <c r="V28" s="375"/>
    </row>
    <row r="29" spans="1:22" x14ac:dyDescent="0.3">
      <c r="A29" s="339" t="s">
        <v>624</v>
      </c>
      <c r="B29" s="338" t="s">
        <v>30</v>
      </c>
      <c r="C29" s="353" t="s">
        <v>1906</v>
      </c>
      <c r="D29" s="335">
        <v>46266</v>
      </c>
      <c r="E29" s="349">
        <f>226.34+33.82</f>
        <v>260.16000000000003</v>
      </c>
      <c r="F29" s="349">
        <v>33.82</v>
      </c>
      <c r="G29" s="349">
        <v>260.29000000000002</v>
      </c>
      <c r="H29" s="349">
        <v>33.950000000000003</v>
      </c>
      <c r="I29" s="344">
        <v>46274.614212962966</v>
      </c>
      <c r="J29" s="405">
        <f>+E29-F29</f>
        <v>226.34000000000003</v>
      </c>
      <c r="K29" s="357">
        <f>+I29-D29</f>
        <v>8.6142129629661213</v>
      </c>
      <c r="L29" s="358">
        <v>3.5000000000000003E-2</v>
      </c>
      <c r="M29" s="359">
        <f>+J29*L29</f>
        <v>7.9219000000000017</v>
      </c>
      <c r="N29" s="360"/>
      <c r="O29" s="361"/>
      <c r="P29" s="375"/>
      <c r="Q29" s="375"/>
      <c r="R29" s="375"/>
      <c r="S29" s="375"/>
      <c r="T29" s="375"/>
      <c r="U29" s="375"/>
      <c r="V29" s="375"/>
    </row>
    <row r="30" spans="1:22" x14ac:dyDescent="0.3">
      <c r="A30" s="339" t="s">
        <v>624</v>
      </c>
      <c r="B30" s="338" t="s">
        <v>30</v>
      </c>
      <c r="C30" s="353" t="s">
        <v>1905</v>
      </c>
      <c r="D30" s="335">
        <v>46266</v>
      </c>
      <c r="E30" s="349">
        <f>40.72+6.08</f>
        <v>46.8</v>
      </c>
      <c r="F30" s="349">
        <v>6.08</v>
      </c>
      <c r="G30" s="349">
        <v>46.83</v>
      </c>
      <c r="H30" s="349">
        <v>6.11</v>
      </c>
      <c r="I30" s="344">
        <v>46274.614212962966</v>
      </c>
      <c r="J30" s="405">
        <f>+E30-F30</f>
        <v>40.72</v>
      </c>
      <c r="K30" s="357">
        <f>+I30-D30</f>
        <v>8.6142129629661213</v>
      </c>
      <c r="L30" s="358">
        <v>3.5000000000000003E-2</v>
      </c>
      <c r="M30" s="359">
        <f>+J30*L30</f>
        <v>1.4252</v>
      </c>
      <c r="N30" s="360"/>
      <c r="O30" s="361"/>
      <c r="P30" s="375"/>
      <c r="Q30" s="375"/>
      <c r="R30" s="375"/>
      <c r="S30" s="375"/>
      <c r="T30" s="375"/>
      <c r="U30" s="375"/>
      <c r="V30" s="375"/>
    </row>
    <row r="31" spans="1:22" x14ac:dyDescent="0.3">
      <c r="A31" s="338" t="s">
        <v>25</v>
      </c>
      <c r="B31" s="338" t="s">
        <v>30</v>
      </c>
      <c r="C31" s="353" t="s">
        <v>1899</v>
      </c>
      <c r="D31" s="335">
        <v>46267</v>
      </c>
      <c r="E31" s="349">
        <f>936.81+312.27</f>
        <v>1249.08</v>
      </c>
      <c r="F31" s="349">
        <v>312.27</v>
      </c>
      <c r="G31" s="349">
        <v>1016.43</v>
      </c>
      <c r="H31" s="349">
        <v>140.52000000000001</v>
      </c>
      <c r="I31" s="344">
        <v>46272.61954861111</v>
      </c>
      <c r="J31" s="397">
        <f>+E31-F31</f>
        <v>936.81</v>
      </c>
      <c r="K31" s="47">
        <f>+I31-D31</f>
        <v>5.6195486111100763</v>
      </c>
      <c r="L31" s="5">
        <v>3.5000000000000003E-2</v>
      </c>
      <c r="M31" s="6">
        <f>+J31*L31</f>
        <v>32.788350000000001</v>
      </c>
      <c r="N31" s="59"/>
      <c r="O31" s="78"/>
    </row>
    <row r="32" spans="1:22" x14ac:dyDescent="0.3">
      <c r="A32" s="338" t="s">
        <v>1541</v>
      </c>
      <c r="B32" s="338" t="s">
        <v>18</v>
      </c>
      <c r="C32" s="353" t="s">
        <v>1912</v>
      </c>
      <c r="D32" s="335">
        <v>46268</v>
      </c>
      <c r="E32" s="349">
        <f>571.88+100.92</f>
        <v>672.8</v>
      </c>
      <c r="F32" s="349">
        <v>100.92</v>
      </c>
      <c r="G32" s="349">
        <v>620.49</v>
      </c>
      <c r="H32" s="349">
        <v>85.78</v>
      </c>
      <c r="I32" s="344">
        <v>46288.631006944444</v>
      </c>
      <c r="J32" s="405">
        <f>+E32-F32</f>
        <v>571.88</v>
      </c>
      <c r="K32" s="357">
        <f>+I32-D32</f>
        <v>20.63100694444438</v>
      </c>
      <c r="L32" s="358">
        <v>3.5000000000000003E-2</v>
      </c>
      <c r="M32" s="359">
        <f>+J32*L32</f>
        <v>20.015800000000002</v>
      </c>
      <c r="N32" s="360"/>
      <c r="O32" s="361"/>
      <c r="P32" s="375"/>
      <c r="Q32" s="375"/>
      <c r="R32" s="375"/>
      <c r="S32" s="375"/>
      <c r="T32" s="375"/>
      <c r="U32" s="375"/>
      <c r="V32" s="375"/>
    </row>
    <row r="33" spans="1:22" x14ac:dyDescent="0.3">
      <c r="A33" s="338" t="s">
        <v>25</v>
      </c>
      <c r="B33" s="338" t="s">
        <v>30</v>
      </c>
      <c r="C33" s="353" t="s">
        <v>1896</v>
      </c>
      <c r="D33" s="335">
        <v>46281</v>
      </c>
      <c r="E33" s="349">
        <f>405.9+135.3</f>
        <v>541.20000000000005</v>
      </c>
      <c r="F33" s="349">
        <v>135.30000000000001</v>
      </c>
      <c r="G33" s="349">
        <v>440.41</v>
      </c>
      <c r="H33" s="349">
        <v>60.89</v>
      </c>
      <c r="I33" s="344">
        <v>46290.348958333336</v>
      </c>
      <c r="J33" s="405">
        <f>+E33-F33</f>
        <v>405.90000000000003</v>
      </c>
      <c r="K33" s="357">
        <f>+I33-D33</f>
        <v>9.3489583333357587</v>
      </c>
      <c r="L33" s="358">
        <v>3.5000000000000003E-2</v>
      </c>
      <c r="M33" s="359">
        <f>+J33*L33</f>
        <v>14.206500000000002</v>
      </c>
      <c r="N33" s="360"/>
      <c r="O33" s="361"/>
      <c r="P33" s="375"/>
      <c r="Q33" s="375"/>
      <c r="R33" s="375"/>
      <c r="S33" s="375"/>
      <c r="T33" s="375"/>
      <c r="U33" s="375"/>
      <c r="V33" s="375"/>
    </row>
    <row r="34" spans="1:22" x14ac:dyDescent="0.3">
      <c r="A34" s="289"/>
      <c r="B34" s="300"/>
      <c r="C34" s="237"/>
      <c r="D34" s="291"/>
      <c r="E34" s="290"/>
      <c r="F34" s="290"/>
      <c r="G34" s="290"/>
      <c r="H34" s="290"/>
      <c r="I34" s="291"/>
      <c r="J34" s="397"/>
      <c r="K34" s="47"/>
      <c r="L34" s="5"/>
      <c r="M34" s="6"/>
      <c r="N34" s="59"/>
      <c r="O34" s="78"/>
    </row>
    <row r="35" spans="1:22" ht="15.6" x14ac:dyDescent="0.3">
      <c r="A35" s="171"/>
      <c r="B35" s="160"/>
      <c r="C35" s="184"/>
      <c r="D35" s="172"/>
      <c r="E35" s="87"/>
      <c r="F35" s="87"/>
      <c r="G35" s="94"/>
      <c r="H35" s="87"/>
      <c r="I35" s="106"/>
      <c r="J35" s="397"/>
      <c r="K35" s="47"/>
      <c r="L35" s="5"/>
      <c r="M35" s="6"/>
      <c r="N35" s="59"/>
      <c r="O35" s="78"/>
    </row>
    <row r="36" spans="1:22" ht="15.6" x14ac:dyDescent="0.3">
      <c r="A36" s="7"/>
      <c r="B36" s="19"/>
      <c r="C36" s="19"/>
      <c r="D36" s="67"/>
      <c r="E36" s="8"/>
      <c r="F36" s="8"/>
      <c r="G36" s="16">
        <f>SUM(G8:G35)</f>
        <v>12862.38</v>
      </c>
      <c r="H36" s="8"/>
      <c r="I36" s="67"/>
      <c r="J36" s="406">
        <f>SUM(J8:J35)</f>
        <v>11724.445217391301</v>
      </c>
      <c r="K36" s="7"/>
      <c r="L36" s="7"/>
      <c r="M36" s="16">
        <f>SUM(M8:M35)</f>
        <v>364.3529065217391</v>
      </c>
      <c r="N36" s="59"/>
      <c r="O36" s="78"/>
    </row>
    <row r="37" spans="1:22" x14ac:dyDescent="0.3">
      <c r="A37" s="7"/>
      <c r="B37" s="19"/>
      <c r="C37" s="19"/>
      <c r="D37" s="67"/>
      <c r="E37" s="8"/>
      <c r="F37" s="8"/>
      <c r="G37" s="8"/>
      <c r="H37" s="8"/>
      <c r="I37" s="67"/>
      <c r="J37" s="19"/>
      <c r="K37" s="7"/>
      <c r="L37" s="7"/>
      <c r="M37" s="7"/>
      <c r="N37" s="59"/>
      <c r="O37" s="78"/>
    </row>
    <row r="38" spans="1:22" x14ac:dyDescent="0.3">
      <c r="A38" s="17" t="s">
        <v>19</v>
      </c>
      <c r="B38" s="18" t="s">
        <v>20</v>
      </c>
      <c r="C38" s="18" t="s">
        <v>21</v>
      </c>
      <c r="D38" s="67"/>
      <c r="E38" s="8"/>
      <c r="F38" s="8"/>
      <c r="G38" s="8"/>
      <c r="H38" s="8"/>
      <c r="I38" s="67"/>
      <c r="J38" s="181"/>
      <c r="K38" s="7"/>
      <c r="L38" s="7"/>
      <c r="M38" s="7"/>
      <c r="N38" s="59"/>
      <c r="O38" s="78"/>
    </row>
    <row r="39" spans="1:22" x14ac:dyDescent="0.3">
      <c r="A39" s="337" t="s">
        <v>40</v>
      </c>
      <c r="B39" s="338" t="s">
        <v>1913</v>
      </c>
      <c r="C39" s="353" t="s">
        <v>1916</v>
      </c>
      <c r="D39" s="335">
        <v>46283</v>
      </c>
      <c r="E39" s="349">
        <f>237.15+79.05</f>
        <v>316.2</v>
      </c>
      <c r="F39" s="349">
        <v>79.05</v>
      </c>
      <c r="G39" s="350">
        <f>272.72-15.41</f>
        <v>257.31</v>
      </c>
      <c r="H39" s="349">
        <v>35.57</v>
      </c>
      <c r="I39" s="335">
        <v>46313</v>
      </c>
      <c r="J39" s="397">
        <f t="shared" ref="J39:J41" si="0">+E39-F39</f>
        <v>237.14999999999998</v>
      </c>
      <c r="K39" s="47">
        <f t="shared" ref="K39:K42" si="1">+I39-D39</f>
        <v>30</v>
      </c>
      <c r="L39" s="48">
        <v>0.03</v>
      </c>
      <c r="M39" s="49">
        <f t="shared" ref="M39:M42" si="2">+J39*L39</f>
        <v>7.1144999999999987</v>
      </c>
      <c r="N39" s="60"/>
      <c r="O39" s="78"/>
    </row>
    <row r="40" spans="1:22" x14ac:dyDescent="0.3">
      <c r="A40" s="337" t="s">
        <v>40</v>
      </c>
      <c r="B40" s="338" t="s">
        <v>1913</v>
      </c>
      <c r="C40" s="353" t="s">
        <v>1917</v>
      </c>
      <c r="D40" s="335">
        <v>46283</v>
      </c>
      <c r="E40" s="349">
        <f>469.35+156.45</f>
        <v>625.79999999999995</v>
      </c>
      <c r="F40" s="349">
        <v>156.44999999999999</v>
      </c>
      <c r="G40" s="350">
        <f>539.75-30.51</f>
        <v>509.24</v>
      </c>
      <c r="H40" s="349">
        <v>70.400000000000006</v>
      </c>
      <c r="I40" s="335">
        <v>46313</v>
      </c>
      <c r="J40" s="397">
        <f t="shared" si="0"/>
        <v>469.34999999999997</v>
      </c>
      <c r="K40" s="47">
        <f t="shared" si="1"/>
        <v>30</v>
      </c>
      <c r="L40" s="48">
        <v>0.03</v>
      </c>
      <c r="M40" s="49">
        <f t="shared" si="2"/>
        <v>14.080499999999999</v>
      </c>
      <c r="N40" s="60"/>
      <c r="O40" s="78"/>
    </row>
    <row r="41" spans="1:22" x14ac:dyDescent="0.3">
      <c r="A41" s="339" t="s">
        <v>40</v>
      </c>
      <c r="B41" s="338" t="s">
        <v>1914</v>
      </c>
      <c r="C41" s="353" t="s">
        <v>1918</v>
      </c>
      <c r="D41" s="335">
        <v>46269</v>
      </c>
      <c r="E41" s="349">
        <f>454.23+151.41</f>
        <v>605.64</v>
      </c>
      <c r="F41" s="349">
        <v>151.41</v>
      </c>
      <c r="G41" s="350">
        <v>492.84</v>
      </c>
      <c r="H41" s="349">
        <v>68.13</v>
      </c>
      <c r="I41" s="335">
        <v>46299</v>
      </c>
      <c r="J41" s="397">
        <f t="shared" si="0"/>
        <v>454.23</v>
      </c>
      <c r="K41" s="47">
        <f t="shared" si="1"/>
        <v>30</v>
      </c>
      <c r="L41" s="48">
        <v>0.03</v>
      </c>
      <c r="M41" s="49">
        <f t="shared" si="2"/>
        <v>13.626900000000001</v>
      </c>
      <c r="N41" s="60"/>
      <c r="O41" s="78"/>
    </row>
    <row r="42" spans="1:22" x14ac:dyDescent="0.3">
      <c r="A42" s="337" t="s">
        <v>46</v>
      </c>
      <c r="B42" s="338" t="s">
        <v>1915</v>
      </c>
      <c r="C42" s="354" t="s">
        <v>1919</v>
      </c>
      <c r="D42" s="335">
        <v>46290</v>
      </c>
      <c r="E42" s="349">
        <f>683.1+227.7</f>
        <v>910.8</v>
      </c>
      <c r="F42" s="349">
        <v>227.7</v>
      </c>
      <c r="G42" s="350">
        <f>785.57-13.66</f>
        <v>771.91000000000008</v>
      </c>
      <c r="H42" s="349">
        <v>102.47</v>
      </c>
      <c r="I42" s="335">
        <v>46323</v>
      </c>
      <c r="J42" s="397">
        <f>+E42-F42</f>
        <v>683.09999999999991</v>
      </c>
      <c r="K42" s="47">
        <f t="shared" si="1"/>
        <v>33</v>
      </c>
      <c r="L42" s="48">
        <v>0.03</v>
      </c>
      <c r="M42" s="49">
        <f t="shared" si="2"/>
        <v>20.492999999999995</v>
      </c>
      <c r="N42" s="60"/>
      <c r="O42" s="78"/>
    </row>
    <row r="43" spans="1:22" x14ac:dyDescent="0.3">
      <c r="A43" s="289"/>
      <c r="B43" s="235"/>
      <c r="C43" s="237"/>
      <c r="D43" s="263"/>
      <c r="E43" s="259"/>
      <c r="F43" s="259"/>
      <c r="G43" s="290"/>
      <c r="H43" s="349"/>
      <c r="I43" s="335"/>
      <c r="J43" s="397"/>
      <c r="K43" s="47"/>
      <c r="L43" s="5"/>
      <c r="M43" s="6"/>
      <c r="N43" s="59"/>
      <c r="O43" s="78"/>
    </row>
    <row r="44" spans="1:22" x14ac:dyDescent="0.3">
      <c r="A44" s="289"/>
      <c r="B44" s="235"/>
      <c r="C44" s="237"/>
      <c r="D44" s="263"/>
      <c r="E44" s="259"/>
      <c r="F44" s="259"/>
      <c r="G44" s="290"/>
      <c r="H44" s="336"/>
      <c r="I44" s="335"/>
      <c r="J44" s="397"/>
      <c r="K44" s="47"/>
      <c r="L44" s="5"/>
      <c r="M44" s="6"/>
      <c r="N44" s="59"/>
      <c r="O44" s="78"/>
    </row>
    <row r="45" spans="1:22" ht="16.2" thickBot="1" x14ac:dyDescent="0.35">
      <c r="A45" s="101"/>
      <c r="B45" s="102"/>
      <c r="C45" s="102"/>
      <c r="D45" s="105"/>
      <c r="E45" s="92"/>
      <c r="F45" s="92"/>
      <c r="G45" s="90"/>
      <c r="H45" s="92"/>
      <c r="I45" s="105"/>
      <c r="J45" s="397"/>
      <c r="K45" s="47"/>
      <c r="L45" s="48"/>
      <c r="M45" s="49"/>
      <c r="N45" s="60"/>
      <c r="O45" s="78"/>
    </row>
    <row r="46" spans="1:22" ht="16.2" thickBot="1" x14ac:dyDescent="0.35">
      <c r="A46" s="332" t="s">
        <v>29</v>
      </c>
      <c r="B46" s="332"/>
      <c r="C46" s="332"/>
      <c r="D46" s="332"/>
      <c r="E46" s="332"/>
      <c r="F46" s="332"/>
      <c r="G46" s="16">
        <f>SUM(G36:G45)</f>
        <v>14893.679999999998</v>
      </c>
      <c r="H46" s="8"/>
      <c r="I46" s="67"/>
      <c r="J46" s="406">
        <f>SUM(J36:J45)</f>
        <v>13568.275217391301</v>
      </c>
      <c r="K46" s="7"/>
      <c r="L46" s="20"/>
      <c r="M46" s="21">
        <f>SUM(M36:M45)</f>
        <v>419.66780652173907</v>
      </c>
      <c r="N46" s="59"/>
      <c r="O46" s="8"/>
    </row>
    <row r="47" spans="1:22" ht="15.6" x14ac:dyDescent="0.3">
      <c r="A47" s="22"/>
      <c r="B47" s="19"/>
      <c r="C47" s="19"/>
      <c r="D47" s="67"/>
      <c r="E47" s="8"/>
      <c r="F47" s="8"/>
      <c r="G47" s="8"/>
      <c r="H47" s="8"/>
      <c r="I47" s="67"/>
      <c r="J47" s="19"/>
      <c r="K47" s="7"/>
      <c r="L47" s="7"/>
      <c r="M47" s="7"/>
      <c r="N47" s="59"/>
      <c r="O47" s="8"/>
    </row>
    <row r="48" spans="1:22" ht="15.6" x14ac:dyDescent="0.3">
      <c r="A48" s="39"/>
      <c r="B48" s="19"/>
      <c r="C48" s="19"/>
      <c r="D48" s="67"/>
      <c r="E48" s="8"/>
      <c r="F48" s="8"/>
      <c r="G48" s="8"/>
      <c r="H48" s="8"/>
      <c r="I48" s="67"/>
      <c r="J48" s="181"/>
      <c r="K48" s="7"/>
      <c r="L48" s="7"/>
      <c r="M48" s="7"/>
      <c r="N48" s="59"/>
      <c r="O48" s="8"/>
    </row>
    <row r="49" spans="1:22" ht="15.6" x14ac:dyDescent="0.3">
      <c r="A49" s="39"/>
      <c r="B49" s="19"/>
      <c r="C49" s="19"/>
      <c r="D49" s="67"/>
      <c r="E49" s="8"/>
      <c r="F49" s="8"/>
      <c r="G49" s="8"/>
      <c r="H49" s="8"/>
      <c r="I49" s="67"/>
      <c r="J49" s="181"/>
      <c r="K49" s="7"/>
      <c r="L49" s="7"/>
      <c r="M49" s="7"/>
      <c r="N49" s="59"/>
      <c r="O49" s="8"/>
    </row>
    <row r="50" spans="1:22" ht="15.6" x14ac:dyDescent="0.3">
      <c r="A50" s="39"/>
      <c r="B50" s="19"/>
      <c r="C50" s="19"/>
      <c r="D50" s="67"/>
      <c r="E50" s="8"/>
      <c r="F50" s="8"/>
      <c r="G50" s="8"/>
      <c r="H50" s="8"/>
      <c r="I50" s="67"/>
      <c r="J50" s="181"/>
      <c r="K50" s="7"/>
      <c r="L50" s="7"/>
      <c r="M50" s="7"/>
      <c r="N50" s="59"/>
      <c r="O50" s="8"/>
    </row>
    <row r="51" spans="1:22" ht="15.6" x14ac:dyDescent="0.3">
      <c r="A51" s="39"/>
      <c r="B51" s="19"/>
      <c r="C51" s="19"/>
      <c r="D51" s="67"/>
      <c r="E51" s="8"/>
      <c r="F51" s="8"/>
      <c r="G51" s="8"/>
      <c r="H51" s="8"/>
      <c r="I51" s="67"/>
      <c r="J51" s="181"/>
      <c r="K51" s="7"/>
      <c r="L51" s="7"/>
      <c r="M51" s="8"/>
      <c r="N51" s="59"/>
      <c r="O51" s="8"/>
    </row>
    <row r="52" spans="1:22" ht="15.6" x14ac:dyDescent="0.3">
      <c r="A52" s="39"/>
      <c r="B52" s="19"/>
      <c r="C52" s="19"/>
      <c r="D52" s="67"/>
      <c r="E52" s="8"/>
      <c r="F52" s="8"/>
      <c r="G52" s="8"/>
      <c r="H52" s="8"/>
      <c r="I52" s="67"/>
      <c r="J52" s="181"/>
      <c r="K52" s="7"/>
      <c r="L52" s="7"/>
      <c r="M52" s="8"/>
      <c r="N52" s="59"/>
      <c r="O52" s="8"/>
    </row>
    <row r="53" spans="1:22" x14ac:dyDescent="0.3">
      <c r="A53" s="331" t="s">
        <v>0</v>
      </c>
      <c r="B53" s="331"/>
      <c r="C53" s="331"/>
      <c r="D53" s="331"/>
      <c r="E53" s="331"/>
      <c r="F53" s="331"/>
      <c r="G53" s="24"/>
      <c r="H53" s="24"/>
      <c r="I53" s="195"/>
      <c r="J53" s="403"/>
      <c r="K53" s="27"/>
      <c r="L53" s="28"/>
      <c r="M53" s="29"/>
      <c r="N53" s="59"/>
      <c r="O53" s="8"/>
    </row>
    <row r="54" spans="1:22" x14ac:dyDescent="0.3">
      <c r="A54" s="331" t="s">
        <v>1</v>
      </c>
      <c r="B54" s="331"/>
      <c r="C54" s="331"/>
      <c r="D54" s="331"/>
      <c r="E54" s="331"/>
      <c r="F54" s="331"/>
      <c r="G54" s="24"/>
      <c r="H54" s="24"/>
      <c r="I54" s="195"/>
      <c r="J54" s="403"/>
      <c r="K54" s="27"/>
      <c r="L54" s="28"/>
      <c r="M54" s="29"/>
      <c r="N54" s="59"/>
      <c r="O54" s="8"/>
    </row>
    <row r="55" spans="1:22" x14ac:dyDescent="0.3">
      <c r="A55" s="331" t="s">
        <v>1888</v>
      </c>
      <c r="B55" s="331"/>
      <c r="C55" s="331"/>
      <c r="D55" s="331"/>
      <c r="E55" s="331"/>
      <c r="F55" s="331"/>
      <c r="G55" s="24"/>
      <c r="H55" s="24"/>
      <c r="I55" s="195"/>
      <c r="J55" s="403"/>
      <c r="K55" s="27"/>
      <c r="L55" s="28"/>
      <c r="M55" s="29"/>
      <c r="N55" s="59"/>
      <c r="O55" s="8"/>
    </row>
    <row r="56" spans="1:22" ht="15" thickBot="1" x14ac:dyDescent="0.35">
      <c r="A56" s="331" t="s">
        <v>1130</v>
      </c>
      <c r="B56" s="331"/>
      <c r="C56" s="331"/>
      <c r="D56" s="331"/>
      <c r="E56" s="331"/>
      <c r="F56" s="331"/>
      <c r="G56" s="32"/>
      <c r="H56" s="24"/>
      <c r="I56" s="64"/>
      <c r="J56" s="182"/>
      <c r="K56" s="27"/>
      <c r="L56" s="28"/>
      <c r="M56" s="29"/>
      <c r="N56" s="59"/>
      <c r="O56" s="8"/>
    </row>
    <row r="57" spans="1:22" x14ac:dyDescent="0.3">
      <c r="A57" s="34" t="s">
        <v>66</v>
      </c>
      <c r="B57" s="182"/>
      <c r="C57" s="182"/>
      <c r="D57" s="195"/>
      <c r="E57" s="32"/>
      <c r="F57" s="32"/>
      <c r="G57" s="35" t="s">
        <v>3</v>
      </c>
      <c r="H57" s="29"/>
      <c r="I57" s="195"/>
      <c r="J57" s="36" t="s">
        <v>4</v>
      </c>
      <c r="K57" s="56" t="s">
        <v>5</v>
      </c>
      <c r="L57" s="40" t="s">
        <v>6</v>
      </c>
      <c r="M57" s="36" t="s">
        <v>7</v>
      </c>
      <c r="N57" s="59"/>
      <c r="O57" s="8"/>
    </row>
    <row r="58" spans="1:22" x14ac:dyDescent="0.3">
      <c r="A58" s="377" t="s">
        <v>8</v>
      </c>
      <c r="B58" s="377" t="s">
        <v>9</v>
      </c>
      <c r="C58" s="377" t="s">
        <v>10</v>
      </c>
      <c r="D58" s="385" t="s">
        <v>11</v>
      </c>
      <c r="E58" s="378" t="s">
        <v>12</v>
      </c>
      <c r="F58" s="379" t="s">
        <v>50</v>
      </c>
      <c r="G58" s="380" t="s">
        <v>13</v>
      </c>
      <c r="H58" s="381" t="s">
        <v>14</v>
      </c>
      <c r="I58" s="197" t="s">
        <v>15</v>
      </c>
      <c r="J58" s="323" t="s">
        <v>16</v>
      </c>
      <c r="K58" s="324"/>
      <c r="L58" s="325" t="s">
        <v>17</v>
      </c>
      <c r="M58" s="323" t="s">
        <v>39</v>
      </c>
      <c r="N58" s="326"/>
      <c r="O58" s="329"/>
    </row>
    <row r="59" spans="1:22" x14ac:dyDescent="0.3">
      <c r="A59" s="338" t="s">
        <v>1283</v>
      </c>
      <c r="B59" s="338" t="s">
        <v>1452</v>
      </c>
      <c r="C59" s="338" t="s">
        <v>1940</v>
      </c>
      <c r="D59" s="422">
        <v>46132</v>
      </c>
      <c r="E59" s="349">
        <f>1620+540</f>
        <v>2160</v>
      </c>
      <c r="F59" s="349">
        <v>540</v>
      </c>
      <c r="G59" s="349">
        <v>863</v>
      </c>
      <c r="H59" s="349">
        <v>243</v>
      </c>
      <c r="I59" s="335">
        <v>46287.448865740742</v>
      </c>
      <c r="J59" s="423">
        <f>863/1.15</f>
        <v>750.43478260869574</v>
      </c>
      <c r="K59" s="424">
        <f>+I59-D59</f>
        <v>155.44886574074189</v>
      </c>
      <c r="L59" s="420">
        <v>0.03</v>
      </c>
      <c r="M59" s="421">
        <f>+J59*L59</f>
        <v>22.513043478260872</v>
      </c>
      <c r="N59" s="360"/>
      <c r="O59" s="361"/>
      <c r="P59" s="375"/>
      <c r="Q59" s="375"/>
      <c r="R59" s="375"/>
      <c r="S59" s="375"/>
      <c r="T59" s="375"/>
      <c r="U59" s="375"/>
      <c r="V59" s="375"/>
    </row>
    <row r="60" spans="1:22" x14ac:dyDescent="0.3">
      <c r="A60" s="334" t="s">
        <v>86</v>
      </c>
      <c r="B60" s="334" t="s">
        <v>1324</v>
      </c>
      <c r="C60" s="334" t="s">
        <v>1939</v>
      </c>
      <c r="D60" s="387">
        <v>46174</v>
      </c>
      <c r="E60" s="383">
        <f>3320.46+1787.94</f>
        <v>5108.3999999999996</v>
      </c>
      <c r="F60" s="383">
        <v>1787.94</v>
      </c>
      <c r="G60" s="383">
        <v>3602.7</v>
      </c>
      <c r="H60" s="383">
        <v>498.07</v>
      </c>
      <c r="I60" s="384">
        <v>46293.483240740738</v>
      </c>
      <c r="J60" s="409">
        <f>+E60-F60</f>
        <v>3320.4599999999996</v>
      </c>
      <c r="K60" s="418">
        <f>+I60-D60</f>
        <v>119.48324074073753</v>
      </c>
      <c r="L60" s="48">
        <v>0.03</v>
      </c>
      <c r="M60" s="49">
        <f>+J60*L60</f>
        <v>99.613799999999983</v>
      </c>
      <c r="N60" s="59"/>
      <c r="O60" s="78"/>
    </row>
    <row r="61" spans="1:22" x14ac:dyDescent="0.3">
      <c r="A61" s="338" t="s">
        <v>1922</v>
      </c>
      <c r="B61" s="338" t="s">
        <v>133</v>
      </c>
      <c r="C61" s="338" t="s">
        <v>1931</v>
      </c>
      <c r="D61" s="422">
        <v>46189</v>
      </c>
      <c r="E61" s="349">
        <f>402.29+70.99</f>
        <v>473.28000000000003</v>
      </c>
      <c r="F61" s="349">
        <v>70.989999999999995</v>
      </c>
      <c r="G61" s="349">
        <v>231.32</v>
      </c>
      <c r="H61" s="349">
        <v>60.34</v>
      </c>
      <c r="I61" s="335">
        <v>46283.671134259261</v>
      </c>
      <c r="J61" s="423">
        <v>201.15</v>
      </c>
      <c r="K61" s="424">
        <f>+I61-D61</f>
        <v>94.671134259260725</v>
      </c>
      <c r="L61" s="420">
        <v>0.03</v>
      </c>
      <c r="M61" s="421">
        <f>+J61*L61</f>
        <v>6.0344999999999995</v>
      </c>
      <c r="N61" s="425"/>
      <c r="O61" s="426"/>
      <c r="P61" s="375"/>
      <c r="Q61" s="375"/>
      <c r="R61" s="375"/>
      <c r="S61" s="375"/>
      <c r="T61" s="375"/>
      <c r="U61" s="375"/>
      <c r="V61" s="375"/>
    </row>
    <row r="62" spans="1:22" x14ac:dyDescent="0.3">
      <c r="A62" s="338" t="s">
        <v>1922</v>
      </c>
      <c r="B62" s="338" t="s">
        <v>133</v>
      </c>
      <c r="C62" s="338" t="s">
        <v>1931</v>
      </c>
      <c r="D62" s="422">
        <v>46189</v>
      </c>
      <c r="E62" s="349">
        <f>402.29+70.99</f>
        <v>473.28000000000003</v>
      </c>
      <c r="F62" s="349">
        <v>70.989999999999995</v>
      </c>
      <c r="G62" s="349">
        <v>231.32</v>
      </c>
      <c r="H62" s="349">
        <v>60.34</v>
      </c>
      <c r="I62" s="335">
        <v>46283.67224537037</v>
      </c>
      <c r="J62" s="423">
        <v>201.15</v>
      </c>
      <c r="K62" s="424">
        <f>+I62-D62</f>
        <v>94.672245370369637</v>
      </c>
      <c r="L62" s="420">
        <v>0.03</v>
      </c>
      <c r="M62" s="421">
        <f>+J62*L62</f>
        <v>6.0344999999999995</v>
      </c>
      <c r="N62" s="425"/>
      <c r="O62" s="426"/>
      <c r="P62" s="375"/>
      <c r="Q62" s="375"/>
      <c r="R62" s="375"/>
      <c r="S62" s="375"/>
      <c r="T62" s="375"/>
      <c r="U62" s="375"/>
      <c r="V62" s="375"/>
    </row>
    <row r="63" spans="1:22" x14ac:dyDescent="0.3">
      <c r="A63" s="376" t="s">
        <v>1928</v>
      </c>
      <c r="B63" s="334" t="s">
        <v>1191</v>
      </c>
      <c r="C63" s="334" t="s">
        <v>1941</v>
      </c>
      <c r="D63" s="382">
        <v>46190</v>
      </c>
      <c r="E63" s="383">
        <f>3315.82+1421.06</f>
        <v>4736.88</v>
      </c>
      <c r="F63" s="383">
        <v>1421.06</v>
      </c>
      <c r="G63" s="383">
        <v>1798.84</v>
      </c>
      <c r="H63" s="383">
        <v>497.37</v>
      </c>
      <c r="I63" s="384">
        <v>46295</v>
      </c>
      <c r="J63" s="417">
        <v>1657.91</v>
      </c>
      <c r="K63" s="324">
        <f>+I63-D63</f>
        <v>105</v>
      </c>
      <c r="L63" s="48">
        <v>0.03</v>
      </c>
      <c r="M63" s="49">
        <f>+J63*L63</f>
        <v>49.737299999999998</v>
      </c>
      <c r="N63" s="59"/>
      <c r="O63" s="8">
        <f>E69-F69</f>
        <v>187.11</v>
      </c>
    </row>
    <row r="64" spans="1:22" s="375" customFormat="1" x14ac:dyDescent="0.3">
      <c r="A64" s="334" t="s">
        <v>1921</v>
      </c>
      <c r="B64" s="334" t="s">
        <v>1452</v>
      </c>
      <c r="C64" s="334" t="s">
        <v>1930</v>
      </c>
      <c r="D64" s="386">
        <v>46230</v>
      </c>
      <c r="E64" s="383">
        <v>165.12</v>
      </c>
      <c r="F64" s="383">
        <v>0</v>
      </c>
      <c r="G64" s="383">
        <v>189.89</v>
      </c>
      <c r="H64" s="383">
        <v>24.77</v>
      </c>
      <c r="I64" s="384">
        <v>46266</v>
      </c>
      <c r="J64" s="409">
        <f>+E64-F64</f>
        <v>165.12</v>
      </c>
      <c r="K64" s="418">
        <f>+I64-D64</f>
        <v>36</v>
      </c>
      <c r="L64" s="48">
        <v>0.03</v>
      </c>
      <c r="M64" s="49">
        <f>+J64*L64</f>
        <v>4.9535999999999998</v>
      </c>
      <c r="N64" s="326"/>
      <c r="O64" s="329"/>
      <c r="P64"/>
      <c r="Q64"/>
      <c r="R64"/>
      <c r="S64"/>
      <c r="T64"/>
      <c r="U64"/>
      <c r="V64"/>
    </row>
    <row r="65" spans="1:22" s="375" customFormat="1" x14ac:dyDescent="0.3">
      <c r="A65" s="338" t="s">
        <v>1183</v>
      </c>
      <c r="B65" s="338" t="s">
        <v>1192</v>
      </c>
      <c r="C65" s="338" t="s">
        <v>1936</v>
      </c>
      <c r="D65" s="422">
        <v>46233</v>
      </c>
      <c r="E65" s="349">
        <f>739.57+110.51</f>
        <v>850.08</v>
      </c>
      <c r="F65" s="349">
        <v>110.51</v>
      </c>
      <c r="G65" s="349">
        <v>450.51</v>
      </c>
      <c r="H65" s="349">
        <v>110.94</v>
      </c>
      <c r="I65" s="335">
        <v>46267.473460648151</v>
      </c>
      <c r="J65" s="423">
        <v>391.75</v>
      </c>
      <c r="K65" s="424">
        <f>+I65-D65</f>
        <v>34.473460648150649</v>
      </c>
      <c r="L65" s="420">
        <v>0.03</v>
      </c>
      <c r="M65" s="421">
        <f>+J65*L65</f>
        <v>11.7525</v>
      </c>
      <c r="N65" s="425"/>
      <c r="O65" s="426"/>
    </row>
    <row r="66" spans="1:22" s="375" customFormat="1" x14ac:dyDescent="0.3">
      <c r="A66" s="338" t="s">
        <v>1183</v>
      </c>
      <c r="B66" s="338" t="s">
        <v>1192</v>
      </c>
      <c r="C66" s="338" t="s">
        <v>1936</v>
      </c>
      <c r="D66" s="422">
        <v>46233</v>
      </c>
      <c r="E66" s="349">
        <f>739.57+110.51</f>
        <v>850.08</v>
      </c>
      <c r="F66" s="349">
        <v>110.51</v>
      </c>
      <c r="G66" s="349">
        <v>400</v>
      </c>
      <c r="H66" s="349">
        <v>110.94</v>
      </c>
      <c r="I66" s="335">
        <v>46294.607824074075</v>
      </c>
      <c r="J66" s="423">
        <v>347.82</v>
      </c>
      <c r="K66" s="424">
        <f>+I66-D66</f>
        <v>61.607824074075324</v>
      </c>
      <c r="L66" s="420">
        <v>0.03</v>
      </c>
      <c r="M66" s="421">
        <f>+J66*L66</f>
        <v>10.4346</v>
      </c>
      <c r="N66" s="425"/>
      <c r="O66" s="426"/>
    </row>
    <row r="67" spans="1:22" s="375" customFormat="1" x14ac:dyDescent="0.3">
      <c r="A67" s="338" t="s">
        <v>1923</v>
      </c>
      <c r="B67" s="338" t="s">
        <v>1452</v>
      </c>
      <c r="C67" s="338" t="s">
        <v>1933</v>
      </c>
      <c r="D67" s="422">
        <v>46246</v>
      </c>
      <c r="E67" s="349">
        <f>223.94+33.46</f>
        <v>257.39999999999998</v>
      </c>
      <c r="F67" s="349">
        <v>33.46</v>
      </c>
      <c r="G67" s="349">
        <v>242.97</v>
      </c>
      <c r="H67" s="349">
        <v>33.590000000000003</v>
      </c>
      <c r="I67" s="335">
        <v>46283.677499999998</v>
      </c>
      <c r="J67" s="423">
        <f>+E67-F67</f>
        <v>223.93999999999997</v>
      </c>
      <c r="K67" s="424">
        <f>+I67-D67</f>
        <v>37.677499999997963</v>
      </c>
      <c r="L67" s="420">
        <v>0.03</v>
      </c>
      <c r="M67" s="421">
        <f>+J67*L67</f>
        <v>6.7181999999999986</v>
      </c>
      <c r="N67" s="425"/>
      <c r="O67" s="426"/>
    </row>
    <row r="68" spans="1:22" s="375" customFormat="1" x14ac:dyDescent="0.3">
      <c r="A68" s="338" t="s">
        <v>1925</v>
      </c>
      <c r="B68" s="338" t="s">
        <v>1452</v>
      </c>
      <c r="C68" s="338" t="s">
        <v>1935</v>
      </c>
      <c r="D68" s="422">
        <v>46246</v>
      </c>
      <c r="E68" s="349">
        <f>788.53+161.51</f>
        <v>950.04</v>
      </c>
      <c r="F68" s="349">
        <v>161.51</v>
      </c>
      <c r="G68" s="349">
        <v>855.56</v>
      </c>
      <c r="H68" s="349">
        <v>118.28</v>
      </c>
      <c r="I68" s="335">
        <v>46283.673888888887</v>
      </c>
      <c r="J68" s="423">
        <f>+E68-F68</f>
        <v>788.53</v>
      </c>
      <c r="K68" s="424">
        <f>+I68-D68</f>
        <v>37.673888888886722</v>
      </c>
      <c r="L68" s="420">
        <v>0.03</v>
      </c>
      <c r="M68" s="421">
        <f>+J68*L68</f>
        <v>23.655899999999999</v>
      </c>
      <c r="N68" s="425"/>
      <c r="O68" s="426"/>
    </row>
    <row r="69" spans="1:22" s="375" customFormat="1" x14ac:dyDescent="0.3">
      <c r="A69" s="334" t="s">
        <v>1283</v>
      </c>
      <c r="B69" s="334" t="s">
        <v>1452</v>
      </c>
      <c r="C69" s="334" t="s">
        <v>1932</v>
      </c>
      <c r="D69" s="387">
        <v>46251</v>
      </c>
      <c r="E69" s="383">
        <f>187.11+62.37</f>
        <v>249.48000000000002</v>
      </c>
      <c r="F69" s="383">
        <v>62.37</v>
      </c>
      <c r="G69" s="383">
        <v>215.18</v>
      </c>
      <c r="H69" s="383">
        <v>28.07</v>
      </c>
      <c r="I69" s="384">
        <v>46283.683564814812</v>
      </c>
      <c r="J69" s="409">
        <f>+E69-F69</f>
        <v>187.11</v>
      </c>
      <c r="K69" s="418">
        <f>+I69-D69</f>
        <v>32.683564814811689</v>
      </c>
      <c r="L69" s="48">
        <v>0.03</v>
      </c>
      <c r="M69" s="49">
        <f>+J69*L69</f>
        <v>5.6133000000000006</v>
      </c>
      <c r="N69" s="326"/>
      <c r="O69" s="329"/>
      <c r="P69"/>
      <c r="Q69"/>
      <c r="R69"/>
      <c r="S69"/>
      <c r="T69"/>
      <c r="U69"/>
      <c r="V69"/>
    </row>
    <row r="70" spans="1:22" x14ac:dyDescent="0.3">
      <c r="A70" s="334" t="s">
        <v>1927</v>
      </c>
      <c r="B70" s="334" t="s">
        <v>1929</v>
      </c>
      <c r="C70" s="334" t="s">
        <v>1938</v>
      </c>
      <c r="D70" s="387">
        <v>46258</v>
      </c>
      <c r="E70" s="419">
        <f>420.84+62.88</f>
        <v>483.71999999999997</v>
      </c>
      <c r="F70" s="383">
        <v>62.88</v>
      </c>
      <c r="G70" s="383">
        <v>483.97</v>
      </c>
      <c r="H70" s="383">
        <v>63.13</v>
      </c>
      <c r="I70" s="384">
        <v>46268.477175925924</v>
      </c>
      <c r="J70" s="409">
        <f>+E70-F70</f>
        <v>420.84</v>
      </c>
      <c r="K70" s="418">
        <f>+I70-D70</f>
        <v>10.477175925923802</v>
      </c>
      <c r="L70" s="48">
        <v>3.5000000000000003E-2</v>
      </c>
      <c r="M70" s="49">
        <f>+J70*L70</f>
        <v>14.7294</v>
      </c>
      <c r="N70" s="59"/>
      <c r="O70" s="78"/>
    </row>
    <row r="71" spans="1:22" s="375" customFormat="1" x14ac:dyDescent="0.3">
      <c r="A71" s="410" t="s">
        <v>1926</v>
      </c>
      <c r="B71" s="410" t="s">
        <v>1192</v>
      </c>
      <c r="C71" s="410" t="s">
        <v>1937</v>
      </c>
      <c r="D71" s="411">
        <v>46266</v>
      </c>
      <c r="E71" s="412">
        <v>78.12</v>
      </c>
      <c r="F71" s="412">
        <v>0</v>
      </c>
      <c r="G71" s="412">
        <v>89.84</v>
      </c>
      <c r="H71" s="412">
        <v>11.72</v>
      </c>
      <c r="I71" s="413">
        <v>46267.474942129629</v>
      </c>
      <c r="J71" s="414">
        <f>+E71-F71</f>
        <v>78.12</v>
      </c>
      <c r="K71" s="428">
        <f>+I71-D71</f>
        <v>1.4749421296291985</v>
      </c>
      <c r="L71" s="48">
        <v>0.04</v>
      </c>
      <c r="M71" s="49">
        <f>+J71*L71</f>
        <v>3.1248000000000005</v>
      </c>
      <c r="N71" s="326"/>
      <c r="O71" s="329"/>
      <c r="P71"/>
      <c r="Q71"/>
      <c r="R71"/>
      <c r="S71"/>
      <c r="T71"/>
      <c r="U71"/>
      <c r="V71"/>
    </row>
    <row r="72" spans="1:22" x14ac:dyDescent="0.3">
      <c r="A72" s="334" t="s">
        <v>1924</v>
      </c>
      <c r="B72" s="334" t="s">
        <v>1452</v>
      </c>
      <c r="C72" s="334" t="s">
        <v>1934</v>
      </c>
      <c r="D72" s="387">
        <v>46283</v>
      </c>
      <c r="E72" s="383">
        <f>210.6+23.4</f>
        <v>234</v>
      </c>
      <c r="F72" s="383">
        <v>23.4</v>
      </c>
      <c r="G72" s="383">
        <v>242.19</v>
      </c>
      <c r="H72" s="383">
        <v>31.59</v>
      </c>
      <c r="I72" s="384">
        <v>46283.675057870372</v>
      </c>
      <c r="J72" s="427">
        <f>+E72-F72</f>
        <v>210.6</v>
      </c>
      <c r="K72" s="428">
        <f>+I72-D72</f>
        <v>0.67505787037225673</v>
      </c>
      <c r="L72" s="48">
        <v>0.04</v>
      </c>
      <c r="M72" s="49">
        <f>+J72*L72</f>
        <v>8.4239999999999995</v>
      </c>
      <c r="N72" s="326"/>
      <c r="O72" s="329"/>
    </row>
    <row r="73" spans="1:22" ht="15.6" x14ac:dyDescent="0.3">
      <c r="A73" s="415"/>
      <c r="B73" s="416"/>
      <c r="C73" s="416"/>
      <c r="D73" s="72"/>
      <c r="E73" s="46"/>
      <c r="F73" s="46"/>
      <c r="G73" s="45"/>
      <c r="H73" s="46"/>
      <c r="I73" s="72"/>
      <c r="J73" s="417"/>
      <c r="K73" s="324"/>
      <c r="L73" s="388"/>
      <c r="M73" s="256"/>
      <c r="N73" s="59"/>
      <c r="O73" s="8"/>
    </row>
    <row r="74" spans="1:22" s="395" customFormat="1" ht="15.6" x14ac:dyDescent="0.3">
      <c r="A74" s="116"/>
      <c r="B74" s="116"/>
      <c r="C74" s="116"/>
      <c r="D74" s="122"/>
      <c r="E74" s="397"/>
      <c r="F74" s="397"/>
      <c r="G74" s="398">
        <f>SUM(G59:G73)</f>
        <v>9897.2900000000009</v>
      </c>
      <c r="H74" s="399"/>
      <c r="I74" s="400"/>
      <c r="J74" s="407">
        <f>SUM(J59:J73)</f>
        <v>8944.9347826086941</v>
      </c>
      <c r="K74" s="363"/>
      <c r="L74" s="402"/>
      <c r="M74" s="401">
        <f>SUM(M59:M73)</f>
        <v>273.33944347826082</v>
      </c>
      <c r="N74" s="393"/>
      <c r="O74" s="394"/>
    </row>
    <row r="75" spans="1:22" s="395" customFormat="1" x14ac:dyDescent="0.3">
      <c r="A75" s="389"/>
      <c r="B75" s="389"/>
      <c r="C75" s="389"/>
      <c r="D75" s="390"/>
      <c r="E75" s="391"/>
      <c r="F75" s="391"/>
      <c r="G75" s="362"/>
      <c r="H75" s="362"/>
      <c r="I75" s="390"/>
      <c r="J75" s="389"/>
      <c r="K75" s="392"/>
      <c r="L75" s="396"/>
      <c r="M75" s="396"/>
      <c r="N75" s="393"/>
      <c r="O75" s="394"/>
    </row>
    <row r="76" spans="1:22" s="395" customFormat="1" x14ac:dyDescent="0.3">
      <c r="A76" s="389"/>
      <c r="B76" s="389"/>
      <c r="C76" s="389"/>
      <c r="D76" s="390"/>
      <c r="E76" s="391"/>
      <c r="F76" s="391"/>
      <c r="G76" s="362"/>
      <c r="H76" s="362"/>
      <c r="I76" s="390"/>
      <c r="J76" s="391"/>
      <c r="K76" s="392"/>
      <c r="L76" s="396"/>
      <c r="M76" s="362"/>
      <c r="N76" s="393"/>
      <c r="O76" s="394"/>
    </row>
    <row r="77" spans="1:22" s="395" customFormat="1" x14ac:dyDescent="0.3">
      <c r="A77" s="51" t="s">
        <v>19</v>
      </c>
      <c r="B77" s="116" t="s">
        <v>20</v>
      </c>
      <c r="C77" s="116" t="s">
        <v>21</v>
      </c>
      <c r="D77" s="122"/>
      <c r="E77" s="50"/>
      <c r="F77" s="50"/>
      <c r="G77" s="50"/>
      <c r="H77" s="50"/>
      <c r="I77" s="122"/>
      <c r="J77" s="116"/>
      <c r="K77" s="363"/>
      <c r="L77" s="51"/>
      <c r="M77" s="51"/>
      <c r="N77" s="393"/>
      <c r="O77" s="394"/>
    </row>
    <row r="78" spans="1:22" ht="15" thickBot="1" x14ac:dyDescent="0.35">
      <c r="A78" s="376" t="s">
        <v>1928</v>
      </c>
      <c r="B78" s="334" t="s">
        <v>1942</v>
      </c>
      <c r="C78" s="334" t="s">
        <v>1941</v>
      </c>
      <c r="D78" s="382">
        <v>46190</v>
      </c>
      <c r="E78" s="383">
        <f>3315.82+1421.06</f>
        <v>4736.88</v>
      </c>
      <c r="F78" s="383">
        <v>1421.06</v>
      </c>
      <c r="G78" s="383">
        <v>1798.84</v>
      </c>
      <c r="H78" s="383">
        <v>497.37</v>
      </c>
      <c r="I78" s="384">
        <v>46325</v>
      </c>
      <c r="J78" s="397">
        <v>1657.91</v>
      </c>
      <c r="K78" s="363">
        <f t="shared" ref="K78" si="3">+I78-D78</f>
        <v>135</v>
      </c>
      <c r="L78" s="48">
        <v>0.03</v>
      </c>
      <c r="M78" s="49">
        <f>+J78*L78</f>
        <v>49.737299999999998</v>
      </c>
      <c r="N78" s="60"/>
      <c r="O78" s="78"/>
    </row>
    <row r="79" spans="1:22" ht="16.2" thickBot="1" x14ac:dyDescent="0.35">
      <c r="A79" s="212" t="s">
        <v>29</v>
      </c>
      <c r="B79" s="212"/>
      <c r="C79" s="212"/>
      <c r="D79" s="355"/>
      <c r="E79" s="351"/>
      <c r="F79" s="351"/>
      <c r="G79" s="16">
        <f>SUM(G74:G78)</f>
        <v>11696.130000000001</v>
      </c>
      <c r="H79" s="8"/>
      <c r="I79" s="67"/>
      <c r="J79" s="408">
        <f>SUM(J74:J78)</f>
        <v>10602.844782608694</v>
      </c>
      <c r="K79" s="7"/>
      <c r="L79" s="20"/>
      <c r="M79" s="38">
        <f>SUM(M74:M78)</f>
        <v>323.07674347826082</v>
      </c>
      <c r="N79" s="59"/>
      <c r="O79" s="8">
        <f>O72/2</f>
        <v>0</v>
      </c>
    </row>
    <row r="80" spans="1:22" x14ac:dyDescent="0.3">
      <c r="A80" s="19"/>
      <c r="B80" s="19"/>
      <c r="C80" s="19"/>
      <c r="D80" s="67"/>
      <c r="E80" s="181"/>
      <c r="F80" s="181"/>
      <c r="G80" s="8"/>
      <c r="H80" s="8"/>
      <c r="I80" s="67"/>
      <c r="J80" s="19"/>
      <c r="K80" s="7"/>
      <c r="L80" s="7"/>
      <c r="M80" s="7"/>
      <c r="N80" s="59"/>
      <c r="O80" s="8"/>
    </row>
    <row r="81" spans="1:15" x14ac:dyDescent="0.3">
      <c r="A81" s="334" t="s">
        <v>86</v>
      </c>
      <c r="B81" s="334" t="s">
        <v>1324</v>
      </c>
      <c r="C81" s="334" t="s">
        <v>1943</v>
      </c>
      <c r="D81" s="387">
        <v>46287</v>
      </c>
      <c r="E81" s="383">
        <v>0</v>
      </c>
      <c r="F81" s="383">
        <f>288.48</f>
        <v>288.48</v>
      </c>
      <c r="G81" s="383">
        <v>0</v>
      </c>
      <c r="H81" s="383">
        <v>43.27</v>
      </c>
      <c r="I81" s="384">
        <v>46287.381828703707</v>
      </c>
      <c r="J81" s="427">
        <f>+E81-F81</f>
        <v>-288.48</v>
      </c>
      <c r="K81" s="428">
        <f>+I81-D81</f>
        <v>0.38182870370656019</v>
      </c>
      <c r="L81" s="48">
        <v>0.03</v>
      </c>
      <c r="M81" s="49">
        <f>+J81*L81</f>
        <v>-8.6544000000000008</v>
      </c>
      <c r="N81" s="59"/>
      <c r="O81" s="78"/>
    </row>
    <row r="82" spans="1:15" x14ac:dyDescent="0.3">
      <c r="A82" s="7"/>
      <c r="B82" s="19"/>
      <c r="C82" s="19"/>
      <c r="D82" s="67"/>
      <c r="E82" s="8"/>
      <c r="F82" s="8"/>
      <c r="G82" s="8"/>
      <c r="H82" s="8"/>
      <c r="I82" s="67"/>
      <c r="J82" s="181"/>
      <c r="K82" s="7"/>
      <c r="L82" s="7"/>
      <c r="M82" s="7"/>
      <c r="N82" s="59"/>
      <c r="O82" s="8"/>
    </row>
    <row r="83" spans="1:15" x14ac:dyDescent="0.3">
      <c r="A83" s="7"/>
      <c r="B83" s="19"/>
      <c r="C83" s="19"/>
      <c r="D83" s="67"/>
      <c r="E83" s="8"/>
      <c r="F83" s="8"/>
      <c r="G83" s="8"/>
      <c r="H83" s="8">
        <f>G78+G72</f>
        <v>2041.03</v>
      </c>
      <c r="I83" s="345">
        <f>3315.82</f>
        <v>3315.82</v>
      </c>
      <c r="J83" s="181"/>
      <c r="K83" s="7"/>
      <c r="L83" s="7"/>
      <c r="M83" s="7"/>
      <c r="N83" s="59"/>
      <c r="O83" s="8"/>
    </row>
    <row r="84" spans="1:15" x14ac:dyDescent="0.3">
      <c r="A84" s="7"/>
      <c r="B84" s="19"/>
      <c r="C84" s="19"/>
      <c r="D84" s="67"/>
      <c r="E84" s="8"/>
      <c r="F84" s="8"/>
      <c r="G84" s="8"/>
      <c r="H84" s="8">
        <f>I83/H83</f>
        <v>1.6245817062953509</v>
      </c>
      <c r="I84" s="67"/>
      <c r="J84" s="181">
        <f>(J46+J79)*2%</f>
        <v>483.42239999999993</v>
      </c>
      <c r="K84" s="7"/>
      <c r="L84" s="7"/>
      <c r="M84" s="8">
        <f>M79/12</f>
        <v>26.923061956521735</v>
      </c>
      <c r="N84" s="59" t="s">
        <v>1504</v>
      </c>
      <c r="O84" s="8"/>
    </row>
    <row r="85" spans="1:15" x14ac:dyDescent="0.3">
      <c r="A85" s="7"/>
      <c r="B85" s="19"/>
      <c r="C85" s="19"/>
      <c r="D85" s="67"/>
      <c r="E85" s="8"/>
      <c r="F85" s="8"/>
      <c r="G85" s="8"/>
      <c r="H85" s="8">
        <f>G78*H84</f>
        <v>2922.3625565523289</v>
      </c>
      <c r="I85" s="67"/>
      <c r="J85" s="181">
        <f>J84/12</f>
        <v>40.285199999999996</v>
      </c>
      <c r="K85" s="7" t="s">
        <v>876</v>
      </c>
      <c r="L85" s="7"/>
      <c r="M85" s="8">
        <f>M79/24</f>
        <v>13.461530978260868</v>
      </c>
      <c r="N85" s="59" t="s">
        <v>1504</v>
      </c>
      <c r="O85" s="8"/>
    </row>
    <row r="86" spans="1:15" x14ac:dyDescent="0.3">
      <c r="A86" s="7"/>
      <c r="B86" s="19"/>
      <c r="C86" s="19"/>
      <c r="D86" s="67"/>
      <c r="E86" s="8"/>
      <c r="F86" s="8"/>
      <c r="G86" s="8"/>
      <c r="H86" s="8">
        <f>G72*H84</f>
        <v>393.45744344767104</v>
      </c>
      <c r="I86" s="67"/>
      <c r="J86" s="181">
        <f>J84/24</f>
        <v>20.142599999999998</v>
      </c>
      <c r="K86" s="7" t="s">
        <v>876</v>
      </c>
      <c r="L86" s="7"/>
      <c r="M86" s="7"/>
      <c r="N86" s="59"/>
      <c r="O86" s="8"/>
    </row>
    <row r="87" spans="1:15" x14ac:dyDescent="0.3">
      <c r="H87" s="352">
        <f>H85+H86</f>
        <v>3315.8199999999997</v>
      </c>
    </row>
    <row r="88" spans="1:15" x14ac:dyDescent="0.3">
      <c r="F88" s="352">
        <f>402.29/2</f>
        <v>201.14500000000001</v>
      </c>
    </row>
    <row r="89" spans="1:15" x14ac:dyDescent="0.3">
      <c r="H89" s="8">
        <f>450.51+400</f>
        <v>850.51</v>
      </c>
      <c r="I89" s="345">
        <v>739.57</v>
      </c>
    </row>
    <row r="90" spans="1:15" x14ac:dyDescent="0.3">
      <c r="H90" s="8">
        <f>I89/H89</f>
        <v>0.86956061657123385</v>
      </c>
      <c r="I90" s="67"/>
    </row>
    <row r="91" spans="1:15" x14ac:dyDescent="0.3">
      <c r="H91" s="8">
        <f>G64*H90</f>
        <v>165.12086548071159</v>
      </c>
      <c r="I91" s="67"/>
    </row>
    <row r="92" spans="1:15" x14ac:dyDescent="0.3">
      <c r="H92" s="8">
        <f>G67*H90</f>
        <v>211.27714300831269</v>
      </c>
      <c r="I92" s="67"/>
    </row>
    <row r="93" spans="1:15" x14ac:dyDescent="0.3">
      <c r="H93" s="352">
        <f>H91+H92</f>
        <v>376.39800848902428</v>
      </c>
    </row>
  </sheetData>
  <autoFilter ref="A3:M33" xr:uid="{6769DAD1-8600-47AF-A291-2856BC394FD8}">
    <filterColumn colId="0" showButton="0"/>
    <filterColumn colId="1" showButton="0"/>
    <filterColumn colId="2" showButton="0"/>
    <filterColumn colId="3" showButton="0"/>
    <filterColumn colId="4" showButton="0"/>
  </autoFilter>
  <sortState xmlns:xlrd2="http://schemas.microsoft.com/office/spreadsheetml/2017/richdata2" ref="A8:V33">
    <sortCondition ref="C8:C33"/>
  </sortState>
  <mergeCells count="6">
    <mergeCell ref="A3:F3"/>
    <mergeCell ref="A46:F46"/>
    <mergeCell ref="A53:F53"/>
    <mergeCell ref="A54:F54"/>
    <mergeCell ref="A55:F55"/>
    <mergeCell ref="A56:F56"/>
  </mergeCells>
  <pageMargins left="0" right="0" top="0" bottom="0" header="0" footer="0"/>
  <pageSetup paperSize="9" scale="70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34</vt:i4>
      </vt:variant>
      <vt:variant>
        <vt:lpstr>Rangos con nombre</vt:lpstr>
      </vt:variant>
      <vt:variant>
        <vt:i4>2</vt:i4>
      </vt:variant>
    </vt:vector>
  </HeadingPairs>
  <TitlesOfParts>
    <vt:vector size="36" baseType="lpstr">
      <vt:lpstr>COM.DIC.2023</vt:lpstr>
      <vt:lpstr>COM.ENE.2024</vt:lpstr>
      <vt:lpstr>COM.FEB.2024</vt:lpstr>
      <vt:lpstr>COM.MAR.2024</vt:lpstr>
      <vt:lpstr>COM.ABR.2024</vt:lpstr>
      <vt:lpstr>COM.MAY.2024</vt:lpstr>
      <vt:lpstr>COM.JUN.2024</vt:lpstr>
      <vt:lpstr>COM.JUL.2024</vt:lpstr>
      <vt:lpstr>COM.AGO.2024</vt:lpstr>
      <vt:lpstr>COM.SEP.2024</vt:lpstr>
      <vt:lpstr>COM.OCT.2024</vt:lpstr>
      <vt:lpstr>COM.NOV.2024</vt:lpstr>
      <vt:lpstr>COM.DIC.2024</vt:lpstr>
      <vt:lpstr>COM.ENE.2025</vt:lpstr>
      <vt:lpstr>COM.FEB.2025</vt:lpstr>
      <vt:lpstr>COM.MAR.2025</vt:lpstr>
      <vt:lpstr>COM.ABR.2025</vt:lpstr>
      <vt:lpstr>COM.MAY.2025</vt:lpstr>
      <vt:lpstr>COM.JUN.2025</vt:lpstr>
      <vt:lpstr>COM.JUL.2025</vt:lpstr>
      <vt:lpstr>COM.AGO.2025</vt:lpstr>
      <vt:lpstr>COM.SEP.2025</vt:lpstr>
      <vt:lpstr>COM.OCT.2025</vt:lpstr>
      <vt:lpstr>COM.NOV,2025</vt:lpstr>
      <vt:lpstr>COM.DIC.2025</vt:lpstr>
      <vt:lpstr>COM.ENE.2026</vt:lpstr>
      <vt:lpstr>COM.FEB.2026</vt:lpstr>
      <vt:lpstr>COM.MAR.2026</vt:lpstr>
      <vt:lpstr>COM.ABR.2026</vt:lpstr>
      <vt:lpstr>COM.MAY.2026</vt:lpstr>
      <vt:lpstr>COM.JUN.2026</vt:lpstr>
      <vt:lpstr>COM.JUL.2026</vt:lpstr>
      <vt:lpstr>COM.AGO.2026</vt:lpstr>
      <vt:lpstr>COM.SEPT.2026</vt:lpstr>
      <vt:lpstr>COM.MAY.2024!Títulos_a_imprimir</vt:lpstr>
      <vt:lpstr>COM.SEP.2024!Títulos_a_imprimir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osaka</dc:creator>
  <cp:lastModifiedBy>ivette cascante</cp:lastModifiedBy>
  <cp:lastPrinted>2026-09-30T20:08:32Z</cp:lastPrinted>
  <dcterms:created xsi:type="dcterms:W3CDTF">2020-12-10T19:51:18Z</dcterms:created>
  <dcterms:modified xsi:type="dcterms:W3CDTF">2026-09-30T20:10:43Z</dcterms:modified>
</cp:coreProperties>
</file>